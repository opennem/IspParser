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chartsheets/sheet2.xml" ContentType="application/vnd.openxmlformats-officedocument.spreadsheetml.chartsheet+xml"/>
  <Override PartName="/xl/worksheets/sheet5.xml" ContentType="application/vnd.openxmlformats-officedocument.spreadsheetml.worksheet+xml"/>
  <Override PartName="/xl/chartsheets/sheet3.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925"/>
  <workbookPr codeName="ThisWorkbook"/>
  <mc:AlternateContent xmlns:mc="http://schemas.openxmlformats.org/markup-compatibility/2006">
    <mc:Choice Requires="x15">
      <x15ac:absPath xmlns:x15ac="http://schemas.microsoft.com/office/spreadsheetml/2010/11/ac" url="A:\ISP\Reports for publication\ISP database\2018 ISP Generation and Transmission Outlooks\"/>
    </mc:Choice>
  </mc:AlternateContent>
  <bookViews>
    <workbookView xWindow="0" yWindow="0" windowWidth="28800" windowHeight="14085" tabRatio="876"/>
  </bookViews>
  <sheets>
    <sheet name="Index" sheetId="42" r:id="rId1"/>
    <sheet name="Market Benefits Summary" sheetId="47" r:id="rId2"/>
    <sheet name="Net Market Benefits" sheetId="46" r:id="rId3"/>
    <sheet name="NEMInstalledCapacity Figure" sheetId="40" r:id="rId4"/>
    <sheet name="NEMInstalledCapacity Data" sheetId="2" r:id="rId5"/>
    <sheet name="NEMEnergyGenerated Figure" sheetId="41" r:id="rId6"/>
    <sheet name="NEMEnergyGenerated Data" sheetId="5" r:id="rId7"/>
    <sheet name="NewAndRetiredCapacity Figure" sheetId="38" r:id="rId8"/>
    <sheet name="NewAndRetiredCapacity Data" sheetId="29" r:id="rId9"/>
    <sheet name="GenerationInvestment" sheetId="43" r:id="rId10"/>
  </sheets>
  <definedNames>
    <definedName name="_xlnm._FilterDatabase" localSheetId="6" hidden="1">'NEMEnergyGenerated Data'!#REF!</definedName>
    <definedName name="_xlnm._FilterDatabase" localSheetId="4" hidden="1">'NEMInstalledCapacity Data'!$A$15:$AR$17</definedName>
    <definedName name="_xlnm._FilterDatabase" localSheetId="2" hidden="1">'Net Market Benefits'!#REF!</definedName>
    <definedName name="_xlnm._FilterDatabase" localSheetId="8" hidden="1">'NewAndRetiredCapacity Data'!#REF!</definedName>
  </definedNames>
  <calcPr calcId="171027"/>
</workbook>
</file>

<file path=xl/calcChain.xml><?xml version="1.0" encoding="utf-8"?>
<calcChain xmlns="http://schemas.openxmlformats.org/spreadsheetml/2006/main">
  <c r="S24" i="47" l="1"/>
  <c r="R24" i="47"/>
  <c r="L24" i="47"/>
  <c r="K24" i="47"/>
  <c r="E24" i="47"/>
  <c r="D24" i="47"/>
  <c r="S12" i="47"/>
  <c r="R12" i="47"/>
  <c r="L12" i="47"/>
  <c r="K12" i="47"/>
  <c r="E12" i="47"/>
  <c r="D12" i="47"/>
  <c r="T10" i="47"/>
  <c r="T9" i="47"/>
  <c r="T8" i="47"/>
  <c r="T7" i="47"/>
  <c r="T6" i="47"/>
  <c r="T5" i="47"/>
  <c r="Q14" i="29" l="1"/>
  <c r="W14" i="29" l="1"/>
  <c r="V14" i="29"/>
  <c r="E16" i="5"/>
  <c r="F16" i="5"/>
  <c r="G16" i="5"/>
  <c r="H16" i="5"/>
  <c r="I16" i="5"/>
  <c r="J16" i="5"/>
  <c r="K16" i="5"/>
  <c r="L16" i="5"/>
  <c r="M16" i="5"/>
  <c r="N16" i="5"/>
  <c r="O16" i="5"/>
  <c r="P16" i="5"/>
  <c r="Q16" i="5"/>
  <c r="R16" i="5"/>
  <c r="S16" i="5"/>
  <c r="T16" i="5"/>
  <c r="U16" i="5"/>
  <c r="V16" i="5"/>
  <c r="W16" i="5"/>
  <c r="X16" i="5"/>
  <c r="D16" i="5"/>
  <c r="C16" i="5"/>
  <c r="W14" i="2"/>
  <c r="X14" i="2"/>
  <c r="D14" i="2" l="1"/>
  <c r="E14" i="2"/>
  <c r="F14" i="2"/>
  <c r="G14" i="2"/>
  <c r="H14" i="2"/>
  <c r="I14" i="2"/>
  <c r="J14" i="2"/>
  <c r="K14" i="2"/>
  <c r="L14" i="2"/>
  <c r="M14" i="2"/>
  <c r="N14" i="2"/>
  <c r="O14" i="2"/>
  <c r="P14" i="2"/>
  <c r="Q14" i="2"/>
  <c r="R14" i="2"/>
  <c r="S14" i="2"/>
  <c r="T14" i="2"/>
  <c r="U14" i="2"/>
  <c r="V14" i="2"/>
  <c r="C14" i="2"/>
  <c r="B14" i="29" l="1"/>
  <c r="C14" i="29"/>
  <c r="D14" i="29"/>
  <c r="E14" i="29"/>
  <c r="F14" i="29"/>
  <c r="G14" i="29"/>
  <c r="H14" i="29"/>
  <c r="I14" i="29"/>
  <c r="J14" i="29"/>
  <c r="K14" i="29"/>
  <c r="L14" i="29"/>
  <c r="M14" i="29"/>
  <c r="N14" i="29"/>
  <c r="O14" i="29"/>
  <c r="P14" i="29"/>
  <c r="R14" i="29"/>
  <c r="S14" i="29"/>
  <c r="T14" i="29"/>
  <c r="U14" i="29"/>
</calcChain>
</file>

<file path=xl/sharedStrings.xml><?xml version="1.0" encoding="utf-8"?>
<sst xmlns="http://schemas.openxmlformats.org/spreadsheetml/2006/main" count="425" uniqueCount="107">
  <si>
    <t>2018-19</t>
  </si>
  <si>
    <t>2019-20</t>
  </si>
  <si>
    <t>2020-21</t>
  </si>
  <si>
    <t>2021-22</t>
  </si>
  <si>
    <t>2022-23</t>
  </si>
  <si>
    <t>2023-24</t>
  </si>
  <si>
    <t>2024-25</t>
  </si>
  <si>
    <t>2025-26</t>
  </si>
  <si>
    <t>2026-27</t>
  </si>
  <si>
    <t>2027-28</t>
  </si>
  <si>
    <t>2028-29</t>
  </si>
  <si>
    <t>2029-30</t>
  </si>
  <si>
    <t>2030-31</t>
  </si>
  <si>
    <t>2031-32</t>
  </si>
  <si>
    <t>2032-33</t>
  </si>
  <si>
    <t>2033-34</t>
  </si>
  <si>
    <t>2034-35</t>
  </si>
  <si>
    <t>Hydro</t>
  </si>
  <si>
    <t>Wind</t>
  </si>
  <si>
    <t>Total</t>
  </si>
  <si>
    <t>Technology</t>
  </si>
  <si>
    <t>Cumulative NEM Total New Entry / Retired Capacity by Technology (MW)</t>
  </si>
  <si>
    <t>Total NEM Installed Capacity by Technology (MW)</t>
  </si>
  <si>
    <t>Please note that the data format may need to be adjusted in order to view the data to the level of fidelity required. 
For example, you may need to format the cell to a more appropriate number of decimal places in some cases as desired.</t>
  </si>
  <si>
    <t>Index Table</t>
  </si>
  <si>
    <t>Tab Name</t>
  </si>
  <si>
    <t>Content Description</t>
  </si>
  <si>
    <t>NEMInstalledCapacity Figure</t>
  </si>
  <si>
    <t>NEMInstalledCapacity Data</t>
  </si>
  <si>
    <t>NEMEnergyGenerated Figure</t>
  </si>
  <si>
    <t>NEMEnergyGenerated Data</t>
  </si>
  <si>
    <t>NewAndRetiredCapacity Figure</t>
  </si>
  <si>
    <t>NewAndRetiredCapacity Data</t>
  </si>
  <si>
    <t>GenerationInvestment</t>
  </si>
  <si>
    <t>Region</t>
  </si>
  <si>
    <t>NSW</t>
  </si>
  <si>
    <t>QLD</t>
  </si>
  <si>
    <t>VIC</t>
  </si>
  <si>
    <t>SA</t>
  </si>
  <si>
    <t>TAS</t>
  </si>
  <si>
    <t xml:space="preserve">Total </t>
  </si>
  <si>
    <t>Rooftop PV</t>
  </si>
  <si>
    <t>NEM</t>
  </si>
  <si>
    <t>About</t>
  </si>
  <si>
    <t>CCGT</t>
  </si>
  <si>
    <t>2035-36</t>
  </si>
  <si>
    <t>Generation Cost</t>
  </si>
  <si>
    <t>FO&amp;M Cost</t>
  </si>
  <si>
    <t>Build Cost</t>
  </si>
  <si>
    <t>Intra-connectors</t>
  </si>
  <si>
    <t>Inter-connectors</t>
  </si>
  <si>
    <t>Total NEM installed capacity by technology (MW) and total NEM installed capacity by technology and zone (MW), yearly resolution for period 2018–19 to 2039–40.</t>
  </si>
  <si>
    <t>Cumulative NEM total new entry and retired capacity by technology (MW) and cumulative NEM total new entry and retired capacity by technology and zone, yearly resolution for period 2018–19 to 2039–40.</t>
  </si>
  <si>
    <t>Generation investment across the NEM ($ million), yearly resolution for period 2018–19 to 2039–40.</t>
  </si>
  <si>
    <t>Black coal</t>
  </si>
  <si>
    <t>Brown coal</t>
  </si>
  <si>
    <t>Peaking gas + liquids</t>
  </si>
  <si>
    <t>Utility Solar</t>
  </si>
  <si>
    <t>Utility storage</t>
  </si>
  <si>
    <t>Biomass</t>
  </si>
  <si>
    <t>Distributed storage</t>
  </si>
  <si>
    <t>2036-37</t>
  </si>
  <si>
    <t>2037-38</t>
  </si>
  <si>
    <t>2038-39</t>
  </si>
  <si>
    <t>2039-40</t>
  </si>
  <si>
    <t>Distributed storage load</t>
  </si>
  <si>
    <t>Utility storage generation</t>
  </si>
  <si>
    <t>Utility storage load</t>
  </si>
  <si>
    <t>Distributed storage generation</t>
  </si>
  <si>
    <t>Total NEM Generated Energy by Technology (GWh)</t>
  </si>
  <si>
    <t>Annualised Generation Investment across the NEM ($ million)</t>
  </si>
  <si>
    <t>2018 ISP Generation Outlook</t>
  </si>
  <si>
    <t>Total NEM generated energy by technology (GWh) and total NEM generated energy by technology and zone (GWh), yearly resolution for period 2018–19 to 2039–40.</t>
  </si>
  <si>
    <t>NPV ($ million)</t>
  </si>
  <si>
    <t>Breakdown of the total market benefits provided under this scenario. Market benefit is presented as NPV of equivalent annuities.</t>
  </si>
  <si>
    <t>* Excludes annualised cost of committed and advanced generation projects</t>
  </si>
  <si>
    <t>This spreadsheet contains the generation and transmission outlook for the Fast Change scenario of the 2018 ISP. For a complete description of the scenarios and sensitivities, please see the 2018 ISP main report.</t>
  </si>
  <si>
    <t>Market Benefits of Neutral scenario by 2040</t>
  </si>
  <si>
    <t>Market Benefits of Fast Change scenario by 2040</t>
  </si>
  <si>
    <t>Market Benefits of Slow Change scenario by 2040</t>
  </si>
  <si>
    <t>Neutral (without the interconnection plan)</t>
  </si>
  <si>
    <t>Neutral (with interconnection plan)</t>
  </si>
  <si>
    <t>Fast change (without the interconnection plan)</t>
  </si>
  <si>
    <t>Fast change (with interconnection plan)</t>
  </si>
  <si>
    <t>Slow change (without the interconnection plan)</t>
  </si>
  <si>
    <t>Slow change (with interconnection plan)</t>
  </si>
  <si>
    <t>Explicit investment</t>
  </si>
  <si>
    <t>Market Benefits of Neutral with storage intiatives scenario by 2040</t>
  </si>
  <si>
    <t>Market Benefits of Increased Role For Gas scenario by 2040</t>
  </si>
  <si>
    <t>Market Benefits of High DER scenario by 2040</t>
  </si>
  <si>
    <t>Neutral with storage initiatives (without the interconnection plan)</t>
  </si>
  <si>
    <t>Neutral with storage (with interconnection plan)</t>
  </si>
  <si>
    <t>Increased role for gas (without the interconnection plan)</t>
  </si>
  <si>
    <t>Increased role for gas (with interconnection plan)</t>
  </si>
  <si>
    <t>High DER (without the interconnection plan)</t>
  </si>
  <si>
    <t>High DER (with interconnection plan)</t>
  </si>
  <si>
    <t>Market Benefits Summary</t>
  </si>
  <si>
    <t>Market benefits summary for all scenarios in the 2018 ISP. Market benefit is presented as NPV of equivalent annuities.</t>
  </si>
  <si>
    <t>Version Number</t>
  </si>
  <si>
    <t>Version History</t>
  </si>
  <si>
    <t>Description</t>
  </si>
  <si>
    <t>v1.0</t>
  </si>
  <si>
    <t>v2.0</t>
  </si>
  <si>
    <t>Initial release</t>
  </si>
  <si>
    <t>Updated release – added Market Benefits Summary worksheet describing the Gross Market Benefits of each scenario. Updated “Market Benefits” sheet to “Net Market Benefits”</t>
  </si>
  <si>
    <t>Net Market Benefits</t>
  </si>
  <si>
    <t>Net Market Benefits of Fast change scenario by 2040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</si>
</sst>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8" formatCode="&quot;$&quot;#,##0.00;[Red]\-&quot;$&quot;#,##0.00"/>
    <numFmt numFmtId="44" formatCode="_-&quot;$&quot;* #,##0.00_-;\-&quot;$&quot;* #,##0.00_-;_-&quot;$&quot;* &quot;-&quot;??_-;_-@_-"/>
    <numFmt numFmtId="43" formatCode="_-* #,##0.00_-;\-* #,##0.00_-;_-* &quot;-&quot;??_-;_-@_-"/>
    <numFmt numFmtId="164" formatCode="#,##0_ ;\-#,##0\ "/>
    <numFmt numFmtId="165" formatCode="0.000000"/>
    <numFmt numFmtId="166" formatCode="_-* #,##0_-;\-* #,##0_-;_-* &quot;-&quot;??_-;_-@_-"/>
  </numFmts>
  <fonts count="45" x14ac:knownFonts="1">
    <font>
      <sz val="10"/>
      <color theme="1"/>
      <name val="Arial"/>
      <family val="2"/>
    </font>
    <font>
      <sz val="11"/>
      <color theme="1"/>
      <name val="Tw Cen MT"/>
      <family val="2"/>
      <scheme val="minor"/>
    </font>
    <font>
      <sz val="11"/>
      <color theme="1"/>
      <name val="Arial"/>
      <family val="2"/>
    </font>
    <font>
      <sz val="11"/>
      <color theme="1"/>
      <name val="Arial"/>
      <family val="2"/>
    </font>
    <font>
      <sz val="11"/>
      <color theme="1"/>
      <name val="Arial"/>
      <family val="2"/>
    </font>
    <font>
      <sz val="10"/>
      <name val="Arial"/>
      <family val="2"/>
    </font>
    <font>
      <sz val="10"/>
      <color theme="1"/>
      <name val="Arial"/>
      <family val="2"/>
    </font>
    <font>
      <sz val="8"/>
      <color theme="1"/>
      <name val="Arial"/>
      <family val="2"/>
    </font>
    <font>
      <sz val="10"/>
      <color theme="0"/>
      <name val="Arial"/>
      <family val="2"/>
    </font>
    <font>
      <sz val="11"/>
      <color theme="1"/>
      <name val="Arial"/>
      <family val="2"/>
    </font>
    <font>
      <sz val="11"/>
      <color theme="1"/>
      <name val="Tw Cen MT"/>
      <family val="2"/>
      <scheme val="minor"/>
    </font>
    <font>
      <sz val="8"/>
      <color theme="0"/>
      <name val="Arial"/>
      <family val="2"/>
    </font>
    <font>
      <sz val="8"/>
      <color rgb="FF000099"/>
      <name val="Arial"/>
      <family val="2"/>
    </font>
    <font>
      <sz val="7"/>
      <name val="Arial"/>
      <family val="2"/>
    </font>
    <font>
      <sz val="8"/>
      <color rgb="FF000080"/>
      <name val="Arial"/>
      <family val="2"/>
    </font>
    <font>
      <b/>
      <sz val="11"/>
      <color theme="1"/>
      <name val="Arial"/>
      <family val="2"/>
    </font>
    <font>
      <b/>
      <sz val="10"/>
      <color theme="1"/>
      <name val="Arial"/>
      <family val="2"/>
    </font>
    <font>
      <b/>
      <sz val="18"/>
      <color theme="3"/>
      <name val="Tw Cen M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5"/>
      <color rgb="FFF47321"/>
      <name val="Arial"/>
      <family val="2"/>
    </font>
    <font>
      <b/>
      <sz val="11"/>
      <color rgb="FFF47321"/>
      <name val="Arial"/>
      <family val="2"/>
    </font>
    <font>
      <sz val="10"/>
      <color theme="1"/>
      <name val="Tw Cen MT"/>
      <family val="2"/>
      <scheme val="minor"/>
    </font>
    <font>
      <b/>
      <sz val="12"/>
      <color theme="5"/>
      <name val="Tw Cen MT"/>
      <family val="2"/>
      <scheme val="minor"/>
    </font>
    <font>
      <b/>
      <sz val="20"/>
      <color rgb="FFC41230"/>
      <name val="Tw Cen MT"/>
      <family val="2"/>
      <scheme val="major"/>
    </font>
    <font>
      <b/>
      <sz val="14"/>
      <color rgb="FFC41230"/>
      <name val="Tw Cen MT"/>
      <family val="2"/>
      <scheme val="major"/>
    </font>
    <font>
      <b/>
      <sz val="10"/>
      <color theme="1"/>
      <name val="Tw Cen MT"/>
      <family val="2"/>
      <scheme val="minor"/>
    </font>
    <font>
      <b/>
      <sz val="10"/>
      <color theme="5"/>
      <name val="Tw Cen MT"/>
      <family val="2"/>
      <scheme val="minor"/>
    </font>
    <font>
      <b/>
      <sz val="12"/>
      <color rgb="FFC00000"/>
      <name val="Tw Cen MT"/>
      <family val="2"/>
      <scheme val="major"/>
    </font>
    <font>
      <b/>
      <sz val="8"/>
      <color rgb="FF000000"/>
      <name val="Tw Cen MT"/>
      <family val="2"/>
      <scheme val="minor"/>
    </font>
    <font>
      <sz val="8"/>
      <color theme="1"/>
      <name val="Tw Cen MT"/>
      <family val="2"/>
      <scheme val="minor"/>
    </font>
    <font>
      <b/>
      <sz val="8"/>
      <color theme="1"/>
      <name val="Tw Cen MT"/>
      <family val="2"/>
      <scheme val="minor"/>
    </font>
    <font>
      <sz val="10"/>
      <color theme="1"/>
      <name val="Tw Cen MT"/>
      <family val="2"/>
      <scheme val="major"/>
    </font>
    <font>
      <b/>
      <sz val="10"/>
      <name val="Tw Cen MT"/>
      <family val="2"/>
      <scheme val="minor"/>
    </font>
  </fonts>
  <fills count="40">
    <fill>
      <patternFill patternType="none"/>
    </fill>
    <fill>
      <patternFill patternType="gray125"/>
    </fill>
    <fill>
      <patternFill patternType="solid">
        <fgColor theme="4"/>
      </patternFill>
    </fill>
    <fill>
      <patternFill patternType="solid">
        <fgColor indexed="26"/>
      </patternFill>
    </fill>
    <fill>
      <patternFill patternType="solid">
        <fgColor indexed="49"/>
      </patternFill>
    </fill>
    <fill>
      <patternFill patternType="solid">
        <fgColor rgb="FFD9D9D9"/>
        <bgColor indexed="64"/>
      </patternFill>
    </fill>
    <fill>
      <patternFill patternType="solid">
        <fgColor indexed="22"/>
        <bgColor indexed="64"/>
      </patternFill>
    </fill>
    <fill>
      <patternFill patternType="solid">
        <fgColor rgb="FFE6E6E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EFDFD"/>
      </left>
      <right style="thin">
        <color theme="2"/>
      </right>
      <top style="thin">
        <color indexed="64"/>
      </top>
      <bottom style="thin">
        <color indexed="64"/>
      </bottom>
      <diagonal/>
    </border>
    <border>
      <left/>
      <right style="thin">
        <color rgb="FFFEFDFD"/>
      </right>
      <top style="thin">
        <color indexed="64"/>
      </top>
      <bottom style="thin">
        <color indexed="64"/>
      </bottom>
      <diagonal/>
    </border>
    <border>
      <left style="thin">
        <color rgb="FFFEFDFD"/>
      </left>
      <right/>
      <top/>
      <bottom/>
      <diagonal/>
    </border>
    <border>
      <left style="thin">
        <color rgb="FFFEFDFD"/>
      </left>
      <right style="thin">
        <color theme="1" tint="0.749992370372631"/>
      </right>
      <top style="thin">
        <color theme="1" tint="0.749992370372631"/>
      </top>
      <bottom style="thin">
        <color theme="1" tint="0.749992370372631"/>
      </bottom>
      <diagonal/>
    </border>
    <border>
      <left style="thin">
        <color rgb="FFFEFDFD"/>
      </left>
      <right style="thin">
        <color theme="1" tint="0.749992370372631"/>
      </right>
      <top style="thin">
        <color indexed="64"/>
      </top>
      <bottom style="thin">
        <color theme="1" tint="0.749992370372631"/>
      </bottom>
      <diagonal/>
    </border>
    <border>
      <left style="thin">
        <color theme="1" tint="0.749992370372631"/>
      </left>
      <right style="thin">
        <color rgb="FFFEFDFD"/>
      </right>
      <top style="thin">
        <color indexed="64"/>
      </top>
      <bottom style="thin">
        <color theme="1" tint="0.749992370372631"/>
      </bottom>
      <diagonal/>
    </border>
    <border>
      <left style="thin">
        <color theme="1" tint="0.749992370372631"/>
      </left>
      <right style="thin">
        <color rgb="FFFEFDFD"/>
      </right>
      <top/>
      <bottom/>
      <diagonal/>
    </border>
    <border>
      <left style="thin">
        <color theme="1" tint="0.749992370372631"/>
      </left>
      <right style="thin">
        <color rgb="FFFEFDFD"/>
      </right>
      <top style="thin">
        <color theme="1" tint="0.749992370372631"/>
      </top>
      <bottom style="thin">
        <color theme="1" tint="0.749992370372631"/>
      </bottom>
      <diagonal/>
    </border>
    <border>
      <left style="thin">
        <color theme="1" tint="0.749992370372631"/>
      </left>
      <right style="thin">
        <color rgb="FFFEFDFD"/>
      </right>
      <top style="thin">
        <color theme="1" tint="0.749992370372631"/>
      </top>
      <bottom/>
      <diagonal/>
    </border>
    <border>
      <left style="thin">
        <color theme="1" tint="0.749992370372631"/>
      </left>
      <right style="thin">
        <color rgb="FFFEFDFD"/>
      </right>
      <top/>
      <bottom style="thin">
        <color theme="1" tint="0.749992370372631"/>
      </bottom>
      <diagonal/>
    </border>
    <border>
      <left/>
      <right/>
      <top style="thin">
        <color theme="1" tint="0.749992370372631"/>
      </top>
      <bottom/>
      <diagonal/>
    </border>
    <border>
      <left style="thin">
        <color rgb="FFFEFDFD"/>
      </left>
      <right style="thin">
        <color theme="1" tint="0.749992370372631"/>
      </right>
      <top style="thin">
        <color theme="1" tint="0.749992370372631"/>
      </top>
      <bottom/>
      <diagonal/>
    </border>
    <border>
      <left/>
      <right/>
      <top style="thin">
        <color indexed="64"/>
      </top>
      <bottom style="thin">
        <color indexed="64"/>
      </bottom>
      <diagonal/>
    </border>
    <border>
      <left/>
      <right style="medium">
        <color theme="0"/>
      </right>
      <top style="thin">
        <color indexed="64"/>
      </top>
      <bottom/>
      <diagonal/>
    </border>
    <border>
      <left/>
      <right style="medium">
        <color theme="0"/>
      </right>
      <top/>
      <bottom/>
      <diagonal/>
    </border>
    <border>
      <left/>
      <right style="medium">
        <color theme="0"/>
      </right>
      <top/>
      <bottom style="medium">
        <color theme="0"/>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right/>
      <top/>
      <bottom style="thin">
        <color indexed="64"/>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s>
  <cellStyleXfs count="711">
    <xf numFmtId="0" fontId="0" fillId="0" borderId="0"/>
    <xf numFmtId="0" fontId="6" fillId="0" borderId="0"/>
    <xf numFmtId="0" fontId="9" fillId="0" borderId="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10" fillId="0" borderId="0"/>
    <xf numFmtId="0" fontId="10"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0" fontId="5" fillId="0" borderId="0"/>
    <xf numFmtId="0" fontId="7"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3" borderId="1" applyNumberFormat="0" applyFont="0" applyAlignment="0" applyProtection="0"/>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9" fontId="5" fillId="0" borderId="0" applyFont="0" applyFill="0" applyBorder="0" applyAlignment="0" applyProtection="0"/>
    <xf numFmtId="9" fontId="5" fillId="0" borderId="0" applyFont="0" applyFill="0" applyBorder="0" applyAlignment="0" applyProtection="0"/>
    <xf numFmtId="4" fontId="7" fillId="0" borderId="0" applyNumberFormat="0" applyBorder="0" applyAlignment="0" applyProtection="0">
      <alignment horizontal="center"/>
    </xf>
    <xf numFmtId="0" fontId="12" fillId="5" borderId="0">
      <alignment horizontal="center" wrapText="1"/>
    </xf>
    <xf numFmtId="0" fontId="13" fillId="0" borderId="0" applyNumberFormat="0" applyBorder="0">
      <alignment horizontal="left" wrapText="1"/>
    </xf>
    <xf numFmtId="0" fontId="13" fillId="0" borderId="0" applyNumberFormat="0" applyBorder="0">
      <alignment horizontal="left" wrapText="1"/>
    </xf>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4" fillId="0" borderId="0"/>
    <xf numFmtId="43" fontId="6" fillId="0" borderId="0" applyFont="0" applyFill="0" applyBorder="0" applyAlignment="0" applyProtection="0"/>
    <xf numFmtId="0" fontId="4" fillId="0" borderId="0"/>
    <xf numFmtId="0" fontId="4" fillId="0" borderId="0"/>
    <xf numFmtId="0" fontId="17" fillId="0" borderId="0" applyNumberFormat="0" applyFill="0" applyBorder="0" applyAlignment="0" applyProtection="0"/>
    <xf numFmtId="0" fontId="18" fillId="0" borderId="2" applyNumberFormat="0" applyFill="0" applyAlignment="0" applyProtection="0"/>
    <xf numFmtId="0" fontId="19" fillId="0" borderId="3" applyNumberFormat="0" applyFill="0" applyAlignment="0" applyProtection="0"/>
    <xf numFmtId="0" fontId="20" fillId="0" borderId="4" applyNumberFormat="0" applyFill="0" applyAlignment="0" applyProtection="0"/>
    <xf numFmtId="0" fontId="20" fillId="0" borderId="0" applyNumberFormat="0" applyFill="0" applyBorder="0" applyAlignment="0" applyProtection="0"/>
    <xf numFmtId="0" fontId="21" fillId="8" borderId="0" applyNumberFormat="0" applyBorder="0" applyAlignment="0" applyProtection="0"/>
    <xf numFmtId="0" fontId="22" fillId="9" borderId="0" applyNumberFormat="0" applyBorder="0" applyAlignment="0" applyProtection="0"/>
    <xf numFmtId="0" fontId="23" fillId="10" borderId="0" applyNumberFormat="0" applyBorder="0" applyAlignment="0" applyProtection="0"/>
    <xf numFmtId="0" fontId="24" fillId="11" borderId="5" applyNumberFormat="0" applyAlignment="0" applyProtection="0"/>
    <xf numFmtId="0" fontId="25" fillId="12" borderId="6" applyNumberFormat="0" applyAlignment="0" applyProtection="0"/>
    <xf numFmtId="0" fontId="26" fillId="12" borderId="5" applyNumberFormat="0" applyAlignment="0" applyProtection="0"/>
    <xf numFmtId="0" fontId="27" fillId="0" borderId="7" applyNumberFormat="0" applyFill="0" applyAlignment="0" applyProtection="0"/>
    <xf numFmtId="0" fontId="28" fillId="13" borderId="8"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16" fillId="0" borderId="10" applyNumberFormat="0" applyFill="0" applyAlignment="0" applyProtection="0"/>
    <xf numFmtId="0" fontId="8" fillId="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8" fillId="37" borderId="0" applyNumberFormat="0" applyBorder="0" applyAlignment="0" applyProtection="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6" fillId="0" borderId="0"/>
    <xf numFmtId="43" fontId="6" fillId="0" borderId="0" applyFont="0" applyFill="0" applyBorder="0" applyAlignment="0" applyProtection="0"/>
  </cellStyleXfs>
  <cellXfs count="104">
    <xf numFmtId="0" fontId="0" fillId="0" borderId="0" xfId="0"/>
    <xf numFmtId="0" fontId="9" fillId="0" borderId="0" xfId="2"/>
    <xf numFmtId="0" fontId="15" fillId="0" borderId="0" xfId="2" applyFont="1"/>
    <xf numFmtId="165" fontId="0" fillId="0" borderId="0" xfId="0" applyNumberFormat="1"/>
    <xf numFmtId="0" fontId="4" fillId="0" borderId="0" xfId="2" applyFont="1" applyFill="1"/>
    <xf numFmtId="0" fontId="9" fillId="0" borderId="0" xfId="2" applyFill="1"/>
    <xf numFmtId="164" fontId="9" fillId="0" borderId="0" xfId="2" applyNumberFormat="1"/>
    <xf numFmtId="0" fontId="0" fillId="0" borderId="0" xfId="0"/>
    <xf numFmtId="0" fontId="31" fillId="38" borderId="0" xfId="0" applyFont="1" applyFill="1" applyAlignment="1">
      <alignment vertical="center"/>
    </xf>
    <xf numFmtId="0" fontId="32" fillId="38" borderId="0" xfId="0" applyFont="1" applyFill="1" applyAlignment="1">
      <alignment horizontal="left" vertical="center"/>
    </xf>
    <xf numFmtId="0" fontId="7" fillId="0" borderId="0" xfId="0" applyFont="1"/>
    <xf numFmtId="164" fontId="7" fillId="0" borderId="0" xfId="0" applyNumberFormat="1" applyFont="1"/>
    <xf numFmtId="0" fontId="7" fillId="0" borderId="0" xfId="2" applyFont="1"/>
    <xf numFmtId="0" fontId="0" fillId="38" borderId="0" xfId="0" applyFont="1" applyFill="1" applyAlignment="1">
      <alignment horizontal="left" vertical="center" wrapText="1"/>
    </xf>
    <xf numFmtId="0" fontId="0" fillId="38" borderId="0" xfId="0" applyFill="1"/>
    <xf numFmtId="0" fontId="7" fillId="38" borderId="0" xfId="0" applyFont="1" applyFill="1"/>
    <xf numFmtId="0" fontId="35" fillId="38" borderId="0" xfId="0" applyFont="1" applyFill="1" applyAlignment="1">
      <alignment vertical="center"/>
    </xf>
    <xf numFmtId="0" fontId="36" fillId="38" borderId="0" xfId="0" applyFont="1" applyFill="1" applyAlignment="1">
      <alignment horizontal="left" vertical="center"/>
    </xf>
    <xf numFmtId="0" fontId="34" fillId="38" borderId="12" xfId="0" applyFont="1" applyFill="1" applyBorder="1" applyAlignment="1">
      <alignment wrapText="1"/>
    </xf>
    <xf numFmtId="0" fontId="34" fillId="38" borderId="11" xfId="0" applyFont="1" applyFill="1" applyBorder="1"/>
    <xf numFmtId="0" fontId="33" fillId="38" borderId="13" xfId="0" applyFont="1" applyFill="1" applyBorder="1" applyAlignment="1">
      <alignment horizontal="left" vertical="center" wrapText="1"/>
    </xf>
    <xf numFmtId="0" fontId="33" fillId="38" borderId="14" xfId="0" applyFont="1" applyFill="1" applyBorder="1" applyAlignment="1">
      <alignment horizontal="left" vertical="center" wrapText="1"/>
    </xf>
    <xf numFmtId="0" fontId="33" fillId="38" borderId="15" xfId="0" applyFont="1" applyFill="1" applyBorder="1" applyAlignment="1">
      <alignment horizontal="left" vertical="center" wrapText="1"/>
    </xf>
    <xf numFmtId="0" fontId="33" fillId="38" borderId="16" xfId="0" applyFont="1" applyFill="1" applyBorder="1" applyAlignment="1">
      <alignment horizontal="left" vertical="center" wrapText="1"/>
    </xf>
    <xf numFmtId="0" fontId="33" fillId="38" borderId="18" xfId="0" applyFont="1" applyFill="1" applyBorder="1" applyAlignment="1">
      <alignment horizontal="left" vertical="center" wrapText="1"/>
    </xf>
    <xf numFmtId="0" fontId="33" fillId="38" borderId="22" xfId="0" applyFont="1" applyFill="1" applyBorder="1" applyAlignment="1">
      <alignment horizontal="left" vertical="center" wrapText="1"/>
    </xf>
    <xf numFmtId="0" fontId="7" fillId="38" borderId="21" xfId="0" applyFont="1" applyFill="1" applyBorder="1"/>
    <xf numFmtId="0" fontId="16" fillId="0" borderId="0" xfId="0" applyFont="1" applyBorder="1" applyAlignment="1"/>
    <xf numFmtId="0" fontId="0" fillId="0" borderId="0" xfId="0" applyFill="1" applyBorder="1"/>
    <xf numFmtId="0" fontId="33" fillId="0" borderId="0" xfId="0" applyFont="1" applyFill="1" applyBorder="1" applyAlignment="1">
      <alignment horizontal="left" vertical="center" wrapText="1"/>
    </xf>
    <xf numFmtId="166" fontId="33" fillId="0" borderId="0" xfId="618" applyNumberFormat="1" applyFont="1" applyFill="1" applyBorder="1" applyAlignment="1">
      <alignment horizontal="left" vertical="center" wrapText="1"/>
    </xf>
    <xf numFmtId="0" fontId="37" fillId="0" borderId="0" xfId="0" applyFont="1" applyFill="1" applyBorder="1" applyAlignment="1">
      <alignment horizontal="left" vertical="center" wrapText="1"/>
    </xf>
    <xf numFmtId="166" fontId="37" fillId="0" borderId="0" xfId="618" applyNumberFormat="1" applyFont="1" applyFill="1" applyBorder="1" applyAlignment="1">
      <alignment horizontal="left" vertical="center" wrapText="1"/>
    </xf>
    <xf numFmtId="0" fontId="39" fillId="0" borderId="0" xfId="0" applyFont="1" applyBorder="1" applyAlignment="1"/>
    <xf numFmtId="0" fontId="39" fillId="0" borderId="0" xfId="617" applyFont="1" applyFill="1" applyBorder="1"/>
    <xf numFmtId="0" fontId="33" fillId="0" borderId="0" xfId="0" applyFont="1" applyFill="1" applyBorder="1"/>
    <xf numFmtId="164" fontId="33" fillId="0" borderId="0" xfId="0" applyNumberFormat="1" applyFont="1" applyFill="1" applyBorder="1"/>
    <xf numFmtId="164" fontId="41" fillId="0" borderId="0" xfId="618" applyNumberFormat="1" applyFont="1" applyFill="1" applyBorder="1" applyAlignment="1">
      <alignment horizontal="left"/>
    </xf>
    <xf numFmtId="164" fontId="41" fillId="0" borderId="0" xfId="618" applyNumberFormat="1" applyFont="1" applyFill="1" applyBorder="1" applyAlignment="1">
      <alignment horizontal="right"/>
    </xf>
    <xf numFmtId="0" fontId="41" fillId="0" borderId="0" xfId="0" applyFont="1" applyFill="1" applyBorder="1"/>
    <xf numFmtId="164" fontId="42" fillId="0" borderId="0" xfId="618" applyNumberFormat="1" applyFont="1" applyFill="1" applyBorder="1" applyAlignment="1">
      <alignment horizontal="right"/>
    </xf>
    <xf numFmtId="164" fontId="41" fillId="0" borderId="0" xfId="0" applyNumberFormat="1" applyFont="1" applyFill="1" applyBorder="1"/>
    <xf numFmtId="166" fontId="41" fillId="0" borderId="0" xfId="618" applyNumberFormat="1" applyFont="1" applyFill="1" applyBorder="1" applyAlignment="1">
      <alignment horizontal="right"/>
    </xf>
    <xf numFmtId="0" fontId="43" fillId="0" borderId="0" xfId="0" applyFont="1" applyFill="1" applyBorder="1"/>
    <xf numFmtId="164" fontId="43" fillId="0" borderId="0" xfId="0" applyNumberFormat="1" applyFont="1" applyFill="1" applyBorder="1"/>
    <xf numFmtId="164" fontId="41" fillId="39" borderId="0" xfId="618" applyNumberFormat="1" applyFont="1" applyFill="1" applyBorder="1" applyAlignment="1">
      <alignment horizontal="left"/>
    </xf>
    <xf numFmtId="164" fontId="42" fillId="39" borderId="0" xfId="618" applyNumberFormat="1" applyFont="1" applyFill="1" applyBorder="1" applyAlignment="1">
      <alignment horizontal="left"/>
    </xf>
    <xf numFmtId="164" fontId="41" fillId="39" borderId="0" xfId="618" applyNumberFormat="1" applyFont="1" applyFill="1" applyBorder="1" applyAlignment="1">
      <alignment horizontal="right"/>
    </xf>
    <xf numFmtId="164" fontId="42" fillId="39" borderId="0" xfId="618" applyNumberFormat="1" applyFont="1" applyFill="1" applyBorder="1" applyAlignment="1">
      <alignment horizontal="right"/>
    </xf>
    <xf numFmtId="166" fontId="41" fillId="39" borderId="0" xfId="618" applyNumberFormat="1" applyFont="1" applyFill="1" applyBorder="1" applyAlignment="1">
      <alignment horizontal="right"/>
    </xf>
    <xf numFmtId="0" fontId="42" fillId="0" borderId="23" xfId="0" applyFont="1" applyFill="1" applyBorder="1" applyAlignment="1">
      <alignment horizontal="left" vertical="center" wrapText="1"/>
    </xf>
    <xf numFmtId="0" fontId="40" fillId="39" borderId="23" xfId="0" applyFont="1" applyFill="1" applyBorder="1" applyAlignment="1">
      <alignment horizontal="left" vertical="center" wrapText="1"/>
    </xf>
    <xf numFmtId="0" fontId="40" fillId="0" borderId="23" xfId="0" applyFont="1" applyFill="1" applyBorder="1" applyAlignment="1">
      <alignment horizontal="center" vertical="center"/>
    </xf>
    <xf numFmtId="0" fontId="40" fillId="39" borderId="23" xfId="0" applyFont="1" applyFill="1" applyBorder="1" applyAlignment="1">
      <alignment horizontal="center" vertical="center"/>
    </xf>
    <xf numFmtId="0" fontId="0" fillId="0" borderId="0" xfId="0" applyAlignment="1">
      <alignment horizontal="right"/>
    </xf>
    <xf numFmtId="0" fontId="40" fillId="0" borderId="23" xfId="0" applyFont="1" applyFill="1" applyBorder="1" applyAlignment="1">
      <alignment horizontal="right" vertical="center"/>
    </xf>
    <xf numFmtId="0" fontId="40" fillId="39" borderId="23" xfId="0" applyFont="1" applyFill="1" applyBorder="1" applyAlignment="1">
      <alignment horizontal="right" vertical="center"/>
    </xf>
    <xf numFmtId="164" fontId="0" fillId="0" borderId="0" xfId="0" applyNumberFormat="1" applyAlignment="1">
      <alignment horizontal="right"/>
    </xf>
    <xf numFmtId="0" fontId="34" fillId="0" borderId="23" xfId="0" applyFont="1" applyFill="1" applyBorder="1"/>
    <xf numFmtId="0" fontId="38" fillId="0" borderId="23" xfId="0" applyFont="1" applyFill="1" applyBorder="1"/>
    <xf numFmtId="0" fontId="7" fillId="38" borderId="0" xfId="0" applyFont="1" applyFill="1" applyBorder="1"/>
    <xf numFmtId="8" fontId="41" fillId="0" borderId="0" xfId="0" applyNumberFormat="1" applyFont="1"/>
    <xf numFmtId="0" fontId="1" fillId="38" borderId="0" xfId="708" applyFill="1"/>
    <xf numFmtId="0" fontId="1" fillId="38" borderId="27" xfId="708" applyFill="1" applyBorder="1"/>
    <xf numFmtId="0" fontId="1" fillId="38" borderId="28" xfId="708" applyFill="1" applyBorder="1"/>
    <xf numFmtId="0" fontId="1" fillId="38" borderId="29" xfId="708" applyFill="1" applyBorder="1"/>
    <xf numFmtId="0" fontId="1" fillId="38" borderId="30" xfId="708" applyFill="1" applyBorder="1"/>
    <xf numFmtId="0" fontId="39" fillId="38" borderId="0" xfId="709" applyFont="1" applyFill="1" applyBorder="1" applyAlignment="1"/>
    <xf numFmtId="0" fontId="16" fillId="38" borderId="0" xfId="709" applyFont="1" applyFill="1" applyBorder="1" applyAlignment="1"/>
    <xf numFmtId="0" fontId="1" fillId="38" borderId="0" xfId="708" applyFill="1" applyBorder="1"/>
    <xf numFmtId="0" fontId="1" fillId="38" borderId="31" xfId="708" applyFill="1" applyBorder="1"/>
    <xf numFmtId="0" fontId="34" fillId="38" borderId="23" xfId="709" applyFont="1" applyFill="1" applyBorder="1"/>
    <xf numFmtId="0" fontId="44" fillId="38" borderId="23" xfId="709" applyFont="1" applyFill="1" applyBorder="1" applyAlignment="1">
      <alignment horizontal="right" wrapText="1"/>
    </xf>
    <xf numFmtId="0" fontId="44" fillId="38" borderId="23" xfId="709" applyFont="1" applyFill="1" applyBorder="1" applyAlignment="1">
      <alignment horizontal="right"/>
    </xf>
    <xf numFmtId="0" fontId="34" fillId="38" borderId="23" xfId="709" applyFont="1" applyFill="1" applyBorder="1" applyAlignment="1">
      <alignment horizontal="right" wrapText="1"/>
    </xf>
    <xf numFmtId="0" fontId="33" fillId="38" borderId="0" xfId="709" applyFont="1" applyFill="1" applyBorder="1" applyAlignment="1">
      <alignment horizontal="left" vertical="center" wrapText="1"/>
    </xf>
    <xf numFmtId="166" fontId="33" fillId="38" borderId="0" xfId="710" applyNumberFormat="1" applyFont="1" applyFill="1" applyBorder="1" applyAlignment="1">
      <alignment horizontal="left" vertical="center" wrapText="1"/>
    </xf>
    <xf numFmtId="0" fontId="37" fillId="38" borderId="32" xfId="709" applyFont="1" applyFill="1" applyBorder="1" applyAlignment="1">
      <alignment horizontal="left" vertical="center" wrapText="1"/>
    </xf>
    <xf numFmtId="166" fontId="37" fillId="38" borderId="32" xfId="710" applyNumberFormat="1" applyFont="1" applyFill="1" applyBorder="1" applyAlignment="1">
      <alignment horizontal="left" vertical="center" wrapText="1"/>
    </xf>
    <xf numFmtId="0" fontId="1" fillId="38" borderId="33" xfId="708" applyFill="1" applyBorder="1"/>
    <xf numFmtId="0" fontId="1" fillId="38" borderId="35" xfId="708" applyFill="1" applyBorder="1"/>
    <xf numFmtId="0" fontId="1" fillId="38" borderId="34" xfId="708" applyFill="1" applyBorder="1"/>
    <xf numFmtId="0" fontId="33" fillId="38" borderId="17" xfId="0" applyFont="1" applyFill="1" applyBorder="1" applyAlignment="1">
      <alignment horizontal="left" vertical="center" wrapText="1"/>
    </xf>
    <xf numFmtId="0" fontId="33" fillId="38" borderId="0" xfId="0" applyFont="1" applyFill="1" applyAlignment="1">
      <alignment horizontal="left" vertical="center" wrapText="1"/>
    </xf>
    <xf numFmtId="0" fontId="37" fillId="38" borderId="0" xfId="709" applyFont="1" applyFill="1" applyBorder="1" applyAlignment="1">
      <alignment horizontal="left" vertical="center" wrapText="1"/>
    </xf>
    <xf numFmtId="166" fontId="37" fillId="38" borderId="0" xfId="710" applyNumberFormat="1" applyFont="1" applyFill="1" applyBorder="1" applyAlignment="1">
      <alignment horizontal="left" vertical="center" wrapText="1"/>
    </xf>
    <xf numFmtId="0" fontId="37" fillId="38" borderId="34" xfId="709" applyFont="1" applyFill="1" applyBorder="1" applyAlignment="1">
      <alignment horizontal="left" vertical="center" wrapText="1"/>
    </xf>
    <xf numFmtId="166" fontId="37" fillId="38" borderId="34" xfId="710" applyNumberFormat="1" applyFont="1" applyFill="1" applyBorder="1" applyAlignment="1">
      <alignment horizontal="left" vertical="center" wrapText="1"/>
    </xf>
    <xf numFmtId="0" fontId="33" fillId="38" borderId="15" xfId="0" applyFont="1" applyFill="1" applyBorder="1" applyAlignment="1">
      <alignment horizontal="center" vertical="center" wrapText="1"/>
    </xf>
    <xf numFmtId="0" fontId="33" fillId="38" borderId="22" xfId="0" applyFont="1" applyFill="1" applyBorder="1" applyAlignment="1">
      <alignment horizontal="center" vertical="center" wrapText="1"/>
    </xf>
    <xf numFmtId="0" fontId="34" fillId="38" borderId="11" xfId="0" applyFont="1" applyFill="1" applyBorder="1" applyAlignment="1">
      <alignment horizontal="center"/>
    </xf>
    <xf numFmtId="0" fontId="33" fillId="38" borderId="19" xfId="0" applyFont="1" applyFill="1" applyBorder="1" applyAlignment="1">
      <alignment horizontal="left" vertical="center" wrapText="1"/>
    </xf>
    <xf numFmtId="0" fontId="33" fillId="38" borderId="17" xfId="0" applyFont="1" applyFill="1" applyBorder="1" applyAlignment="1">
      <alignment horizontal="left" vertical="center" wrapText="1"/>
    </xf>
    <xf numFmtId="0" fontId="0" fillId="38" borderId="0" xfId="0" applyFont="1" applyFill="1" applyAlignment="1">
      <alignment horizontal="left" vertical="center" wrapText="1"/>
    </xf>
    <xf numFmtId="0" fontId="33" fillId="38" borderId="0" xfId="0" applyFont="1" applyFill="1" applyAlignment="1">
      <alignment horizontal="left" vertical="center" wrapText="1"/>
    </xf>
    <xf numFmtId="0" fontId="33" fillId="38" borderId="20" xfId="0" applyFont="1" applyFill="1" applyBorder="1" applyAlignment="1">
      <alignment horizontal="left" vertical="center" wrapText="1"/>
    </xf>
    <xf numFmtId="0" fontId="41" fillId="0" borderId="0" xfId="1" applyFont="1" applyFill="1" applyBorder="1" applyAlignment="1">
      <alignment horizontal="center" vertical="center"/>
    </xf>
    <xf numFmtId="0" fontId="41" fillId="39" borderId="0" xfId="1" applyFont="1" applyFill="1" applyBorder="1" applyAlignment="1">
      <alignment horizontal="center" vertical="center"/>
    </xf>
    <xf numFmtId="0" fontId="41" fillId="0" borderId="24" xfId="1" applyFont="1" applyFill="1" applyBorder="1" applyAlignment="1">
      <alignment horizontal="center" vertical="center"/>
    </xf>
    <xf numFmtId="0" fontId="41" fillId="0" borderId="25" xfId="1" applyFont="1" applyFill="1" applyBorder="1" applyAlignment="1">
      <alignment horizontal="center" vertical="center"/>
    </xf>
    <xf numFmtId="0" fontId="41" fillId="0" borderId="26" xfId="1" applyFont="1" applyFill="1" applyBorder="1" applyAlignment="1">
      <alignment horizontal="center" vertical="center"/>
    </xf>
    <xf numFmtId="0" fontId="41" fillId="39" borderId="24" xfId="1" applyFont="1" applyFill="1" applyBorder="1" applyAlignment="1">
      <alignment horizontal="center" vertical="center"/>
    </xf>
    <xf numFmtId="0" fontId="41" fillId="39" borderId="25" xfId="1" applyFont="1" applyFill="1" applyBorder="1" applyAlignment="1">
      <alignment horizontal="center" vertical="center"/>
    </xf>
    <xf numFmtId="0" fontId="41" fillId="39" borderId="26" xfId="1" applyFont="1" applyFill="1" applyBorder="1" applyAlignment="1">
      <alignment horizontal="center" vertical="center"/>
    </xf>
  </cellXfs>
  <cellStyles count="711">
    <cellStyle name="20% - Accent1" xfId="638" builtinId="30" customBuiltin="1"/>
    <cellStyle name="20% - Accent1 2" xfId="676"/>
    <cellStyle name="20% - Accent1 3" xfId="662"/>
    <cellStyle name="20% - Accent2" xfId="642" builtinId="34" customBuiltin="1"/>
    <cellStyle name="20% - Accent2 2" xfId="678"/>
    <cellStyle name="20% - Accent2 3" xfId="664"/>
    <cellStyle name="20% - Accent3" xfId="646" builtinId="38" customBuiltin="1"/>
    <cellStyle name="20% - Accent3 2" xfId="680"/>
    <cellStyle name="20% - Accent3 3" xfId="666"/>
    <cellStyle name="20% - Accent4" xfId="650" builtinId="42" customBuiltin="1"/>
    <cellStyle name="20% - Accent4 2" xfId="682"/>
    <cellStyle name="20% - Accent4 3" xfId="668"/>
    <cellStyle name="20% - Accent5" xfId="654" builtinId="46" customBuiltin="1"/>
    <cellStyle name="20% - Accent5 2" xfId="684"/>
    <cellStyle name="20% - Accent5 3" xfId="670"/>
    <cellStyle name="20% - Accent6" xfId="658" builtinId="50" customBuiltin="1"/>
    <cellStyle name="20% - Accent6 2" xfId="686"/>
    <cellStyle name="20% - Accent6 3" xfId="672"/>
    <cellStyle name="40% - Accent1" xfId="639" builtinId="31" customBuiltin="1"/>
    <cellStyle name="40% - Accent1 2" xfId="677"/>
    <cellStyle name="40% - Accent1 3" xfId="663"/>
    <cellStyle name="40% - Accent2" xfId="643" builtinId="35" customBuiltin="1"/>
    <cellStyle name="40% - Accent2 2" xfId="679"/>
    <cellStyle name="40% - Accent2 3" xfId="665"/>
    <cellStyle name="40% - Accent3" xfId="647" builtinId="39" customBuiltin="1"/>
    <cellStyle name="40% - Accent3 2" xfId="681"/>
    <cellStyle name="40% - Accent3 3" xfId="667"/>
    <cellStyle name="40% - Accent4" xfId="651" builtinId="43" customBuiltin="1"/>
    <cellStyle name="40% - Accent4 2" xfId="683"/>
    <cellStyle name="40% - Accent4 3" xfId="669"/>
    <cellStyle name="40% - Accent5" xfId="655" builtinId="47" customBuiltin="1"/>
    <cellStyle name="40% - Accent5 2" xfId="685"/>
    <cellStyle name="40% - Accent5 3" xfId="671"/>
    <cellStyle name="40% - Accent6" xfId="659" builtinId="51" customBuiltin="1"/>
    <cellStyle name="40% - Accent6 2" xfId="687"/>
    <cellStyle name="40% - Accent6 3" xfId="673"/>
    <cellStyle name="60% - Accent1" xfId="640" builtinId="32" customBuiltin="1"/>
    <cellStyle name="60% - Accent2" xfId="644" builtinId="36" customBuiltin="1"/>
    <cellStyle name="60% - Accent3" xfId="648" builtinId="40" customBuiltin="1"/>
    <cellStyle name="60% - Accent4" xfId="652" builtinId="44" customBuiltin="1"/>
    <cellStyle name="60% - Accent5" xfId="656" builtinId="48" customBuiltin="1"/>
    <cellStyle name="60% - Accent6" xfId="660" builtinId="52" customBuiltin="1"/>
    <cellStyle name="Accent1" xfId="637" builtinId="29" customBuiltin="1"/>
    <cellStyle name="Accent2" xfId="641" builtinId="33" customBuiltin="1"/>
    <cellStyle name="Accent3" xfId="645" builtinId="37" customBuiltin="1"/>
    <cellStyle name="Accent4" xfId="649" builtinId="41" customBuiltin="1"/>
    <cellStyle name="Accent5" xfId="653" builtinId="45" customBuiltin="1"/>
    <cellStyle name="Accent6" xfId="657" builtinId="49" customBuiltin="1"/>
    <cellStyle name="Bad" xfId="627" builtinId="27" customBuiltin="1"/>
    <cellStyle name="Calculation" xfId="631" builtinId="22" customBuiltin="1"/>
    <cellStyle name="Check Cell" xfId="633" builtinId="23" customBuiltin="1"/>
    <cellStyle name="Comma" xfId="618" builtinId="3"/>
    <cellStyle name="Comma 2" xfId="3"/>
    <cellStyle name="Comma 3" xfId="710"/>
    <cellStyle name="Comma 4" xfId="4"/>
    <cellStyle name="Comma 4 2" xfId="5"/>
    <cellStyle name="Currency 2" xfId="6"/>
    <cellStyle name="Explanatory Text" xfId="635" builtinId="53" customBuiltin="1"/>
    <cellStyle name="Good" xfId="626" builtinId="26" customBuiltin="1"/>
    <cellStyle name="Heading 1" xfId="622" builtinId="16" customBuiltin="1"/>
    <cellStyle name="Heading 2" xfId="623" builtinId="17" customBuiltin="1"/>
    <cellStyle name="Heading 3" xfId="624" builtinId="18" customBuiltin="1"/>
    <cellStyle name="Heading 4" xfId="625" builtinId="19" customBuiltin="1"/>
    <cellStyle name="Input" xfId="629" builtinId="20" customBuiltin="1"/>
    <cellStyle name="Linked Cell" xfId="632" builtinId="24" customBuiltin="1"/>
    <cellStyle name="Neutral" xfId="628" builtinId="28" customBuiltin="1"/>
    <cellStyle name="Normal" xfId="0" builtinId="0"/>
    <cellStyle name="Normal 10" xfId="7"/>
    <cellStyle name="Normal 10 10" xfId="8"/>
    <cellStyle name="Normal 10 13" xfId="9"/>
    <cellStyle name="Normal 10 5" xfId="10"/>
    <cellStyle name="Normal 10 8" xfId="11"/>
    <cellStyle name="Normal 10 9" xfId="12"/>
    <cellStyle name="Normal 106" xfId="13"/>
    <cellStyle name="Normal 11" xfId="14"/>
    <cellStyle name="Normal 11 2" xfId="15"/>
    <cellStyle name="Normal 12" xfId="617"/>
    <cellStyle name="Normal 12 2" xfId="692"/>
    <cellStyle name="Normal 12 2 2" xfId="696"/>
    <cellStyle name="Normal 12 3" xfId="697"/>
    <cellStyle name="Normal 12 4" xfId="695"/>
    <cellStyle name="Normal 13" xfId="698"/>
    <cellStyle name="Normal 14" xfId="699"/>
    <cellStyle name="Normal 15" xfId="708"/>
    <cellStyle name="Normal 15 2" xfId="709"/>
    <cellStyle name="Normal 160 2" xfId="16"/>
    <cellStyle name="Normal 176 2" xfId="17"/>
    <cellStyle name="Normal 177 2" xfId="18"/>
    <cellStyle name="Normal 2" xfId="1"/>
    <cellStyle name="Normal 2 2" xfId="19"/>
    <cellStyle name="Normal 2 2 2" xfId="688"/>
    <cellStyle name="Normal 2 3" xfId="20"/>
    <cellStyle name="Normal 2 3 2" xfId="674"/>
    <cellStyle name="Normal 2 4" xfId="21"/>
    <cellStyle name="Normal 2 4 2" xfId="22"/>
    <cellStyle name="Normal 2 4 2 2" xfId="23"/>
    <cellStyle name="Normal 2 4 3" xfId="24"/>
    <cellStyle name="Normal 2 4 3 2" xfId="25"/>
    <cellStyle name="Normal 2 4 4" xfId="26"/>
    <cellStyle name="Normal 2 5" xfId="27"/>
    <cellStyle name="Normal 2 5 2" xfId="28"/>
    <cellStyle name="Normal 2 6" xfId="29"/>
    <cellStyle name="Normal 2 6 2" xfId="30"/>
    <cellStyle name="Normal 2 7" xfId="31"/>
    <cellStyle name="Normal 22 2" xfId="32"/>
    <cellStyle name="Normal 23 2" xfId="33"/>
    <cellStyle name="Normal 24 2" xfId="34"/>
    <cellStyle name="Normal 25 2" xfId="35"/>
    <cellStyle name="Normal 26 2" xfId="36"/>
    <cellStyle name="Normal 28" xfId="37"/>
    <cellStyle name="Normal 3" xfId="2"/>
    <cellStyle name="Normal 3 10" xfId="700"/>
    <cellStyle name="Normal 3 2" xfId="38"/>
    <cellStyle name="Normal 3 2 2" xfId="39"/>
    <cellStyle name="Normal 3 2 2 2" xfId="40"/>
    <cellStyle name="Normal 3 2 2 2 2" xfId="41"/>
    <cellStyle name="Normal 3 2 2 2 2 2" xfId="42"/>
    <cellStyle name="Normal 3 2 2 2 3" xfId="43"/>
    <cellStyle name="Normal 3 2 2 2 3 2" xfId="44"/>
    <cellStyle name="Normal 3 2 2 2 4" xfId="45"/>
    <cellStyle name="Normal 3 2 2 3" xfId="46"/>
    <cellStyle name="Normal 3 2 2 3 2" xfId="47"/>
    <cellStyle name="Normal 3 2 2 4" xfId="48"/>
    <cellStyle name="Normal 3 2 2 4 2" xfId="49"/>
    <cellStyle name="Normal 3 2 2 5" xfId="50"/>
    <cellStyle name="Normal 3 2 3" xfId="51"/>
    <cellStyle name="Normal 3 2 3 2" xfId="52"/>
    <cellStyle name="Normal 3 2 3 2 2" xfId="53"/>
    <cellStyle name="Normal 3 2 3 2 2 2" xfId="54"/>
    <cellStyle name="Normal 3 2 3 2 3" xfId="55"/>
    <cellStyle name="Normal 3 2 3 2 3 2" xfId="56"/>
    <cellStyle name="Normal 3 2 3 2 4" xfId="57"/>
    <cellStyle name="Normal 3 2 3 3" xfId="58"/>
    <cellStyle name="Normal 3 2 3 3 2" xfId="59"/>
    <cellStyle name="Normal 3 2 3 4" xfId="60"/>
    <cellStyle name="Normal 3 2 3 4 2" xfId="61"/>
    <cellStyle name="Normal 3 2 3 5" xfId="62"/>
    <cellStyle name="Normal 3 2 4" xfId="63"/>
    <cellStyle name="Normal 3 2 4 2" xfId="64"/>
    <cellStyle name="Normal 3 2 4 2 2" xfId="65"/>
    <cellStyle name="Normal 3 2 4 3" xfId="66"/>
    <cellStyle name="Normal 3 2 4 3 2" xfId="67"/>
    <cellStyle name="Normal 3 2 4 4" xfId="68"/>
    <cellStyle name="Normal 3 2 5" xfId="69"/>
    <cellStyle name="Normal 3 2 5 2" xfId="70"/>
    <cellStyle name="Normal 3 2 6" xfId="71"/>
    <cellStyle name="Normal 3 2 6 2" xfId="72"/>
    <cellStyle name="Normal 3 2 7" xfId="73"/>
    <cellStyle name="Normal 3 3" xfId="74"/>
    <cellStyle name="Normal 3 3 2" xfId="75"/>
    <cellStyle name="Normal 3 3 2 2" xfId="76"/>
    <cellStyle name="Normal 3 3 2 2 2" xfId="77"/>
    <cellStyle name="Normal 3 3 2 2 2 2" xfId="78"/>
    <cellStyle name="Normal 3 3 2 2 3" xfId="79"/>
    <cellStyle name="Normal 3 3 2 2 3 2" xfId="80"/>
    <cellStyle name="Normal 3 3 2 2 4" xfId="81"/>
    <cellStyle name="Normal 3 3 2 3" xfId="82"/>
    <cellStyle name="Normal 3 3 2 3 2" xfId="83"/>
    <cellStyle name="Normal 3 3 2 4" xfId="84"/>
    <cellStyle name="Normal 3 3 2 4 2" xfId="85"/>
    <cellStyle name="Normal 3 3 2 5" xfId="86"/>
    <cellStyle name="Normal 3 3 3" xfId="87"/>
    <cellStyle name="Normal 3 3 3 2" xfId="88"/>
    <cellStyle name="Normal 3 3 3 2 2" xfId="89"/>
    <cellStyle name="Normal 3 3 3 2 2 2" xfId="90"/>
    <cellStyle name="Normal 3 3 3 2 3" xfId="91"/>
    <cellStyle name="Normal 3 3 3 2 3 2" xfId="92"/>
    <cellStyle name="Normal 3 3 3 2 4" xfId="93"/>
    <cellStyle name="Normal 3 3 3 3" xfId="94"/>
    <cellStyle name="Normal 3 3 3 3 2" xfId="95"/>
    <cellStyle name="Normal 3 3 3 4" xfId="96"/>
    <cellStyle name="Normal 3 3 3 4 2" xfId="97"/>
    <cellStyle name="Normal 3 3 3 5" xfId="98"/>
    <cellStyle name="Normal 3 4" xfId="99"/>
    <cellStyle name="Normal 3 4 2" xfId="100"/>
    <cellStyle name="Normal 3 4 2 2" xfId="101"/>
    <cellStyle name="Normal 3 4 2 2 2" xfId="102"/>
    <cellStyle name="Normal 3 4 2 2 2 2" xfId="103"/>
    <cellStyle name="Normal 3 4 2 2 3" xfId="104"/>
    <cellStyle name="Normal 3 4 2 2 3 2" xfId="105"/>
    <cellStyle name="Normal 3 4 2 2 4" xfId="106"/>
    <cellStyle name="Normal 3 4 2 3" xfId="107"/>
    <cellStyle name="Normal 3 4 2 3 2" xfId="108"/>
    <cellStyle name="Normal 3 4 2 4" xfId="109"/>
    <cellStyle name="Normal 3 4 2 4 2" xfId="110"/>
    <cellStyle name="Normal 3 4 2 5" xfId="111"/>
    <cellStyle name="Normal 3 4 3" xfId="112"/>
    <cellStyle name="Normal 3 4 3 2" xfId="113"/>
    <cellStyle name="Normal 3 4 3 2 2" xfId="114"/>
    <cellStyle name="Normal 3 4 3 3" xfId="115"/>
    <cellStyle name="Normal 3 4 3 3 2" xfId="116"/>
    <cellStyle name="Normal 3 4 3 4" xfId="117"/>
    <cellStyle name="Normal 3 4 4" xfId="118"/>
    <cellStyle name="Normal 3 4 4 2" xfId="119"/>
    <cellStyle name="Normal 3 4 5" xfId="120"/>
    <cellStyle name="Normal 3 4 5 2" xfId="121"/>
    <cellStyle name="Normal 3 4 6" xfId="122"/>
    <cellStyle name="Normal 3 5" xfId="123"/>
    <cellStyle name="Normal 3 5 2" xfId="124"/>
    <cellStyle name="Normal 3 5 2 2" xfId="125"/>
    <cellStyle name="Normal 3 5 2 2 2" xfId="126"/>
    <cellStyle name="Normal 3 5 2 3" xfId="127"/>
    <cellStyle name="Normal 3 5 2 3 2" xfId="128"/>
    <cellStyle name="Normal 3 5 2 4" xfId="129"/>
    <cellStyle name="Normal 3 5 3" xfId="130"/>
    <cellStyle name="Normal 3 5 3 2" xfId="131"/>
    <cellStyle name="Normal 3 5 4" xfId="132"/>
    <cellStyle name="Normal 3 5 4 2" xfId="133"/>
    <cellStyle name="Normal 3 5 5" xfId="134"/>
    <cellStyle name="Normal 3 6" xfId="135"/>
    <cellStyle name="Normal 3 6 2" xfId="136"/>
    <cellStyle name="Normal 3 6 2 2" xfId="137"/>
    <cellStyle name="Normal 3 6 2 2 2" xfId="138"/>
    <cellStyle name="Normal 3 6 2 3" xfId="139"/>
    <cellStyle name="Normal 3 6 2 3 2" xfId="140"/>
    <cellStyle name="Normal 3 6 2 4" xfId="141"/>
    <cellStyle name="Normal 3 6 3" xfId="142"/>
    <cellStyle name="Normal 3 6 3 2" xfId="143"/>
    <cellStyle name="Normal 3 6 4" xfId="144"/>
    <cellStyle name="Normal 3 6 4 2" xfId="145"/>
    <cellStyle name="Normal 3 6 5" xfId="146"/>
    <cellStyle name="Normal 3 7" xfId="619"/>
    <cellStyle name="Normal 3 7 2" xfId="693"/>
    <cellStyle name="Normal 3 7 3" xfId="701"/>
    <cellStyle name="Normal 3 7 4" xfId="702"/>
    <cellStyle name="Normal 3 8" xfId="690"/>
    <cellStyle name="Normal 3 9" xfId="703"/>
    <cellStyle name="Normal 30 2" xfId="147"/>
    <cellStyle name="Normal 30 2 2" xfId="148"/>
    <cellStyle name="Normal 30 2 2 2" xfId="149"/>
    <cellStyle name="Normal 30 2 2 2 2" xfId="150"/>
    <cellStyle name="Normal 30 2 2 3" xfId="151"/>
    <cellStyle name="Normal 30 2 2 3 2" xfId="152"/>
    <cellStyle name="Normal 30 2 2 4" xfId="153"/>
    <cellStyle name="Normal 30 2 3" xfId="154"/>
    <cellStyle name="Normal 30 2 3 2" xfId="155"/>
    <cellStyle name="Normal 30 2 4" xfId="156"/>
    <cellStyle name="Normal 30 2 4 2" xfId="157"/>
    <cellStyle name="Normal 30 2 5" xfId="158"/>
    <cellStyle name="Normal 32 3" xfId="159"/>
    <cellStyle name="Normal 36" xfId="160"/>
    <cellStyle name="Normal 37" xfId="161"/>
    <cellStyle name="Normal 39" xfId="162"/>
    <cellStyle name="Normal 4" xfId="163"/>
    <cellStyle name="Normal 4 2" xfId="164"/>
    <cellStyle name="Normal 4 2 2" xfId="165"/>
    <cellStyle name="Normal 4 2 2 2" xfId="166"/>
    <cellStyle name="Normal 4 2 2 2 2" xfId="167"/>
    <cellStyle name="Normal 4 2 2 2 2 2" xfId="168"/>
    <cellStyle name="Normal 4 2 2 2 3" xfId="169"/>
    <cellStyle name="Normal 4 2 2 2 3 2" xfId="170"/>
    <cellStyle name="Normal 4 2 2 2 4" xfId="171"/>
    <cellStyle name="Normal 4 2 2 3" xfId="172"/>
    <cellStyle name="Normal 4 2 2 3 2" xfId="173"/>
    <cellStyle name="Normal 4 2 2 4" xfId="174"/>
    <cellStyle name="Normal 4 2 2 4 2" xfId="175"/>
    <cellStyle name="Normal 4 2 2 5" xfId="176"/>
    <cellStyle name="Normal 4 2 3" xfId="177"/>
    <cellStyle name="Normal 4 2 3 2" xfId="178"/>
    <cellStyle name="Normal 4 2 3 2 2" xfId="179"/>
    <cellStyle name="Normal 4 2 3 2 2 2" xfId="180"/>
    <cellStyle name="Normal 4 2 3 2 3" xfId="181"/>
    <cellStyle name="Normal 4 2 3 2 3 2" xfId="182"/>
    <cellStyle name="Normal 4 2 3 2 4" xfId="183"/>
    <cellStyle name="Normal 4 2 3 3" xfId="184"/>
    <cellStyle name="Normal 4 2 3 3 2" xfId="185"/>
    <cellStyle name="Normal 4 2 3 4" xfId="186"/>
    <cellStyle name="Normal 4 2 3 4 2" xfId="187"/>
    <cellStyle name="Normal 4 2 3 5" xfId="188"/>
    <cellStyle name="Normal 4 3" xfId="189"/>
    <cellStyle name="Normal 4 3 2" xfId="190"/>
    <cellStyle name="Normal 4 3 2 2" xfId="191"/>
    <cellStyle name="Normal 4 3 2 2 2" xfId="192"/>
    <cellStyle name="Normal 4 3 2 2 2 2" xfId="193"/>
    <cellStyle name="Normal 4 3 2 2 3" xfId="194"/>
    <cellStyle name="Normal 4 3 2 2 3 2" xfId="195"/>
    <cellStyle name="Normal 4 3 2 2 4" xfId="196"/>
    <cellStyle name="Normal 4 3 2 3" xfId="197"/>
    <cellStyle name="Normal 4 3 2 3 2" xfId="198"/>
    <cellStyle name="Normal 4 3 2 4" xfId="199"/>
    <cellStyle name="Normal 4 3 2 4 2" xfId="200"/>
    <cellStyle name="Normal 4 3 2 5" xfId="201"/>
    <cellStyle name="Normal 4 3 3" xfId="202"/>
    <cellStyle name="Normal 4 3 3 2" xfId="203"/>
    <cellStyle name="Normal 4 3 3 2 2" xfId="204"/>
    <cellStyle name="Normal 4 3 3 3" xfId="205"/>
    <cellStyle name="Normal 4 3 3 3 2" xfId="206"/>
    <cellStyle name="Normal 4 3 3 4" xfId="207"/>
    <cellStyle name="Normal 4 3 4" xfId="208"/>
    <cellStyle name="Normal 4 3 4 2" xfId="209"/>
    <cellStyle name="Normal 4 3 5" xfId="210"/>
    <cellStyle name="Normal 4 3 5 2" xfId="211"/>
    <cellStyle name="Normal 4 3 6" xfId="212"/>
    <cellStyle name="Normal 4 4" xfId="213"/>
    <cellStyle name="Normal 4 4 2" xfId="214"/>
    <cellStyle name="Normal 4 4 2 2" xfId="215"/>
    <cellStyle name="Normal 4 4 2 2 2" xfId="216"/>
    <cellStyle name="Normal 4 4 2 2 2 2" xfId="217"/>
    <cellStyle name="Normal 4 4 2 2 3" xfId="218"/>
    <cellStyle name="Normal 4 4 2 2 3 2" xfId="219"/>
    <cellStyle name="Normal 4 4 2 2 4" xfId="220"/>
    <cellStyle name="Normal 4 4 2 3" xfId="221"/>
    <cellStyle name="Normal 4 4 2 3 2" xfId="222"/>
    <cellStyle name="Normal 4 4 2 4" xfId="223"/>
    <cellStyle name="Normal 4 4 2 4 2" xfId="224"/>
    <cellStyle name="Normal 4 4 2 5" xfId="225"/>
    <cellStyle name="Normal 4 4 3" xfId="226"/>
    <cellStyle name="Normal 4 4 3 2" xfId="227"/>
    <cellStyle name="Normal 4 4 3 2 2" xfId="228"/>
    <cellStyle name="Normal 4 4 3 3" xfId="229"/>
    <cellStyle name="Normal 4 4 3 3 2" xfId="230"/>
    <cellStyle name="Normal 4 4 3 4" xfId="231"/>
    <cellStyle name="Normal 4 4 4" xfId="232"/>
    <cellStyle name="Normal 4 4 4 2" xfId="233"/>
    <cellStyle name="Normal 4 4 5" xfId="234"/>
    <cellStyle name="Normal 4 4 5 2" xfId="235"/>
    <cellStyle name="Normal 4 4 6" xfId="236"/>
    <cellStyle name="Normal 4 5" xfId="237"/>
    <cellStyle name="Normal 4 5 2" xfId="238"/>
    <cellStyle name="Normal 4 5 2 2" xfId="239"/>
    <cellStyle name="Normal 4 5 2 2 2" xfId="240"/>
    <cellStyle name="Normal 4 5 2 3" xfId="241"/>
    <cellStyle name="Normal 4 5 2 3 2" xfId="242"/>
    <cellStyle name="Normal 4 5 2 4" xfId="243"/>
    <cellStyle name="Normal 4 5 3" xfId="244"/>
    <cellStyle name="Normal 4 5 3 2" xfId="245"/>
    <cellStyle name="Normal 4 5 4" xfId="246"/>
    <cellStyle name="Normal 4 5 4 2" xfId="247"/>
    <cellStyle name="Normal 4 5 5" xfId="248"/>
    <cellStyle name="Normal 4 6" xfId="249"/>
    <cellStyle name="Normal 4 6 2" xfId="250"/>
    <cellStyle name="Normal 4 6 2 2" xfId="251"/>
    <cellStyle name="Normal 4 6 2 2 2" xfId="252"/>
    <cellStyle name="Normal 4 6 2 3" xfId="253"/>
    <cellStyle name="Normal 4 6 2 3 2" xfId="254"/>
    <cellStyle name="Normal 4 6 2 4" xfId="255"/>
    <cellStyle name="Normal 4 6 3" xfId="256"/>
    <cellStyle name="Normal 4 6 3 2" xfId="257"/>
    <cellStyle name="Normal 4 6 4" xfId="258"/>
    <cellStyle name="Normal 4 6 4 2" xfId="259"/>
    <cellStyle name="Normal 4 6 5" xfId="260"/>
    <cellStyle name="Normal 40" xfId="261"/>
    <cellStyle name="Normal 5" xfId="262"/>
    <cellStyle name="Normal 5 2" xfId="263"/>
    <cellStyle name="Normal 5 2 2" xfId="264"/>
    <cellStyle name="Normal 5 2 2 2" xfId="265"/>
    <cellStyle name="Normal 5 2 2 2 2" xfId="266"/>
    <cellStyle name="Normal 5 2 2 2 2 2" xfId="267"/>
    <cellStyle name="Normal 5 2 2 2 2 2 2" xfId="268"/>
    <cellStyle name="Normal 5 2 2 2 2 3" xfId="269"/>
    <cellStyle name="Normal 5 2 2 2 2 3 2" xfId="270"/>
    <cellStyle name="Normal 5 2 2 2 2 4" xfId="271"/>
    <cellStyle name="Normal 5 2 2 2 3" xfId="272"/>
    <cellStyle name="Normal 5 2 2 2 3 2" xfId="273"/>
    <cellStyle name="Normal 5 2 2 2 4" xfId="274"/>
    <cellStyle name="Normal 5 2 2 2 4 2" xfId="275"/>
    <cellStyle name="Normal 5 2 2 2 5" xfId="276"/>
    <cellStyle name="Normal 5 2 2 3" xfId="277"/>
    <cellStyle name="Normal 5 2 2 3 2" xfId="278"/>
    <cellStyle name="Normal 5 2 2 3 2 2" xfId="279"/>
    <cellStyle name="Normal 5 2 2 3 3" xfId="280"/>
    <cellStyle name="Normal 5 2 2 3 3 2" xfId="281"/>
    <cellStyle name="Normal 5 2 2 3 4" xfId="282"/>
    <cellStyle name="Normal 5 2 2 4" xfId="283"/>
    <cellStyle name="Normal 5 2 2 4 2" xfId="284"/>
    <cellStyle name="Normal 5 2 2 5" xfId="285"/>
    <cellStyle name="Normal 5 2 2 5 2" xfId="286"/>
    <cellStyle name="Normal 5 2 2 6" xfId="287"/>
    <cellStyle name="Normal 5 2 3" xfId="288"/>
    <cellStyle name="Normal 5 2 3 2" xfId="289"/>
    <cellStyle name="Normal 5 2 3 2 2" xfId="290"/>
    <cellStyle name="Normal 5 2 3 2 2 2" xfId="291"/>
    <cellStyle name="Normal 5 2 3 2 2 2 2" xfId="292"/>
    <cellStyle name="Normal 5 2 3 2 2 3" xfId="293"/>
    <cellStyle name="Normal 5 2 3 2 2 3 2" xfId="294"/>
    <cellStyle name="Normal 5 2 3 2 2 4" xfId="295"/>
    <cellStyle name="Normal 5 2 3 2 3" xfId="296"/>
    <cellStyle name="Normal 5 2 3 2 3 2" xfId="297"/>
    <cellStyle name="Normal 5 2 3 2 4" xfId="298"/>
    <cellStyle name="Normal 5 2 3 2 4 2" xfId="299"/>
    <cellStyle name="Normal 5 2 3 2 5" xfId="300"/>
    <cellStyle name="Normal 5 2 3 3" xfId="301"/>
    <cellStyle name="Normal 5 2 3 3 2" xfId="302"/>
    <cellStyle name="Normal 5 2 3 3 2 2" xfId="303"/>
    <cellStyle name="Normal 5 2 3 3 3" xfId="304"/>
    <cellStyle name="Normal 5 2 3 3 3 2" xfId="305"/>
    <cellStyle name="Normal 5 2 3 3 4" xfId="306"/>
    <cellStyle name="Normal 5 2 3 4" xfId="307"/>
    <cellStyle name="Normal 5 2 3 4 2" xfId="308"/>
    <cellStyle name="Normal 5 2 3 5" xfId="309"/>
    <cellStyle name="Normal 5 2 3 5 2" xfId="310"/>
    <cellStyle name="Normal 5 2 3 6" xfId="311"/>
    <cellStyle name="Normal 5 2 4" xfId="312"/>
    <cellStyle name="Normal 5 2 4 2" xfId="313"/>
    <cellStyle name="Normal 5 2 4 2 2" xfId="314"/>
    <cellStyle name="Normal 5 2 4 2 2 2" xfId="315"/>
    <cellStyle name="Normal 5 2 4 2 2 2 2" xfId="316"/>
    <cellStyle name="Normal 5 2 4 2 2 3" xfId="317"/>
    <cellStyle name="Normal 5 2 4 2 2 3 2" xfId="318"/>
    <cellStyle name="Normal 5 2 4 2 2 4" xfId="319"/>
    <cellStyle name="Normal 5 2 4 2 3" xfId="320"/>
    <cellStyle name="Normal 5 2 4 2 3 2" xfId="321"/>
    <cellStyle name="Normal 5 2 4 2 4" xfId="322"/>
    <cellStyle name="Normal 5 2 4 2 4 2" xfId="323"/>
    <cellStyle name="Normal 5 2 4 2 5" xfId="324"/>
    <cellStyle name="Normal 5 2 4 3" xfId="325"/>
    <cellStyle name="Normal 5 2 4 3 2" xfId="326"/>
    <cellStyle name="Normal 5 2 4 3 2 2" xfId="327"/>
    <cellStyle name="Normal 5 2 4 3 3" xfId="328"/>
    <cellStyle name="Normal 5 2 4 3 3 2" xfId="329"/>
    <cellStyle name="Normal 5 2 4 3 4" xfId="330"/>
    <cellStyle name="Normal 5 2 4 4" xfId="331"/>
    <cellStyle name="Normal 5 2 4 4 2" xfId="332"/>
    <cellStyle name="Normal 5 2 4 5" xfId="333"/>
    <cellStyle name="Normal 5 2 4 5 2" xfId="334"/>
    <cellStyle name="Normal 5 2 4 6" xfId="335"/>
    <cellStyle name="Normal 5 2 5" xfId="336"/>
    <cellStyle name="Normal 5 2 5 2" xfId="337"/>
    <cellStyle name="Normal 5 2 5 2 2" xfId="338"/>
    <cellStyle name="Normal 5 2 5 2 2 2" xfId="339"/>
    <cellStyle name="Normal 5 2 5 2 3" xfId="340"/>
    <cellStyle name="Normal 5 2 5 2 3 2" xfId="341"/>
    <cellStyle name="Normal 5 2 5 2 4" xfId="342"/>
    <cellStyle name="Normal 5 2 5 3" xfId="343"/>
    <cellStyle name="Normal 5 2 5 3 2" xfId="344"/>
    <cellStyle name="Normal 5 2 5 4" xfId="345"/>
    <cellStyle name="Normal 5 2 5 4 2" xfId="346"/>
    <cellStyle name="Normal 5 2 5 5" xfId="347"/>
    <cellStyle name="Normal 5 2 6" xfId="348"/>
    <cellStyle name="Normal 5 2 6 2" xfId="349"/>
    <cellStyle name="Normal 5 2 6 2 2" xfId="350"/>
    <cellStyle name="Normal 5 2 6 2 2 2" xfId="351"/>
    <cellStyle name="Normal 5 2 6 2 3" xfId="352"/>
    <cellStyle name="Normal 5 2 6 2 3 2" xfId="353"/>
    <cellStyle name="Normal 5 2 6 2 4" xfId="354"/>
    <cellStyle name="Normal 5 2 6 3" xfId="355"/>
    <cellStyle name="Normal 5 2 6 3 2" xfId="356"/>
    <cellStyle name="Normal 5 2 6 4" xfId="357"/>
    <cellStyle name="Normal 5 2 6 4 2" xfId="358"/>
    <cellStyle name="Normal 5 2 6 5" xfId="359"/>
    <cellStyle name="Normal 5 3" xfId="360"/>
    <cellStyle name="Normal 5 3 2" xfId="361"/>
    <cellStyle name="Normal 5 3 2 2" xfId="362"/>
    <cellStyle name="Normal 5 3 3" xfId="363"/>
    <cellStyle name="Normal 5 3 3 2" xfId="364"/>
    <cellStyle name="Normal 5 3 4" xfId="365"/>
    <cellStyle name="Normal 5 4" xfId="366"/>
    <cellStyle name="Normal 5 4 2" xfId="367"/>
    <cellStyle name="Normal 5 5" xfId="368"/>
    <cellStyle name="Normal 5 5 2" xfId="369"/>
    <cellStyle name="Normal 5 6" xfId="370"/>
    <cellStyle name="Normal 6" xfId="371"/>
    <cellStyle name="Normal 6 2" xfId="372"/>
    <cellStyle name="Normal 7" xfId="373"/>
    <cellStyle name="Normal 70 2" xfId="374"/>
    <cellStyle name="Normal 70 2 2" xfId="375"/>
    <cellStyle name="Normal 70 2 2 2" xfId="376"/>
    <cellStyle name="Normal 70 2 2 2 2" xfId="377"/>
    <cellStyle name="Normal 70 2 2 3" xfId="378"/>
    <cellStyle name="Normal 70 2 2 3 2" xfId="379"/>
    <cellStyle name="Normal 70 2 2 4" xfId="380"/>
    <cellStyle name="Normal 70 2 3" xfId="381"/>
    <cellStyle name="Normal 70 2 3 2" xfId="382"/>
    <cellStyle name="Normal 70 2 4" xfId="383"/>
    <cellStyle name="Normal 70 2 4 2" xfId="384"/>
    <cellStyle name="Normal 70 2 5" xfId="385"/>
    <cellStyle name="Normal 72 2" xfId="386"/>
    <cellStyle name="Normal 72 2 2" xfId="387"/>
    <cellStyle name="Normal 72 2 2 2" xfId="388"/>
    <cellStyle name="Normal 72 2 2 2 2" xfId="389"/>
    <cellStyle name="Normal 72 2 2 3" xfId="390"/>
    <cellStyle name="Normal 72 2 2 3 2" xfId="391"/>
    <cellStyle name="Normal 72 2 2 4" xfId="392"/>
    <cellStyle name="Normal 72 2 3" xfId="393"/>
    <cellStyle name="Normal 72 2 3 2" xfId="394"/>
    <cellStyle name="Normal 72 2 4" xfId="395"/>
    <cellStyle name="Normal 72 2 4 2" xfId="396"/>
    <cellStyle name="Normal 72 2 5" xfId="397"/>
    <cellStyle name="Normal 8" xfId="398"/>
    <cellStyle name="Normal 8 2" xfId="399"/>
    <cellStyle name="Normal 8 3" xfId="620"/>
    <cellStyle name="Normal 8 3 2" xfId="694"/>
    <cellStyle name="Normal 8 3 3" xfId="704"/>
    <cellStyle name="Normal 8 3 4" xfId="705"/>
    <cellStyle name="Normal 8 4" xfId="691"/>
    <cellStyle name="Normal 8 5" xfId="706"/>
    <cellStyle name="Normal 8 6" xfId="707"/>
    <cellStyle name="Normal 80 2" xfId="400"/>
    <cellStyle name="Normal 9" xfId="401"/>
    <cellStyle name="Normal 9 2" xfId="402"/>
    <cellStyle name="Normal 9 3" xfId="403"/>
    <cellStyle name="Normal 9 3 2" xfId="404"/>
    <cellStyle name="Normal 9 4" xfId="405"/>
    <cellStyle name="Normal 9 4 2" xfId="406"/>
    <cellStyle name="Normal 9 5" xfId="407"/>
    <cellStyle name="Note 2" xfId="408"/>
    <cellStyle name="Note 2 2" xfId="689"/>
    <cellStyle name="Note 2 3" xfId="675"/>
    <cellStyle name="Note 2 4" xfId="661"/>
    <cellStyle name="OK Heading" xfId="409"/>
    <cellStyle name="OK Heading 10" xfId="410"/>
    <cellStyle name="OK Heading 100" xfId="411"/>
    <cellStyle name="OK Heading 11" xfId="412"/>
    <cellStyle name="OK Heading 12" xfId="413"/>
    <cellStyle name="OK Heading 13" xfId="414"/>
    <cellStyle name="OK Heading 14" xfId="415"/>
    <cellStyle name="OK Heading 15" xfId="416"/>
    <cellStyle name="OK Heading 16" xfId="417"/>
    <cellStyle name="OK Heading 17" xfId="418"/>
    <cellStyle name="OK Heading 18" xfId="419"/>
    <cellStyle name="OK Heading 19" xfId="420"/>
    <cellStyle name="OK Heading 2" xfId="421"/>
    <cellStyle name="OK Heading 2 2" xfId="422"/>
    <cellStyle name="OK Heading 20" xfId="423"/>
    <cellStyle name="OK Heading 21" xfId="424"/>
    <cellStyle name="OK Heading 22" xfId="425"/>
    <cellStyle name="OK Heading 23" xfId="426"/>
    <cellStyle name="OK Heading 24" xfId="427"/>
    <cellStyle name="OK Heading 25" xfId="428"/>
    <cellStyle name="OK Heading 26" xfId="429"/>
    <cellStyle name="OK Heading 27" xfId="430"/>
    <cellStyle name="OK Heading 28" xfId="431"/>
    <cellStyle name="OK Heading 29" xfId="432"/>
    <cellStyle name="OK Heading 3" xfId="433"/>
    <cellStyle name="OK Heading 30" xfId="434"/>
    <cellStyle name="OK Heading 31" xfId="435"/>
    <cellStyle name="OK Heading 32" xfId="436"/>
    <cellStyle name="OK Heading 33" xfId="437"/>
    <cellStyle name="OK Heading 34" xfId="438"/>
    <cellStyle name="OK Heading 35" xfId="439"/>
    <cellStyle name="OK Heading 36" xfId="440"/>
    <cellStyle name="OK Heading 37" xfId="441"/>
    <cellStyle name="OK Heading 38" xfId="442"/>
    <cellStyle name="OK Heading 39" xfId="443"/>
    <cellStyle name="OK Heading 4" xfId="444"/>
    <cellStyle name="OK Heading 40" xfId="445"/>
    <cellStyle name="OK Heading 41" xfId="446"/>
    <cellStyle name="OK Heading 42" xfId="447"/>
    <cellStyle name="OK Heading 43" xfId="448"/>
    <cellStyle name="OK Heading 44" xfId="449"/>
    <cellStyle name="OK Heading 45" xfId="450"/>
    <cellStyle name="OK Heading 46" xfId="451"/>
    <cellStyle name="OK Heading 47" xfId="452"/>
    <cellStyle name="OK Heading 48" xfId="453"/>
    <cellStyle name="OK Heading 49" xfId="454"/>
    <cellStyle name="OK Heading 5" xfId="455"/>
    <cellStyle name="OK Heading 50" xfId="456"/>
    <cellStyle name="OK Heading 51" xfId="457"/>
    <cellStyle name="OK Heading 52" xfId="458"/>
    <cellStyle name="OK Heading 53" xfId="459"/>
    <cellStyle name="OK Heading 54" xfId="460"/>
    <cellStyle name="OK Heading 55" xfId="461"/>
    <cellStyle name="OK Heading 56" xfId="462"/>
    <cellStyle name="OK Heading 57" xfId="463"/>
    <cellStyle name="OK Heading 58" xfId="464"/>
    <cellStyle name="OK Heading 59" xfId="465"/>
    <cellStyle name="OK Heading 6" xfId="466"/>
    <cellStyle name="OK Heading 60" xfId="467"/>
    <cellStyle name="OK Heading 61" xfId="468"/>
    <cellStyle name="OK Heading 62" xfId="469"/>
    <cellStyle name="OK Heading 63" xfId="470"/>
    <cellStyle name="OK Heading 64" xfId="471"/>
    <cellStyle name="OK Heading 65" xfId="472"/>
    <cellStyle name="OK Heading 66" xfId="473"/>
    <cellStyle name="OK Heading 67" xfId="474"/>
    <cellStyle name="OK Heading 68" xfId="475"/>
    <cellStyle name="OK Heading 69" xfId="476"/>
    <cellStyle name="OK Heading 7" xfId="477"/>
    <cellStyle name="OK Heading 70" xfId="478"/>
    <cellStyle name="OK Heading 71" xfId="479"/>
    <cellStyle name="OK Heading 72" xfId="480"/>
    <cellStyle name="OK Heading 73" xfId="481"/>
    <cellStyle name="OK Heading 74" xfId="482"/>
    <cellStyle name="OK Heading 75" xfId="483"/>
    <cellStyle name="OK Heading 76" xfId="484"/>
    <cellStyle name="OK Heading 77" xfId="485"/>
    <cellStyle name="OK Heading 78" xfId="486"/>
    <cellStyle name="OK Heading 79" xfId="487"/>
    <cellStyle name="OK Heading 8" xfId="488"/>
    <cellStyle name="OK Heading 80" xfId="489"/>
    <cellStyle name="OK Heading 81" xfId="490"/>
    <cellStyle name="OK Heading 82" xfId="491"/>
    <cellStyle name="OK Heading 83" xfId="492"/>
    <cellStyle name="OK Heading 84" xfId="493"/>
    <cellStyle name="OK Heading 85" xfId="494"/>
    <cellStyle name="OK Heading 86" xfId="495"/>
    <cellStyle name="OK Heading 87" xfId="496"/>
    <cellStyle name="OK Heading 88" xfId="497"/>
    <cellStyle name="OK Heading 89" xfId="498"/>
    <cellStyle name="OK Heading 9" xfId="499"/>
    <cellStyle name="OK Heading 90" xfId="500"/>
    <cellStyle name="OK Heading 91" xfId="501"/>
    <cellStyle name="OK Heading 92" xfId="502"/>
    <cellStyle name="OK Heading 93" xfId="503"/>
    <cellStyle name="OK Heading 94" xfId="504"/>
    <cellStyle name="OK Heading 95" xfId="505"/>
    <cellStyle name="OK Heading 96" xfId="506"/>
    <cellStyle name="OK Heading 97" xfId="507"/>
    <cellStyle name="OK Heading 98" xfId="508"/>
    <cellStyle name="OK Heading 99" xfId="509"/>
    <cellStyle name="Output" xfId="630" builtinId="21" customBuiltin="1"/>
    <cellStyle name="Percent 5" xfId="510"/>
    <cellStyle name="Percent 5 2" xfId="511"/>
    <cellStyle name="Report Body" xfId="512"/>
    <cellStyle name="Report Heading" xfId="513"/>
    <cellStyle name="SOO Table Footnote" xfId="514"/>
    <cellStyle name="SOO Table Footnote 2" xfId="515"/>
    <cellStyle name="Sub Heading" xfId="516"/>
    <cellStyle name="Sub Heading 10" xfId="517"/>
    <cellStyle name="Sub Heading 100" xfId="518"/>
    <cellStyle name="Sub Heading 11" xfId="519"/>
    <cellStyle name="Sub Heading 12" xfId="520"/>
    <cellStyle name="Sub Heading 13" xfId="521"/>
    <cellStyle name="Sub Heading 14" xfId="522"/>
    <cellStyle name="Sub Heading 15" xfId="523"/>
    <cellStyle name="Sub Heading 16" xfId="524"/>
    <cellStyle name="Sub Heading 17" xfId="525"/>
    <cellStyle name="Sub Heading 18" xfId="526"/>
    <cellStyle name="Sub Heading 19" xfId="527"/>
    <cellStyle name="Sub Heading 2" xfId="528"/>
    <cellStyle name="Sub Heading 2 2" xfId="529"/>
    <cellStyle name="Sub Heading 20" xfId="530"/>
    <cellStyle name="Sub Heading 21" xfId="531"/>
    <cellStyle name="Sub Heading 22" xfId="532"/>
    <cellStyle name="Sub Heading 23" xfId="533"/>
    <cellStyle name="Sub Heading 24" xfId="534"/>
    <cellStyle name="Sub Heading 25" xfId="535"/>
    <cellStyle name="Sub Heading 26" xfId="536"/>
    <cellStyle name="Sub Heading 27" xfId="537"/>
    <cellStyle name="Sub Heading 28" xfId="538"/>
    <cellStyle name="Sub Heading 29" xfId="539"/>
    <cellStyle name="Sub Heading 3" xfId="540"/>
    <cellStyle name="Sub Heading 30" xfId="541"/>
    <cellStyle name="Sub Heading 31" xfId="542"/>
    <cellStyle name="Sub Heading 32" xfId="543"/>
    <cellStyle name="Sub Heading 33" xfId="544"/>
    <cellStyle name="Sub Heading 34" xfId="545"/>
    <cellStyle name="Sub Heading 35" xfId="546"/>
    <cellStyle name="Sub Heading 36" xfId="547"/>
    <cellStyle name="Sub Heading 37" xfId="548"/>
    <cellStyle name="Sub Heading 38" xfId="549"/>
    <cellStyle name="Sub Heading 39" xfId="550"/>
    <cellStyle name="Sub Heading 4" xfId="551"/>
    <cellStyle name="Sub Heading 40" xfId="552"/>
    <cellStyle name="Sub Heading 41" xfId="553"/>
    <cellStyle name="Sub Heading 42" xfId="554"/>
    <cellStyle name="Sub Heading 43" xfId="555"/>
    <cellStyle name="Sub Heading 44" xfId="556"/>
    <cellStyle name="Sub Heading 45" xfId="557"/>
    <cellStyle name="Sub Heading 46" xfId="558"/>
    <cellStyle name="Sub Heading 47" xfId="559"/>
    <cellStyle name="Sub Heading 48" xfId="560"/>
    <cellStyle name="Sub Heading 49" xfId="561"/>
    <cellStyle name="Sub Heading 5" xfId="562"/>
    <cellStyle name="Sub Heading 50" xfId="563"/>
    <cellStyle name="Sub Heading 51" xfId="564"/>
    <cellStyle name="Sub Heading 52" xfId="565"/>
    <cellStyle name="Sub Heading 53" xfId="566"/>
    <cellStyle name="Sub Heading 54" xfId="567"/>
    <cellStyle name="Sub Heading 55" xfId="568"/>
    <cellStyle name="Sub Heading 56" xfId="569"/>
    <cellStyle name="Sub Heading 57" xfId="570"/>
    <cellStyle name="Sub Heading 58" xfId="571"/>
    <cellStyle name="Sub Heading 59" xfId="572"/>
    <cellStyle name="Sub Heading 6" xfId="573"/>
    <cellStyle name="Sub Heading 60" xfId="574"/>
    <cellStyle name="Sub Heading 61" xfId="575"/>
    <cellStyle name="Sub Heading 62" xfId="576"/>
    <cellStyle name="Sub Heading 63" xfId="577"/>
    <cellStyle name="Sub Heading 64" xfId="578"/>
    <cellStyle name="Sub Heading 65" xfId="579"/>
    <cellStyle name="Sub Heading 66" xfId="580"/>
    <cellStyle name="Sub Heading 67" xfId="581"/>
    <cellStyle name="Sub Heading 68" xfId="582"/>
    <cellStyle name="Sub Heading 69" xfId="583"/>
    <cellStyle name="Sub Heading 7" xfId="584"/>
    <cellStyle name="Sub Heading 70" xfId="585"/>
    <cellStyle name="Sub Heading 71" xfId="586"/>
    <cellStyle name="Sub Heading 72" xfId="587"/>
    <cellStyle name="Sub Heading 73" xfId="588"/>
    <cellStyle name="Sub Heading 74" xfId="589"/>
    <cellStyle name="Sub Heading 75" xfId="590"/>
    <cellStyle name="Sub Heading 76" xfId="591"/>
    <cellStyle name="Sub Heading 77" xfId="592"/>
    <cellStyle name="Sub Heading 78" xfId="593"/>
    <cellStyle name="Sub Heading 79" xfId="594"/>
    <cellStyle name="Sub Heading 8" xfId="595"/>
    <cellStyle name="Sub Heading 80" xfId="596"/>
    <cellStyle name="Sub Heading 81" xfId="597"/>
    <cellStyle name="Sub Heading 82" xfId="598"/>
    <cellStyle name="Sub Heading 83" xfId="599"/>
    <cellStyle name="Sub Heading 84" xfId="600"/>
    <cellStyle name="Sub Heading 85" xfId="601"/>
    <cellStyle name="Sub Heading 86" xfId="602"/>
    <cellStyle name="Sub Heading 87" xfId="603"/>
    <cellStyle name="Sub Heading 88" xfId="604"/>
    <cellStyle name="Sub Heading 89" xfId="605"/>
    <cellStyle name="Sub Heading 9" xfId="606"/>
    <cellStyle name="Sub Heading 90" xfId="607"/>
    <cellStyle name="Sub Heading 91" xfId="608"/>
    <cellStyle name="Sub Heading 92" xfId="609"/>
    <cellStyle name="Sub Heading 93" xfId="610"/>
    <cellStyle name="Sub Heading 94" xfId="611"/>
    <cellStyle name="Sub Heading 95" xfId="612"/>
    <cellStyle name="Sub Heading 96" xfId="613"/>
    <cellStyle name="Sub Heading 97" xfId="614"/>
    <cellStyle name="Sub Heading 98" xfId="615"/>
    <cellStyle name="Sub Heading 99" xfId="616"/>
    <cellStyle name="Title" xfId="621" builtinId="15" customBuiltin="1"/>
    <cellStyle name="Total" xfId="636" builtinId="25" customBuiltin="1"/>
    <cellStyle name="Warning Text" xfId="634" builtinId="11" customBuiltin="1"/>
  </cellStyles>
  <dxfs count="0"/>
  <tableStyles count="0" defaultTableStyle="TableStyleMedium2" defaultPivotStyle="PivotStyleLight16"/>
  <colors>
    <mruColors>
      <color rgb="FF92D050"/>
      <color rgb="FF842593"/>
      <color rgb="FFFFC222"/>
      <color rgb="FF339933"/>
      <color rgb="FFB3E0EE"/>
      <color rgb="FFFFE7A7"/>
      <color rgb="FFE1A8E9"/>
      <color rgb="FF89FF89"/>
      <color rgb="FFC41230"/>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3.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5.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theme" Target="theme/theme1.xml"/><Relationship Id="rId5" Type="http://schemas.openxmlformats.org/officeDocument/2006/relationships/worksheet" Target="worksheets/sheet4.xml"/><Relationship Id="rId15" Type="http://schemas.openxmlformats.org/officeDocument/2006/relationships/customXml" Target="../customXml/item1.xml"/><Relationship Id="rId10" Type="http://schemas.openxmlformats.org/officeDocument/2006/relationships/worksheet" Target="worksheets/sheet7.xml"/><Relationship Id="rId4" Type="http://schemas.openxmlformats.org/officeDocument/2006/relationships/chartsheet" Target="chartsheets/sheet1.xml"/><Relationship Id="rId9" Type="http://schemas.openxmlformats.org/officeDocument/2006/relationships/worksheet" Target="worksheets/sheet6.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526772857308464"/>
          <c:y val="3.2648402413411041E-2"/>
          <c:w val="0.84059724936764346"/>
          <c:h val="0.66226524758683436"/>
        </c:manualLayout>
      </c:layout>
      <c:barChart>
        <c:barDir val="col"/>
        <c:grouping val="stacked"/>
        <c:varyColors val="0"/>
        <c:ser>
          <c:idx val="0"/>
          <c:order val="0"/>
          <c:tx>
            <c:strRef>
              <c:f>'NEMInstalledCapacity Data'!$B$3</c:f>
              <c:strCache>
                <c:ptCount val="1"/>
                <c:pt idx="0">
                  <c:v>Black coal</c:v>
                </c:pt>
              </c:strCache>
            </c:strRef>
          </c:tx>
          <c:spPr>
            <a:solidFill>
              <a:srgbClr val="000000"/>
            </a:solidFill>
            <a:ln>
              <a:noFill/>
            </a:ln>
            <a:effectLst/>
          </c:spPr>
          <c:invertIfNegative val="0"/>
          <c:dPt>
            <c:idx val="0"/>
            <c:invertIfNegative val="0"/>
            <c:bubble3D val="0"/>
            <c:spPr>
              <a:solidFill>
                <a:srgbClr val="000000"/>
              </a:solidFill>
              <a:ln>
                <a:noFill/>
              </a:ln>
              <a:effectLst/>
            </c:spPr>
            <c:extLst>
              <c:ext xmlns:c16="http://schemas.microsoft.com/office/drawing/2014/chart" uri="{C3380CC4-5D6E-409C-BE32-E72D297353CC}">
                <c16:uniqueId val="{00000001-FF8F-43D9-8A15-90D97CD97090}"/>
              </c:ext>
            </c:extLst>
          </c:dPt>
          <c:dPt>
            <c:idx val="1"/>
            <c:invertIfNegative val="0"/>
            <c:bubble3D val="0"/>
            <c:spPr>
              <a:solidFill>
                <a:srgbClr val="000000"/>
              </a:solidFill>
              <a:ln>
                <a:noFill/>
              </a:ln>
              <a:effectLst/>
            </c:spPr>
            <c:extLst>
              <c:ext xmlns:c16="http://schemas.microsoft.com/office/drawing/2014/chart" uri="{C3380CC4-5D6E-409C-BE32-E72D297353CC}">
                <c16:uniqueId val="{00000003-FF8F-43D9-8A15-90D97CD97090}"/>
              </c:ext>
            </c:extLst>
          </c:dPt>
          <c:dPt>
            <c:idx val="2"/>
            <c:invertIfNegative val="0"/>
            <c:bubble3D val="0"/>
            <c:spPr>
              <a:solidFill>
                <a:srgbClr val="000000"/>
              </a:solidFill>
              <a:ln>
                <a:noFill/>
              </a:ln>
              <a:effectLst/>
            </c:spPr>
            <c:extLst>
              <c:ext xmlns:c16="http://schemas.microsoft.com/office/drawing/2014/chart" uri="{C3380CC4-5D6E-409C-BE32-E72D297353CC}">
                <c16:uniqueId val="{00000005-FF8F-43D9-8A15-90D97CD97090}"/>
              </c:ext>
            </c:extLst>
          </c:dPt>
          <c:dPt>
            <c:idx val="3"/>
            <c:invertIfNegative val="0"/>
            <c:bubble3D val="0"/>
            <c:spPr>
              <a:solidFill>
                <a:srgbClr val="000000"/>
              </a:solidFill>
              <a:ln>
                <a:noFill/>
              </a:ln>
              <a:effectLst/>
            </c:spPr>
            <c:extLst>
              <c:ext xmlns:c16="http://schemas.microsoft.com/office/drawing/2014/chart" uri="{C3380CC4-5D6E-409C-BE32-E72D297353CC}">
                <c16:uniqueId val="{00000007-FF8F-43D9-8A15-90D97CD97090}"/>
              </c:ext>
            </c:extLst>
          </c:dPt>
          <c:dPt>
            <c:idx val="4"/>
            <c:invertIfNegative val="0"/>
            <c:bubble3D val="0"/>
            <c:spPr>
              <a:solidFill>
                <a:srgbClr val="000000"/>
              </a:solidFill>
              <a:ln>
                <a:noFill/>
              </a:ln>
              <a:effectLst/>
            </c:spPr>
            <c:extLst>
              <c:ext xmlns:c16="http://schemas.microsoft.com/office/drawing/2014/chart" uri="{C3380CC4-5D6E-409C-BE32-E72D297353CC}">
                <c16:uniqueId val="{00000009-FF8F-43D9-8A15-90D97CD97090}"/>
              </c:ext>
            </c:extLst>
          </c:dPt>
          <c:dPt>
            <c:idx val="5"/>
            <c:invertIfNegative val="0"/>
            <c:bubble3D val="0"/>
            <c:spPr>
              <a:solidFill>
                <a:srgbClr val="000000"/>
              </a:solidFill>
              <a:ln>
                <a:noFill/>
              </a:ln>
              <a:effectLst/>
            </c:spPr>
            <c:extLst>
              <c:ext xmlns:c16="http://schemas.microsoft.com/office/drawing/2014/chart" uri="{C3380CC4-5D6E-409C-BE32-E72D297353CC}">
                <c16:uniqueId val="{0000000B-FF8F-43D9-8A15-90D97CD97090}"/>
              </c:ext>
            </c:extLst>
          </c:dPt>
          <c:dPt>
            <c:idx val="6"/>
            <c:invertIfNegative val="0"/>
            <c:bubble3D val="0"/>
            <c:spPr>
              <a:solidFill>
                <a:srgbClr val="000000"/>
              </a:solidFill>
              <a:ln>
                <a:noFill/>
              </a:ln>
              <a:effectLst/>
            </c:spPr>
            <c:extLst>
              <c:ext xmlns:c16="http://schemas.microsoft.com/office/drawing/2014/chart" uri="{C3380CC4-5D6E-409C-BE32-E72D297353CC}">
                <c16:uniqueId val="{0000000D-FF8F-43D9-8A15-90D97CD97090}"/>
              </c:ext>
            </c:extLst>
          </c:dPt>
          <c:dPt>
            <c:idx val="7"/>
            <c:invertIfNegative val="0"/>
            <c:bubble3D val="0"/>
            <c:spPr>
              <a:solidFill>
                <a:srgbClr val="000000"/>
              </a:solidFill>
              <a:ln>
                <a:noFill/>
              </a:ln>
              <a:effectLst/>
            </c:spPr>
            <c:extLst>
              <c:ext xmlns:c16="http://schemas.microsoft.com/office/drawing/2014/chart" uri="{C3380CC4-5D6E-409C-BE32-E72D297353CC}">
                <c16:uniqueId val="{0000000F-FF8F-43D9-8A15-90D97CD97090}"/>
              </c:ext>
            </c:extLst>
          </c:dPt>
          <c:dPt>
            <c:idx val="8"/>
            <c:invertIfNegative val="0"/>
            <c:bubble3D val="0"/>
            <c:spPr>
              <a:solidFill>
                <a:srgbClr val="000000"/>
              </a:solidFill>
              <a:ln>
                <a:noFill/>
              </a:ln>
              <a:effectLst/>
            </c:spPr>
            <c:extLst>
              <c:ext xmlns:c16="http://schemas.microsoft.com/office/drawing/2014/chart" uri="{C3380CC4-5D6E-409C-BE32-E72D297353CC}">
                <c16:uniqueId val="{00000011-FF8F-43D9-8A15-90D97CD97090}"/>
              </c:ext>
            </c:extLst>
          </c:dPt>
          <c:dPt>
            <c:idx val="9"/>
            <c:invertIfNegative val="0"/>
            <c:bubble3D val="0"/>
            <c:spPr>
              <a:solidFill>
                <a:srgbClr val="000000"/>
              </a:solidFill>
              <a:ln>
                <a:noFill/>
              </a:ln>
              <a:effectLst/>
            </c:spPr>
            <c:extLst>
              <c:ext xmlns:c16="http://schemas.microsoft.com/office/drawing/2014/chart" uri="{C3380CC4-5D6E-409C-BE32-E72D297353CC}">
                <c16:uniqueId val="{00000013-FF8F-43D9-8A15-90D97CD97090}"/>
              </c:ext>
            </c:extLst>
          </c:dPt>
          <c:dPt>
            <c:idx val="10"/>
            <c:invertIfNegative val="0"/>
            <c:bubble3D val="0"/>
            <c:spPr>
              <a:solidFill>
                <a:srgbClr val="000000"/>
              </a:solidFill>
              <a:ln>
                <a:noFill/>
              </a:ln>
              <a:effectLst/>
            </c:spPr>
            <c:extLst>
              <c:ext xmlns:c16="http://schemas.microsoft.com/office/drawing/2014/chart" uri="{C3380CC4-5D6E-409C-BE32-E72D297353CC}">
                <c16:uniqueId val="{00000015-FF8F-43D9-8A15-90D97CD97090}"/>
              </c:ext>
            </c:extLst>
          </c:dPt>
          <c:dPt>
            <c:idx val="11"/>
            <c:invertIfNegative val="0"/>
            <c:bubble3D val="0"/>
            <c:spPr>
              <a:solidFill>
                <a:srgbClr val="000000"/>
              </a:solidFill>
              <a:ln>
                <a:noFill/>
              </a:ln>
              <a:effectLst/>
            </c:spPr>
            <c:extLst>
              <c:ext xmlns:c16="http://schemas.microsoft.com/office/drawing/2014/chart" uri="{C3380CC4-5D6E-409C-BE32-E72D297353CC}">
                <c16:uniqueId val="{00000017-FF8F-43D9-8A15-90D97CD97090}"/>
              </c:ext>
            </c:extLst>
          </c:dPt>
          <c:dPt>
            <c:idx val="12"/>
            <c:invertIfNegative val="0"/>
            <c:bubble3D val="0"/>
            <c:spPr>
              <a:solidFill>
                <a:srgbClr val="000000"/>
              </a:solidFill>
              <a:ln>
                <a:noFill/>
              </a:ln>
              <a:effectLst/>
            </c:spPr>
            <c:extLst>
              <c:ext xmlns:c16="http://schemas.microsoft.com/office/drawing/2014/chart" uri="{C3380CC4-5D6E-409C-BE32-E72D297353CC}">
                <c16:uniqueId val="{00000019-FF8F-43D9-8A15-90D97CD97090}"/>
              </c:ext>
            </c:extLst>
          </c:dPt>
          <c:dPt>
            <c:idx val="13"/>
            <c:invertIfNegative val="0"/>
            <c:bubble3D val="0"/>
            <c:spPr>
              <a:solidFill>
                <a:srgbClr val="000000"/>
              </a:solidFill>
              <a:ln>
                <a:noFill/>
              </a:ln>
              <a:effectLst/>
            </c:spPr>
            <c:extLst>
              <c:ext xmlns:c16="http://schemas.microsoft.com/office/drawing/2014/chart" uri="{C3380CC4-5D6E-409C-BE32-E72D297353CC}">
                <c16:uniqueId val="{0000001B-FF8F-43D9-8A15-90D97CD97090}"/>
              </c:ext>
            </c:extLst>
          </c:dPt>
          <c:dPt>
            <c:idx val="14"/>
            <c:invertIfNegative val="0"/>
            <c:bubble3D val="0"/>
            <c:spPr>
              <a:solidFill>
                <a:srgbClr val="000000"/>
              </a:solidFill>
              <a:ln>
                <a:noFill/>
              </a:ln>
              <a:effectLst/>
            </c:spPr>
            <c:extLst>
              <c:ext xmlns:c16="http://schemas.microsoft.com/office/drawing/2014/chart" uri="{C3380CC4-5D6E-409C-BE32-E72D297353CC}">
                <c16:uniqueId val="{0000001D-FF8F-43D9-8A15-90D97CD97090}"/>
              </c:ext>
            </c:extLst>
          </c:dPt>
          <c:dPt>
            <c:idx val="15"/>
            <c:invertIfNegative val="0"/>
            <c:bubble3D val="0"/>
            <c:spPr>
              <a:solidFill>
                <a:srgbClr val="000000"/>
              </a:solidFill>
              <a:ln>
                <a:noFill/>
              </a:ln>
              <a:effectLst/>
            </c:spPr>
            <c:extLst>
              <c:ext xmlns:c16="http://schemas.microsoft.com/office/drawing/2014/chart" uri="{C3380CC4-5D6E-409C-BE32-E72D297353CC}">
                <c16:uniqueId val="{0000001F-FF8F-43D9-8A15-90D97CD97090}"/>
              </c:ext>
            </c:extLst>
          </c:dPt>
          <c:dPt>
            <c:idx val="16"/>
            <c:invertIfNegative val="0"/>
            <c:bubble3D val="0"/>
            <c:spPr>
              <a:solidFill>
                <a:srgbClr val="000000"/>
              </a:solidFill>
              <a:ln>
                <a:noFill/>
              </a:ln>
              <a:effectLst/>
            </c:spPr>
            <c:extLst>
              <c:ext xmlns:c16="http://schemas.microsoft.com/office/drawing/2014/chart" uri="{C3380CC4-5D6E-409C-BE32-E72D297353CC}">
                <c16:uniqueId val="{00000021-FF8F-43D9-8A15-90D97CD97090}"/>
              </c:ext>
            </c:extLst>
          </c:dPt>
          <c:dPt>
            <c:idx val="17"/>
            <c:invertIfNegative val="0"/>
            <c:bubble3D val="0"/>
            <c:spPr>
              <a:solidFill>
                <a:srgbClr val="000000"/>
              </a:solidFill>
              <a:ln>
                <a:noFill/>
              </a:ln>
              <a:effectLst/>
            </c:spPr>
            <c:extLst>
              <c:ext xmlns:c16="http://schemas.microsoft.com/office/drawing/2014/chart" uri="{C3380CC4-5D6E-409C-BE32-E72D297353CC}">
                <c16:uniqueId val="{00000023-FF8F-43D9-8A15-90D97CD97090}"/>
              </c:ext>
            </c:extLst>
          </c:dPt>
          <c:dPt>
            <c:idx val="18"/>
            <c:invertIfNegative val="0"/>
            <c:bubble3D val="0"/>
            <c:spPr>
              <a:solidFill>
                <a:srgbClr val="000000"/>
              </a:solidFill>
              <a:ln>
                <a:noFill/>
              </a:ln>
              <a:effectLst/>
            </c:spPr>
            <c:extLst>
              <c:ext xmlns:c16="http://schemas.microsoft.com/office/drawing/2014/chart" uri="{C3380CC4-5D6E-409C-BE32-E72D297353CC}">
                <c16:uniqueId val="{00000025-FF8F-43D9-8A15-90D97CD97090}"/>
              </c:ext>
            </c:extLst>
          </c:dPt>
          <c:dPt>
            <c:idx val="19"/>
            <c:invertIfNegative val="0"/>
            <c:bubble3D val="0"/>
            <c:spPr>
              <a:solidFill>
                <a:srgbClr val="000000"/>
              </a:solidFill>
              <a:ln>
                <a:noFill/>
              </a:ln>
              <a:effectLst/>
            </c:spPr>
            <c:extLst>
              <c:ext xmlns:c16="http://schemas.microsoft.com/office/drawing/2014/chart" uri="{C3380CC4-5D6E-409C-BE32-E72D297353CC}">
                <c16:uniqueId val="{00000027-FF8F-43D9-8A15-90D97CD97090}"/>
              </c:ext>
            </c:extLst>
          </c:dPt>
          <c:dPt>
            <c:idx val="20"/>
            <c:invertIfNegative val="0"/>
            <c:bubble3D val="0"/>
            <c:spPr>
              <a:solidFill>
                <a:srgbClr val="000000"/>
              </a:solidFill>
              <a:ln>
                <a:noFill/>
              </a:ln>
              <a:effectLst/>
            </c:spPr>
            <c:extLst>
              <c:ext xmlns:c16="http://schemas.microsoft.com/office/drawing/2014/chart" uri="{C3380CC4-5D6E-409C-BE32-E72D297353CC}">
                <c16:uniqueId val="{00000029-FF8F-43D9-8A15-90D97CD97090}"/>
              </c:ext>
            </c:extLst>
          </c:dPt>
          <c:dPt>
            <c:idx val="21"/>
            <c:invertIfNegative val="0"/>
            <c:bubble3D val="0"/>
            <c:spPr>
              <a:solidFill>
                <a:srgbClr val="000000"/>
              </a:solidFill>
              <a:ln>
                <a:noFill/>
              </a:ln>
              <a:effectLst/>
            </c:spPr>
            <c:extLst>
              <c:ext xmlns:c16="http://schemas.microsoft.com/office/drawing/2014/chart" uri="{C3380CC4-5D6E-409C-BE32-E72D297353CC}">
                <c16:uniqueId val="{0000002B-FF8F-43D9-8A15-90D97CD97090}"/>
              </c:ext>
            </c:extLst>
          </c:dPt>
          <c:dPt>
            <c:idx val="22"/>
            <c:invertIfNegative val="0"/>
            <c:bubble3D val="0"/>
            <c:spPr>
              <a:solidFill>
                <a:srgbClr val="000000"/>
              </a:solidFill>
              <a:ln>
                <a:noFill/>
              </a:ln>
              <a:effectLst/>
            </c:spPr>
            <c:extLst>
              <c:ext xmlns:c16="http://schemas.microsoft.com/office/drawing/2014/chart" uri="{C3380CC4-5D6E-409C-BE32-E72D297353CC}">
                <c16:uniqueId val="{0000002D-FF8F-43D9-8A15-90D97CD97090}"/>
              </c:ext>
            </c:extLst>
          </c:dPt>
          <c:dPt>
            <c:idx val="23"/>
            <c:invertIfNegative val="0"/>
            <c:bubble3D val="0"/>
            <c:spPr>
              <a:solidFill>
                <a:srgbClr val="000000"/>
              </a:solidFill>
              <a:ln>
                <a:noFill/>
              </a:ln>
              <a:effectLst/>
            </c:spPr>
            <c:extLst>
              <c:ext xmlns:c16="http://schemas.microsoft.com/office/drawing/2014/chart" uri="{C3380CC4-5D6E-409C-BE32-E72D297353CC}">
                <c16:uniqueId val="{0000002F-FF8F-43D9-8A15-90D97CD97090}"/>
              </c:ext>
            </c:extLst>
          </c:dPt>
          <c:dPt>
            <c:idx val="24"/>
            <c:invertIfNegative val="0"/>
            <c:bubble3D val="0"/>
            <c:spPr>
              <a:solidFill>
                <a:srgbClr val="000000"/>
              </a:solidFill>
              <a:ln>
                <a:noFill/>
              </a:ln>
              <a:effectLst/>
            </c:spPr>
            <c:extLst>
              <c:ext xmlns:c16="http://schemas.microsoft.com/office/drawing/2014/chart" uri="{C3380CC4-5D6E-409C-BE32-E72D297353CC}">
                <c16:uniqueId val="{00000031-FF8F-43D9-8A15-90D97CD97090}"/>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Data'!$C$3:$X$3</c:f>
              <c:numCache>
                <c:formatCode>#,##0_ ;\-#,##0\ </c:formatCode>
                <c:ptCount val="22"/>
                <c:pt idx="0">
                  <c:v>18219</c:v>
                </c:pt>
                <c:pt idx="1">
                  <c:v>18219</c:v>
                </c:pt>
                <c:pt idx="2">
                  <c:v>18219</c:v>
                </c:pt>
                <c:pt idx="3">
                  <c:v>18219</c:v>
                </c:pt>
                <c:pt idx="4">
                  <c:v>16419</c:v>
                </c:pt>
                <c:pt idx="5">
                  <c:v>16419</c:v>
                </c:pt>
                <c:pt idx="6">
                  <c:v>16419</c:v>
                </c:pt>
                <c:pt idx="7">
                  <c:v>16419</c:v>
                </c:pt>
                <c:pt idx="8">
                  <c:v>15689</c:v>
                </c:pt>
                <c:pt idx="9">
                  <c:v>15689</c:v>
                </c:pt>
                <c:pt idx="10">
                  <c:v>14369</c:v>
                </c:pt>
                <c:pt idx="11">
                  <c:v>12689</c:v>
                </c:pt>
                <c:pt idx="12">
                  <c:v>12689</c:v>
                </c:pt>
                <c:pt idx="13">
                  <c:v>12689</c:v>
                </c:pt>
                <c:pt idx="14">
                  <c:v>12689</c:v>
                </c:pt>
                <c:pt idx="15">
                  <c:v>12689</c:v>
                </c:pt>
                <c:pt idx="16">
                  <c:v>9809</c:v>
                </c:pt>
                <c:pt idx="17">
                  <c:v>7169</c:v>
                </c:pt>
                <c:pt idx="18">
                  <c:v>5769</c:v>
                </c:pt>
                <c:pt idx="19">
                  <c:v>5769</c:v>
                </c:pt>
                <c:pt idx="20">
                  <c:v>5069</c:v>
                </c:pt>
                <c:pt idx="21">
                  <c:v>5069</c:v>
                </c:pt>
              </c:numCache>
            </c:numRef>
          </c:val>
          <c:extLst>
            <c:ext xmlns:c16="http://schemas.microsoft.com/office/drawing/2014/chart" uri="{C3380CC4-5D6E-409C-BE32-E72D297353CC}">
              <c16:uniqueId val="{00000032-FF8F-43D9-8A15-90D97CD97090}"/>
            </c:ext>
          </c:extLst>
        </c:ser>
        <c:ser>
          <c:idx val="1"/>
          <c:order val="1"/>
          <c:tx>
            <c:strRef>
              <c:f>'NEMInstalledCapacity Data'!$B$4</c:f>
              <c:strCache>
                <c:ptCount val="1"/>
                <c:pt idx="0">
                  <c:v>Brown coal</c:v>
                </c:pt>
              </c:strCache>
            </c:strRef>
          </c:tx>
          <c:spPr>
            <a:solidFill>
              <a:srgbClr val="833807"/>
            </a:solidFill>
            <a:ln>
              <a:noFill/>
            </a:ln>
            <a:effectLst/>
          </c:spPr>
          <c:invertIfNegative val="0"/>
          <c:dPt>
            <c:idx val="0"/>
            <c:invertIfNegative val="0"/>
            <c:bubble3D val="0"/>
            <c:spPr>
              <a:solidFill>
                <a:srgbClr val="833807"/>
              </a:solidFill>
              <a:ln>
                <a:noFill/>
              </a:ln>
              <a:effectLst/>
            </c:spPr>
            <c:extLst>
              <c:ext xmlns:c16="http://schemas.microsoft.com/office/drawing/2014/chart" uri="{C3380CC4-5D6E-409C-BE32-E72D297353CC}">
                <c16:uniqueId val="{00000034-FF8F-43D9-8A15-90D97CD97090}"/>
              </c:ext>
            </c:extLst>
          </c:dPt>
          <c:dPt>
            <c:idx val="1"/>
            <c:invertIfNegative val="0"/>
            <c:bubble3D val="0"/>
            <c:spPr>
              <a:solidFill>
                <a:srgbClr val="833807"/>
              </a:solidFill>
              <a:ln>
                <a:noFill/>
              </a:ln>
              <a:effectLst/>
            </c:spPr>
            <c:extLst>
              <c:ext xmlns:c16="http://schemas.microsoft.com/office/drawing/2014/chart" uri="{C3380CC4-5D6E-409C-BE32-E72D297353CC}">
                <c16:uniqueId val="{00000036-FF8F-43D9-8A15-90D97CD97090}"/>
              </c:ext>
            </c:extLst>
          </c:dPt>
          <c:dPt>
            <c:idx val="2"/>
            <c:invertIfNegative val="0"/>
            <c:bubble3D val="0"/>
            <c:spPr>
              <a:solidFill>
                <a:srgbClr val="833807"/>
              </a:solidFill>
              <a:ln>
                <a:noFill/>
              </a:ln>
              <a:effectLst/>
            </c:spPr>
            <c:extLst>
              <c:ext xmlns:c16="http://schemas.microsoft.com/office/drawing/2014/chart" uri="{C3380CC4-5D6E-409C-BE32-E72D297353CC}">
                <c16:uniqueId val="{00000038-FF8F-43D9-8A15-90D97CD97090}"/>
              </c:ext>
            </c:extLst>
          </c:dPt>
          <c:dPt>
            <c:idx val="3"/>
            <c:invertIfNegative val="0"/>
            <c:bubble3D val="0"/>
            <c:spPr>
              <a:solidFill>
                <a:srgbClr val="833807"/>
              </a:solidFill>
              <a:ln>
                <a:noFill/>
              </a:ln>
              <a:effectLst/>
            </c:spPr>
            <c:extLst>
              <c:ext xmlns:c16="http://schemas.microsoft.com/office/drawing/2014/chart" uri="{C3380CC4-5D6E-409C-BE32-E72D297353CC}">
                <c16:uniqueId val="{0000003A-FF8F-43D9-8A15-90D97CD97090}"/>
              </c:ext>
            </c:extLst>
          </c:dPt>
          <c:dPt>
            <c:idx val="4"/>
            <c:invertIfNegative val="0"/>
            <c:bubble3D val="0"/>
            <c:spPr>
              <a:solidFill>
                <a:srgbClr val="833807"/>
              </a:solidFill>
              <a:ln>
                <a:noFill/>
              </a:ln>
              <a:effectLst/>
            </c:spPr>
            <c:extLst>
              <c:ext xmlns:c16="http://schemas.microsoft.com/office/drawing/2014/chart" uri="{C3380CC4-5D6E-409C-BE32-E72D297353CC}">
                <c16:uniqueId val="{0000003C-FF8F-43D9-8A15-90D97CD97090}"/>
              </c:ext>
            </c:extLst>
          </c:dPt>
          <c:dPt>
            <c:idx val="5"/>
            <c:invertIfNegative val="0"/>
            <c:bubble3D val="0"/>
            <c:spPr>
              <a:solidFill>
                <a:srgbClr val="833807"/>
              </a:solidFill>
              <a:ln>
                <a:noFill/>
              </a:ln>
              <a:effectLst/>
            </c:spPr>
            <c:extLst>
              <c:ext xmlns:c16="http://schemas.microsoft.com/office/drawing/2014/chart" uri="{C3380CC4-5D6E-409C-BE32-E72D297353CC}">
                <c16:uniqueId val="{0000003E-FF8F-43D9-8A15-90D97CD97090}"/>
              </c:ext>
            </c:extLst>
          </c:dPt>
          <c:dPt>
            <c:idx val="6"/>
            <c:invertIfNegative val="0"/>
            <c:bubble3D val="0"/>
            <c:spPr>
              <a:solidFill>
                <a:srgbClr val="833807"/>
              </a:solidFill>
              <a:ln>
                <a:noFill/>
              </a:ln>
              <a:effectLst/>
            </c:spPr>
            <c:extLst>
              <c:ext xmlns:c16="http://schemas.microsoft.com/office/drawing/2014/chart" uri="{C3380CC4-5D6E-409C-BE32-E72D297353CC}">
                <c16:uniqueId val="{00000040-FF8F-43D9-8A15-90D97CD97090}"/>
              </c:ext>
            </c:extLst>
          </c:dPt>
          <c:dPt>
            <c:idx val="7"/>
            <c:invertIfNegative val="0"/>
            <c:bubble3D val="0"/>
            <c:spPr>
              <a:solidFill>
                <a:srgbClr val="833807"/>
              </a:solidFill>
              <a:ln>
                <a:noFill/>
              </a:ln>
              <a:effectLst/>
            </c:spPr>
            <c:extLst>
              <c:ext xmlns:c16="http://schemas.microsoft.com/office/drawing/2014/chart" uri="{C3380CC4-5D6E-409C-BE32-E72D297353CC}">
                <c16:uniqueId val="{00000042-FF8F-43D9-8A15-90D97CD97090}"/>
              </c:ext>
            </c:extLst>
          </c:dPt>
          <c:dPt>
            <c:idx val="8"/>
            <c:invertIfNegative val="0"/>
            <c:bubble3D val="0"/>
            <c:spPr>
              <a:solidFill>
                <a:srgbClr val="833807"/>
              </a:solidFill>
              <a:ln>
                <a:noFill/>
              </a:ln>
              <a:effectLst/>
            </c:spPr>
            <c:extLst>
              <c:ext xmlns:c16="http://schemas.microsoft.com/office/drawing/2014/chart" uri="{C3380CC4-5D6E-409C-BE32-E72D297353CC}">
                <c16:uniqueId val="{00000044-FF8F-43D9-8A15-90D97CD97090}"/>
              </c:ext>
            </c:extLst>
          </c:dPt>
          <c:dPt>
            <c:idx val="9"/>
            <c:invertIfNegative val="0"/>
            <c:bubble3D val="0"/>
            <c:spPr>
              <a:solidFill>
                <a:srgbClr val="833807"/>
              </a:solidFill>
              <a:ln>
                <a:noFill/>
              </a:ln>
              <a:effectLst/>
            </c:spPr>
            <c:extLst>
              <c:ext xmlns:c16="http://schemas.microsoft.com/office/drawing/2014/chart" uri="{C3380CC4-5D6E-409C-BE32-E72D297353CC}">
                <c16:uniqueId val="{00000046-FF8F-43D9-8A15-90D97CD97090}"/>
              </c:ext>
            </c:extLst>
          </c:dPt>
          <c:dPt>
            <c:idx val="10"/>
            <c:invertIfNegative val="0"/>
            <c:bubble3D val="0"/>
            <c:spPr>
              <a:solidFill>
                <a:srgbClr val="833807"/>
              </a:solidFill>
              <a:ln>
                <a:noFill/>
              </a:ln>
              <a:effectLst/>
            </c:spPr>
            <c:extLst>
              <c:ext xmlns:c16="http://schemas.microsoft.com/office/drawing/2014/chart" uri="{C3380CC4-5D6E-409C-BE32-E72D297353CC}">
                <c16:uniqueId val="{00000048-FF8F-43D9-8A15-90D97CD97090}"/>
              </c:ext>
            </c:extLst>
          </c:dPt>
          <c:dPt>
            <c:idx val="11"/>
            <c:invertIfNegative val="0"/>
            <c:bubble3D val="0"/>
            <c:spPr>
              <a:solidFill>
                <a:srgbClr val="833807"/>
              </a:solidFill>
              <a:ln>
                <a:noFill/>
              </a:ln>
              <a:effectLst/>
            </c:spPr>
            <c:extLst>
              <c:ext xmlns:c16="http://schemas.microsoft.com/office/drawing/2014/chart" uri="{C3380CC4-5D6E-409C-BE32-E72D297353CC}">
                <c16:uniqueId val="{0000004A-FF8F-43D9-8A15-90D97CD97090}"/>
              </c:ext>
            </c:extLst>
          </c:dPt>
          <c:dPt>
            <c:idx val="12"/>
            <c:invertIfNegative val="0"/>
            <c:bubble3D val="0"/>
            <c:spPr>
              <a:solidFill>
                <a:srgbClr val="833807"/>
              </a:solidFill>
              <a:ln>
                <a:noFill/>
              </a:ln>
              <a:effectLst/>
            </c:spPr>
            <c:extLst>
              <c:ext xmlns:c16="http://schemas.microsoft.com/office/drawing/2014/chart" uri="{C3380CC4-5D6E-409C-BE32-E72D297353CC}">
                <c16:uniqueId val="{0000004C-FF8F-43D9-8A15-90D97CD97090}"/>
              </c:ext>
            </c:extLst>
          </c:dPt>
          <c:dPt>
            <c:idx val="13"/>
            <c:invertIfNegative val="0"/>
            <c:bubble3D val="0"/>
            <c:spPr>
              <a:solidFill>
                <a:srgbClr val="833807"/>
              </a:solidFill>
              <a:ln>
                <a:noFill/>
              </a:ln>
              <a:effectLst/>
            </c:spPr>
            <c:extLst>
              <c:ext xmlns:c16="http://schemas.microsoft.com/office/drawing/2014/chart" uri="{C3380CC4-5D6E-409C-BE32-E72D297353CC}">
                <c16:uniqueId val="{0000004E-FF8F-43D9-8A15-90D97CD97090}"/>
              </c:ext>
            </c:extLst>
          </c:dPt>
          <c:dPt>
            <c:idx val="14"/>
            <c:invertIfNegative val="0"/>
            <c:bubble3D val="0"/>
            <c:spPr>
              <a:solidFill>
                <a:srgbClr val="833807"/>
              </a:solidFill>
              <a:ln>
                <a:noFill/>
              </a:ln>
              <a:effectLst/>
            </c:spPr>
            <c:extLst>
              <c:ext xmlns:c16="http://schemas.microsoft.com/office/drawing/2014/chart" uri="{C3380CC4-5D6E-409C-BE32-E72D297353CC}">
                <c16:uniqueId val="{00000050-FF8F-43D9-8A15-90D97CD97090}"/>
              </c:ext>
            </c:extLst>
          </c:dPt>
          <c:dPt>
            <c:idx val="15"/>
            <c:invertIfNegative val="0"/>
            <c:bubble3D val="0"/>
            <c:spPr>
              <a:solidFill>
                <a:srgbClr val="833807"/>
              </a:solidFill>
              <a:ln>
                <a:noFill/>
              </a:ln>
              <a:effectLst/>
            </c:spPr>
            <c:extLst>
              <c:ext xmlns:c16="http://schemas.microsoft.com/office/drawing/2014/chart" uri="{C3380CC4-5D6E-409C-BE32-E72D297353CC}">
                <c16:uniqueId val="{00000052-FF8F-43D9-8A15-90D97CD97090}"/>
              </c:ext>
            </c:extLst>
          </c:dPt>
          <c:dPt>
            <c:idx val="16"/>
            <c:invertIfNegative val="0"/>
            <c:bubble3D val="0"/>
            <c:spPr>
              <a:solidFill>
                <a:srgbClr val="833807"/>
              </a:solidFill>
              <a:ln>
                <a:noFill/>
              </a:ln>
              <a:effectLst/>
            </c:spPr>
            <c:extLst>
              <c:ext xmlns:c16="http://schemas.microsoft.com/office/drawing/2014/chart" uri="{C3380CC4-5D6E-409C-BE32-E72D297353CC}">
                <c16:uniqueId val="{00000054-FF8F-43D9-8A15-90D97CD97090}"/>
              </c:ext>
            </c:extLst>
          </c:dPt>
          <c:dPt>
            <c:idx val="17"/>
            <c:invertIfNegative val="0"/>
            <c:bubble3D val="0"/>
            <c:spPr>
              <a:solidFill>
                <a:srgbClr val="833807"/>
              </a:solidFill>
              <a:ln>
                <a:noFill/>
              </a:ln>
              <a:effectLst/>
            </c:spPr>
            <c:extLst>
              <c:ext xmlns:c16="http://schemas.microsoft.com/office/drawing/2014/chart" uri="{C3380CC4-5D6E-409C-BE32-E72D297353CC}">
                <c16:uniqueId val="{00000056-FF8F-43D9-8A15-90D97CD97090}"/>
              </c:ext>
            </c:extLst>
          </c:dPt>
          <c:dPt>
            <c:idx val="18"/>
            <c:invertIfNegative val="0"/>
            <c:bubble3D val="0"/>
            <c:spPr>
              <a:solidFill>
                <a:srgbClr val="833807"/>
              </a:solidFill>
              <a:ln>
                <a:noFill/>
              </a:ln>
              <a:effectLst/>
            </c:spPr>
            <c:extLst>
              <c:ext xmlns:c16="http://schemas.microsoft.com/office/drawing/2014/chart" uri="{C3380CC4-5D6E-409C-BE32-E72D297353CC}">
                <c16:uniqueId val="{00000058-FF8F-43D9-8A15-90D97CD97090}"/>
              </c:ext>
            </c:extLst>
          </c:dPt>
          <c:dPt>
            <c:idx val="19"/>
            <c:invertIfNegative val="0"/>
            <c:bubble3D val="0"/>
            <c:spPr>
              <a:solidFill>
                <a:srgbClr val="833807"/>
              </a:solidFill>
              <a:ln>
                <a:noFill/>
              </a:ln>
              <a:effectLst/>
            </c:spPr>
            <c:extLst>
              <c:ext xmlns:c16="http://schemas.microsoft.com/office/drawing/2014/chart" uri="{C3380CC4-5D6E-409C-BE32-E72D297353CC}">
                <c16:uniqueId val="{0000005A-FF8F-43D9-8A15-90D97CD97090}"/>
              </c:ext>
            </c:extLst>
          </c:dPt>
          <c:dPt>
            <c:idx val="20"/>
            <c:invertIfNegative val="0"/>
            <c:bubble3D val="0"/>
            <c:spPr>
              <a:solidFill>
                <a:srgbClr val="833807"/>
              </a:solidFill>
              <a:ln>
                <a:noFill/>
              </a:ln>
              <a:effectLst/>
            </c:spPr>
            <c:extLst>
              <c:ext xmlns:c16="http://schemas.microsoft.com/office/drawing/2014/chart" uri="{C3380CC4-5D6E-409C-BE32-E72D297353CC}">
                <c16:uniqueId val="{0000005C-FF8F-43D9-8A15-90D97CD97090}"/>
              </c:ext>
            </c:extLst>
          </c:dPt>
          <c:dPt>
            <c:idx val="21"/>
            <c:invertIfNegative val="0"/>
            <c:bubble3D val="0"/>
            <c:spPr>
              <a:solidFill>
                <a:srgbClr val="833807"/>
              </a:solidFill>
              <a:ln>
                <a:noFill/>
              </a:ln>
              <a:effectLst/>
            </c:spPr>
            <c:extLst>
              <c:ext xmlns:c16="http://schemas.microsoft.com/office/drawing/2014/chart" uri="{C3380CC4-5D6E-409C-BE32-E72D297353CC}">
                <c16:uniqueId val="{0000005E-FF8F-43D9-8A15-90D97CD97090}"/>
              </c:ext>
            </c:extLst>
          </c:dPt>
          <c:dPt>
            <c:idx val="22"/>
            <c:invertIfNegative val="0"/>
            <c:bubble3D val="0"/>
            <c:spPr>
              <a:solidFill>
                <a:srgbClr val="833807"/>
              </a:solidFill>
              <a:ln>
                <a:noFill/>
              </a:ln>
              <a:effectLst/>
            </c:spPr>
            <c:extLst>
              <c:ext xmlns:c16="http://schemas.microsoft.com/office/drawing/2014/chart" uri="{C3380CC4-5D6E-409C-BE32-E72D297353CC}">
                <c16:uniqueId val="{00000060-FF8F-43D9-8A15-90D97CD97090}"/>
              </c:ext>
            </c:extLst>
          </c:dPt>
          <c:dPt>
            <c:idx val="23"/>
            <c:invertIfNegative val="0"/>
            <c:bubble3D val="0"/>
            <c:spPr>
              <a:solidFill>
                <a:srgbClr val="833807"/>
              </a:solidFill>
              <a:ln>
                <a:noFill/>
              </a:ln>
              <a:effectLst/>
            </c:spPr>
            <c:extLst>
              <c:ext xmlns:c16="http://schemas.microsoft.com/office/drawing/2014/chart" uri="{C3380CC4-5D6E-409C-BE32-E72D297353CC}">
                <c16:uniqueId val="{00000062-FF8F-43D9-8A15-90D97CD97090}"/>
              </c:ext>
            </c:extLst>
          </c:dPt>
          <c:dPt>
            <c:idx val="24"/>
            <c:invertIfNegative val="0"/>
            <c:bubble3D val="0"/>
            <c:spPr>
              <a:solidFill>
                <a:srgbClr val="833807"/>
              </a:solidFill>
              <a:ln>
                <a:noFill/>
              </a:ln>
              <a:effectLst/>
            </c:spPr>
            <c:extLst>
              <c:ext xmlns:c16="http://schemas.microsoft.com/office/drawing/2014/chart" uri="{C3380CC4-5D6E-409C-BE32-E72D297353CC}">
                <c16:uniqueId val="{00000064-FF8F-43D9-8A15-90D97CD97090}"/>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Data'!$C$4:$X$4</c:f>
              <c:numCache>
                <c:formatCode>#,##0_ ;\-#,##0\ </c:formatCode>
                <c:ptCount val="22"/>
                <c:pt idx="0">
                  <c:v>4808</c:v>
                </c:pt>
                <c:pt idx="1">
                  <c:v>4808</c:v>
                </c:pt>
                <c:pt idx="2">
                  <c:v>4808</c:v>
                </c:pt>
                <c:pt idx="3">
                  <c:v>4808</c:v>
                </c:pt>
                <c:pt idx="4">
                  <c:v>4808</c:v>
                </c:pt>
                <c:pt idx="5">
                  <c:v>4808</c:v>
                </c:pt>
                <c:pt idx="6">
                  <c:v>4808</c:v>
                </c:pt>
                <c:pt idx="7">
                  <c:v>4808</c:v>
                </c:pt>
                <c:pt idx="8">
                  <c:v>4808</c:v>
                </c:pt>
                <c:pt idx="9">
                  <c:v>3718</c:v>
                </c:pt>
                <c:pt idx="10">
                  <c:v>3718</c:v>
                </c:pt>
                <c:pt idx="11">
                  <c:v>3718</c:v>
                </c:pt>
                <c:pt idx="12">
                  <c:v>3718</c:v>
                </c:pt>
                <c:pt idx="13">
                  <c:v>3718</c:v>
                </c:pt>
                <c:pt idx="14">
                  <c:v>2190</c:v>
                </c:pt>
                <c:pt idx="15">
                  <c:v>2190</c:v>
                </c:pt>
                <c:pt idx="16">
                  <c:v>2190</c:v>
                </c:pt>
                <c:pt idx="17">
                  <c:v>2190</c:v>
                </c:pt>
                <c:pt idx="18">
                  <c:v>2190</c:v>
                </c:pt>
                <c:pt idx="19">
                  <c:v>2190</c:v>
                </c:pt>
                <c:pt idx="20">
                  <c:v>2190</c:v>
                </c:pt>
                <c:pt idx="21">
                  <c:v>2190</c:v>
                </c:pt>
              </c:numCache>
            </c:numRef>
          </c:val>
          <c:extLst>
            <c:ext xmlns:c16="http://schemas.microsoft.com/office/drawing/2014/chart" uri="{C3380CC4-5D6E-409C-BE32-E72D297353CC}">
              <c16:uniqueId val="{00000065-FF8F-43D9-8A15-90D97CD97090}"/>
            </c:ext>
          </c:extLst>
        </c:ser>
        <c:ser>
          <c:idx val="2"/>
          <c:order val="2"/>
          <c:tx>
            <c:strRef>
              <c:f>'NEMInstalledCapacity Data'!$B$5</c:f>
              <c:strCache>
                <c:ptCount val="1"/>
                <c:pt idx="0">
                  <c:v>Hydro</c:v>
                </c:pt>
              </c:strCache>
            </c:strRef>
          </c:tx>
          <c:spPr>
            <a:solidFill>
              <a:srgbClr val="268BAA"/>
            </a:solidFill>
            <a:ln>
              <a:noFill/>
            </a:ln>
            <a:effectLst/>
          </c:spPr>
          <c:invertIfNegative val="0"/>
          <c:dPt>
            <c:idx val="0"/>
            <c:invertIfNegative val="0"/>
            <c:bubble3D val="0"/>
            <c:spPr>
              <a:solidFill>
                <a:srgbClr val="268BAA"/>
              </a:solidFill>
              <a:ln>
                <a:noFill/>
              </a:ln>
              <a:effectLst/>
            </c:spPr>
            <c:extLst>
              <c:ext xmlns:c16="http://schemas.microsoft.com/office/drawing/2014/chart" uri="{C3380CC4-5D6E-409C-BE32-E72D297353CC}">
                <c16:uniqueId val="{00000067-FF8F-43D9-8A15-90D97CD97090}"/>
              </c:ext>
            </c:extLst>
          </c:dPt>
          <c:dPt>
            <c:idx val="1"/>
            <c:invertIfNegative val="0"/>
            <c:bubble3D val="0"/>
            <c:spPr>
              <a:solidFill>
                <a:srgbClr val="268BAA"/>
              </a:solidFill>
              <a:ln>
                <a:noFill/>
              </a:ln>
              <a:effectLst/>
            </c:spPr>
            <c:extLst>
              <c:ext xmlns:c16="http://schemas.microsoft.com/office/drawing/2014/chart" uri="{C3380CC4-5D6E-409C-BE32-E72D297353CC}">
                <c16:uniqueId val="{00000069-FF8F-43D9-8A15-90D97CD97090}"/>
              </c:ext>
            </c:extLst>
          </c:dPt>
          <c:dPt>
            <c:idx val="2"/>
            <c:invertIfNegative val="0"/>
            <c:bubble3D val="0"/>
            <c:spPr>
              <a:solidFill>
                <a:srgbClr val="268BAA"/>
              </a:solidFill>
              <a:ln>
                <a:noFill/>
              </a:ln>
              <a:effectLst/>
            </c:spPr>
            <c:extLst>
              <c:ext xmlns:c16="http://schemas.microsoft.com/office/drawing/2014/chart" uri="{C3380CC4-5D6E-409C-BE32-E72D297353CC}">
                <c16:uniqueId val="{0000006B-FF8F-43D9-8A15-90D97CD97090}"/>
              </c:ext>
            </c:extLst>
          </c:dPt>
          <c:dPt>
            <c:idx val="3"/>
            <c:invertIfNegative val="0"/>
            <c:bubble3D val="0"/>
            <c:spPr>
              <a:solidFill>
                <a:srgbClr val="268BAA"/>
              </a:solidFill>
              <a:ln>
                <a:noFill/>
              </a:ln>
              <a:effectLst/>
            </c:spPr>
            <c:extLst>
              <c:ext xmlns:c16="http://schemas.microsoft.com/office/drawing/2014/chart" uri="{C3380CC4-5D6E-409C-BE32-E72D297353CC}">
                <c16:uniqueId val="{0000006D-FF8F-43D9-8A15-90D97CD97090}"/>
              </c:ext>
            </c:extLst>
          </c:dPt>
          <c:dPt>
            <c:idx val="4"/>
            <c:invertIfNegative val="0"/>
            <c:bubble3D val="0"/>
            <c:spPr>
              <a:solidFill>
                <a:srgbClr val="268BAA"/>
              </a:solidFill>
              <a:ln>
                <a:noFill/>
              </a:ln>
              <a:effectLst/>
            </c:spPr>
            <c:extLst>
              <c:ext xmlns:c16="http://schemas.microsoft.com/office/drawing/2014/chart" uri="{C3380CC4-5D6E-409C-BE32-E72D297353CC}">
                <c16:uniqueId val="{0000006F-FF8F-43D9-8A15-90D97CD97090}"/>
              </c:ext>
            </c:extLst>
          </c:dPt>
          <c:dPt>
            <c:idx val="5"/>
            <c:invertIfNegative val="0"/>
            <c:bubble3D val="0"/>
            <c:spPr>
              <a:solidFill>
                <a:srgbClr val="268BAA"/>
              </a:solidFill>
              <a:ln>
                <a:noFill/>
              </a:ln>
              <a:effectLst/>
            </c:spPr>
            <c:extLst>
              <c:ext xmlns:c16="http://schemas.microsoft.com/office/drawing/2014/chart" uri="{C3380CC4-5D6E-409C-BE32-E72D297353CC}">
                <c16:uniqueId val="{00000071-FF8F-43D9-8A15-90D97CD97090}"/>
              </c:ext>
            </c:extLst>
          </c:dPt>
          <c:dPt>
            <c:idx val="6"/>
            <c:invertIfNegative val="0"/>
            <c:bubble3D val="0"/>
            <c:spPr>
              <a:solidFill>
                <a:srgbClr val="268BAA"/>
              </a:solidFill>
              <a:ln>
                <a:noFill/>
              </a:ln>
              <a:effectLst/>
            </c:spPr>
            <c:extLst>
              <c:ext xmlns:c16="http://schemas.microsoft.com/office/drawing/2014/chart" uri="{C3380CC4-5D6E-409C-BE32-E72D297353CC}">
                <c16:uniqueId val="{00000073-FF8F-43D9-8A15-90D97CD97090}"/>
              </c:ext>
            </c:extLst>
          </c:dPt>
          <c:dPt>
            <c:idx val="7"/>
            <c:invertIfNegative val="0"/>
            <c:bubble3D val="0"/>
            <c:spPr>
              <a:solidFill>
                <a:srgbClr val="268BAA"/>
              </a:solidFill>
              <a:ln>
                <a:noFill/>
              </a:ln>
              <a:effectLst/>
            </c:spPr>
            <c:extLst>
              <c:ext xmlns:c16="http://schemas.microsoft.com/office/drawing/2014/chart" uri="{C3380CC4-5D6E-409C-BE32-E72D297353CC}">
                <c16:uniqueId val="{00000075-FF8F-43D9-8A15-90D97CD97090}"/>
              </c:ext>
            </c:extLst>
          </c:dPt>
          <c:dPt>
            <c:idx val="8"/>
            <c:invertIfNegative val="0"/>
            <c:bubble3D val="0"/>
            <c:spPr>
              <a:solidFill>
                <a:srgbClr val="268BAA"/>
              </a:solidFill>
              <a:ln>
                <a:noFill/>
              </a:ln>
              <a:effectLst/>
            </c:spPr>
            <c:extLst>
              <c:ext xmlns:c16="http://schemas.microsoft.com/office/drawing/2014/chart" uri="{C3380CC4-5D6E-409C-BE32-E72D297353CC}">
                <c16:uniqueId val="{00000077-FF8F-43D9-8A15-90D97CD97090}"/>
              </c:ext>
            </c:extLst>
          </c:dPt>
          <c:dPt>
            <c:idx val="9"/>
            <c:invertIfNegative val="0"/>
            <c:bubble3D val="0"/>
            <c:spPr>
              <a:solidFill>
                <a:srgbClr val="268BAA"/>
              </a:solidFill>
              <a:ln>
                <a:noFill/>
              </a:ln>
              <a:effectLst/>
            </c:spPr>
            <c:extLst>
              <c:ext xmlns:c16="http://schemas.microsoft.com/office/drawing/2014/chart" uri="{C3380CC4-5D6E-409C-BE32-E72D297353CC}">
                <c16:uniqueId val="{00000079-FF8F-43D9-8A15-90D97CD97090}"/>
              </c:ext>
            </c:extLst>
          </c:dPt>
          <c:dPt>
            <c:idx val="10"/>
            <c:invertIfNegative val="0"/>
            <c:bubble3D val="0"/>
            <c:spPr>
              <a:solidFill>
                <a:srgbClr val="268BAA"/>
              </a:solidFill>
              <a:ln>
                <a:noFill/>
              </a:ln>
              <a:effectLst/>
            </c:spPr>
            <c:extLst>
              <c:ext xmlns:c16="http://schemas.microsoft.com/office/drawing/2014/chart" uri="{C3380CC4-5D6E-409C-BE32-E72D297353CC}">
                <c16:uniqueId val="{0000007B-FF8F-43D9-8A15-90D97CD97090}"/>
              </c:ext>
            </c:extLst>
          </c:dPt>
          <c:dPt>
            <c:idx val="11"/>
            <c:invertIfNegative val="0"/>
            <c:bubble3D val="0"/>
            <c:spPr>
              <a:solidFill>
                <a:srgbClr val="268BAA"/>
              </a:solidFill>
              <a:ln>
                <a:noFill/>
              </a:ln>
              <a:effectLst/>
            </c:spPr>
            <c:extLst>
              <c:ext xmlns:c16="http://schemas.microsoft.com/office/drawing/2014/chart" uri="{C3380CC4-5D6E-409C-BE32-E72D297353CC}">
                <c16:uniqueId val="{0000007D-FF8F-43D9-8A15-90D97CD97090}"/>
              </c:ext>
            </c:extLst>
          </c:dPt>
          <c:dPt>
            <c:idx val="12"/>
            <c:invertIfNegative val="0"/>
            <c:bubble3D val="0"/>
            <c:spPr>
              <a:solidFill>
                <a:srgbClr val="268BAA"/>
              </a:solidFill>
              <a:ln>
                <a:noFill/>
              </a:ln>
              <a:effectLst/>
            </c:spPr>
            <c:extLst>
              <c:ext xmlns:c16="http://schemas.microsoft.com/office/drawing/2014/chart" uri="{C3380CC4-5D6E-409C-BE32-E72D297353CC}">
                <c16:uniqueId val="{0000007F-FF8F-43D9-8A15-90D97CD97090}"/>
              </c:ext>
            </c:extLst>
          </c:dPt>
          <c:dPt>
            <c:idx val="13"/>
            <c:invertIfNegative val="0"/>
            <c:bubble3D val="0"/>
            <c:spPr>
              <a:solidFill>
                <a:srgbClr val="268BAA"/>
              </a:solidFill>
              <a:ln>
                <a:noFill/>
              </a:ln>
              <a:effectLst/>
            </c:spPr>
            <c:extLst>
              <c:ext xmlns:c16="http://schemas.microsoft.com/office/drawing/2014/chart" uri="{C3380CC4-5D6E-409C-BE32-E72D297353CC}">
                <c16:uniqueId val="{00000081-FF8F-43D9-8A15-90D97CD97090}"/>
              </c:ext>
            </c:extLst>
          </c:dPt>
          <c:dPt>
            <c:idx val="14"/>
            <c:invertIfNegative val="0"/>
            <c:bubble3D val="0"/>
            <c:spPr>
              <a:solidFill>
                <a:srgbClr val="268BAA"/>
              </a:solidFill>
              <a:ln>
                <a:noFill/>
              </a:ln>
              <a:effectLst/>
            </c:spPr>
            <c:extLst>
              <c:ext xmlns:c16="http://schemas.microsoft.com/office/drawing/2014/chart" uri="{C3380CC4-5D6E-409C-BE32-E72D297353CC}">
                <c16:uniqueId val="{00000083-FF8F-43D9-8A15-90D97CD97090}"/>
              </c:ext>
            </c:extLst>
          </c:dPt>
          <c:dPt>
            <c:idx val="15"/>
            <c:invertIfNegative val="0"/>
            <c:bubble3D val="0"/>
            <c:spPr>
              <a:solidFill>
                <a:srgbClr val="268BAA"/>
              </a:solidFill>
              <a:ln>
                <a:noFill/>
              </a:ln>
              <a:effectLst/>
            </c:spPr>
            <c:extLst>
              <c:ext xmlns:c16="http://schemas.microsoft.com/office/drawing/2014/chart" uri="{C3380CC4-5D6E-409C-BE32-E72D297353CC}">
                <c16:uniqueId val="{00000085-FF8F-43D9-8A15-90D97CD97090}"/>
              </c:ext>
            </c:extLst>
          </c:dPt>
          <c:dPt>
            <c:idx val="16"/>
            <c:invertIfNegative val="0"/>
            <c:bubble3D val="0"/>
            <c:spPr>
              <a:solidFill>
                <a:srgbClr val="268BAA"/>
              </a:solidFill>
              <a:ln>
                <a:noFill/>
              </a:ln>
              <a:effectLst/>
            </c:spPr>
            <c:extLst>
              <c:ext xmlns:c16="http://schemas.microsoft.com/office/drawing/2014/chart" uri="{C3380CC4-5D6E-409C-BE32-E72D297353CC}">
                <c16:uniqueId val="{00000087-FF8F-43D9-8A15-90D97CD97090}"/>
              </c:ext>
            </c:extLst>
          </c:dPt>
          <c:dPt>
            <c:idx val="17"/>
            <c:invertIfNegative val="0"/>
            <c:bubble3D val="0"/>
            <c:spPr>
              <a:solidFill>
                <a:srgbClr val="268BAA"/>
              </a:solidFill>
              <a:ln>
                <a:noFill/>
              </a:ln>
              <a:effectLst/>
            </c:spPr>
            <c:extLst>
              <c:ext xmlns:c16="http://schemas.microsoft.com/office/drawing/2014/chart" uri="{C3380CC4-5D6E-409C-BE32-E72D297353CC}">
                <c16:uniqueId val="{00000089-FF8F-43D9-8A15-90D97CD97090}"/>
              </c:ext>
            </c:extLst>
          </c:dPt>
          <c:dPt>
            <c:idx val="18"/>
            <c:invertIfNegative val="0"/>
            <c:bubble3D val="0"/>
            <c:spPr>
              <a:solidFill>
                <a:srgbClr val="268BAA"/>
              </a:solidFill>
              <a:ln>
                <a:noFill/>
              </a:ln>
              <a:effectLst/>
            </c:spPr>
            <c:extLst>
              <c:ext xmlns:c16="http://schemas.microsoft.com/office/drawing/2014/chart" uri="{C3380CC4-5D6E-409C-BE32-E72D297353CC}">
                <c16:uniqueId val="{0000008B-FF8F-43D9-8A15-90D97CD97090}"/>
              </c:ext>
            </c:extLst>
          </c:dPt>
          <c:dPt>
            <c:idx val="19"/>
            <c:invertIfNegative val="0"/>
            <c:bubble3D val="0"/>
            <c:spPr>
              <a:solidFill>
                <a:srgbClr val="268BAA"/>
              </a:solidFill>
              <a:ln>
                <a:noFill/>
              </a:ln>
              <a:effectLst/>
            </c:spPr>
            <c:extLst>
              <c:ext xmlns:c16="http://schemas.microsoft.com/office/drawing/2014/chart" uri="{C3380CC4-5D6E-409C-BE32-E72D297353CC}">
                <c16:uniqueId val="{0000008D-FF8F-43D9-8A15-90D97CD97090}"/>
              </c:ext>
            </c:extLst>
          </c:dPt>
          <c:dPt>
            <c:idx val="20"/>
            <c:invertIfNegative val="0"/>
            <c:bubble3D val="0"/>
            <c:spPr>
              <a:solidFill>
                <a:srgbClr val="268BAA"/>
              </a:solidFill>
              <a:ln>
                <a:noFill/>
              </a:ln>
              <a:effectLst/>
            </c:spPr>
            <c:extLst>
              <c:ext xmlns:c16="http://schemas.microsoft.com/office/drawing/2014/chart" uri="{C3380CC4-5D6E-409C-BE32-E72D297353CC}">
                <c16:uniqueId val="{0000008F-FF8F-43D9-8A15-90D97CD97090}"/>
              </c:ext>
            </c:extLst>
          </c:dPt>
          <c:dPt>
            <c:idx val="21"/>
            <c:invertIfNegative val="0"/>
            <c:bubble3D val="0"/>
            <c:spPr>
              <a:solidFill>
                <a:srgbClr val="268BAA"/>
              </a:solidFill>
              <a:ln>
                <a:noFill/>
              </a:ln>
              <a:effectLst/>
            </c:spPr>
            <c:extLst>
              <c:ext xmlns:c16="http://schemas.microsoft.com/office/drawing/2014/chart" uri="{C3380CC4-5D6E-409C-BE32-E72D297353CC}">
                <c16:uniqueId val="{00000091-FF8F-43D9-8A15-90D97CD97090}"/>
              </c:ext>
            </c:extLst>
          </c:dPt>
          <c:dPt>
            <c:idx val="22"/>
            <c:invertIfNegative val="0"/>
            <c:bubble3D val="0"/>
            <c:spPr>
              <a:solidFill>
                <a:srgbClr val="268BAA"/>
              </a:solidFill>
              <a:ln>
                <a:noFill/>
              </a:ln>
              <a:effectLst/>
            </c:spPr>
            <c:extLst>
              <c:ext xmlns:c16="http://schemas.microsoft.com/office/drawing/2014/chart" uri="{C3380CC4-5D6E-409C-BE32-E72D297353CC}">
                <c16:uniqueId val="{00000093-FF8F-43D9-8A15-90D97CD97090}"/>
              </c:ext>
            </c:extLst>
          </c:dPt>
          <c:dPt>
            <c:idx val="23"/>
            <c:invertIfNegative val="0"/>
            <c:bubble3D val="0"/>
            <c:spPr>
              <a:solidFill>
                <a:srgbClr val="268BAA"/>
              </a:solidFill>
              <a:ln>
                <a:noFill/>
              </a:ln>
              <a:effectLst/>
            </c:spPr>
            <c:extLst>
              <c:ext xmlns:c16="http://schemas.microsoft.com/office/drawing/2014/chart" uri="{C3380CC4-5D6E-409C-BE32-E72D297353CC}">
                <c16:uniqueId val="{00000095-FF8F-43D9-8A15-90D97CD97090}"/>
              </c:ext>
            </c:extLst>
          </c:dPt>
          <c:dPt>
            <c:idx val="24"/>
            <c:invertIfNegative val="0"/>
            <c:bubble3D val="0"/>
            <c:spPr>
              <a:solidFill>
                <a:srgbClr val="268BAA"/>
              </a:solidFill>
              <a:ln>
                <a:noFill/>
              </a:ln>
              <a:effectLst/>
            </c:spPr>
            <c:extLst>
              <c:ext xmlns:c16="http://schemas.microsoft.com/office/drawing/2014/chart" uri="{C3380CC4-5D6E-409C-BE32-E72D297353CC}">
                <c16:uniqueId val="{00000097-FF8F-43D9-8A15-90D97CD97090}"/>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Data'!$C$5:$X$5</c:f>
              <c:numCache>
                <c:formatCode>#,##0_ ;\-#,##0\ </c:formatCode>
                <c:ptCount val="22"/>
                <c:pt idx="0">
                  <c:v>5363.5</c:v>
                </c:pt>
                <c:pt idx="1">
                  <c:v>5363.5</c:v>
                </c:pt>
                <c:pt idx="2">
                  <c:v>5363.5</c:v>
                </c:pt>
                <c:pt idx="3">
                  <c:v>5363.5</c:v>
                </c:pt>
                <c:pt idx="4">
                  <c:v>5363.5</c:v>
                </c:pt>
                <c:pt idx="5">
                  <c:v>5363.5</c:v>
                </c:pt>
                <c:pt idx="6">
                  <c:v>5363.5</c:v>
                </c:pt>
                <c:pt idx="7">
                  <c:v>5363.5</c:v>
                </c:pt>
                <c:pt idx="8">
                  <c:v>5363.5</c:v>
                </c:pt>
                <c:pt idx="9">
                  <c:v>5363.5</c:v>
                </c:pt>
                <c:pt idx="10">
                  <c:v>5363.5</c:v>
                </c:pt>
                <c:pt idx="11">
                  <c:v>5363.5</c:v>
                </c:pt>
                <c:pt idx="12">
                  <c:v>5363.5</c:v>
                </c:pt>
                <c:pt idx="13">
                  <c:v>5363.5</c:v>
                </c:pt>
                <c:pt idx="14">
                  <c:v>5363.5</c:v>
                </c:pt>
                <c:pt idx="15">
                  <c:v>5363.5</c:v>
                </c:pt>
                <c:pt idx="16">
                  <c:v>5363.5</c:v>
                </c:pt>
                <c:pt idx="17">
                  <c:v>5363.5</c:v>
                </c:pt>
                <c:pt idx="18">
                  <c:v>5363.5</c:v>
                </c:pt>
                <c:pt idx="19">
                  <c:v>5363.5</c:v>
                </c:pt>
                <c:pt idx="20">
                  <c:v>5363.5</c:v>
                </c:pt>
                <c:pt idx="21">
                  <c:v>5363.5</c:v>
                </c:pt>
              </c:numCache>
            </c:numRef>
          </c:val>
          <c:extLst>
            <c:ext xmlns:c16="http://schemas.microsoft.com/office/drawing/2014/chart" uri="{C3380CC4-5D6E-409C-BE32-E72D297353CC}">
              <c16:uniqueId val="{00000098-FF8F-43D9-8A15-90D97CD97090}"/>
            </c:ext>
          </c:extLst>
        </c:ser>
        <c:ser>
          <c:idx val="3"/>
          <c:order val="3"/>
          <c:tx>
            <c:strRef>
              <c:f>'NEMInstalledCapacity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099-FF8F-43D9-8A15-90D97CD97090}"/>
              </c:ext>
            </c:extLst>
          </c:dPt>
          <c:dPt>
            <c:idx val="1"/>
            <c:invertIfNegative val="0"/>
            <c:bubble3D val="0"/>
            <c:extLst>
              <c:ext xmlns:c16="http://schemas.microsoft.com/office/drawing/2014/chart" uri="{C3380CC4-5D6E-409C-BE32-E72D297353CC}">
                <c16:uniqueId val="{0000009A-FF8F-43D9-8A15-90D97CD97090}"/>
              </c:ext>
            </c:extLst>
          </c:dPt>
          <c:dPt>
            <c:idx val="2"/>
            <c:invertIfNegative val="0"/>
            <c:bubble3D val="0"/>
            <c:extLst>
              <c:ext xmlns:c16="http://schemas.microsoft.com/office/drawing/2014/chart" uri="{C3380CC4-5D6E-409C-BE32-E72D297353CC}">
                <c16:uniqueId val="{0000009B-FF8F-43D9-8A15-90D97CD97090}"/>
              </c:ext>
            </c:extLst>
          </c:dPt>
          <c:dPt>
            <c:idx val="3"/>
            <c:invertIfNegative val="0"/>
            <c:bubble3D val="0"/>
            <c:extLst>
              <c:ext xmlns:c16="http://schemas.microsoft.com/office/drawing/2014/chart" uri="{C3380CC4-5D6E-409C-BE32-E72D297353CC}">
                <c16:uniqueId val="{0000009C-FF8F-43D9-8A15-90D97CD97090}"/>
              </c:ext>
            </c:extLst>
          </c:dPt>
          <c:dPt>
            <c:idx val="4"/>
            <c:invertIfNegative val="0"/>
            <c:bubble3D val="0"/>
            <c:extLst>
              <c:ext xmlns:c16="http://schemas.microsoft.com/office/drawing/2014/chart" uri="{C3380CC4-5D6E-409C-BE32-E72D297353CC}">
                <c16:uniqueId val="{0000009D-FF8F-43D9-8A15-90D97CD97090}"/>
              </c:ext>
            </c:extLst>
          </c:dPt>
          <c:dPt>
            <c:idx val="5"/>
            <c:invertIfNegative val="0"/>
            <c:bubble3D val="0"/>
            <c:extLst>
              <c:ext xmlns:c16="http://schemas.microsoft.com/office/drawing/2014/chart" uri="{C3380CC4-5D6E-409C-BE32-E72D297353CC}">
                <c16:uniqueId val="{0000009E-FF8F-43D9-8A15-90D97CD97090}"/>
              </c:ext>
            </c:extLst>
          </c:dPt>
          <c:dPt>
            <c:idx val="6"/>
            <c:invertIfNegative val="0"/>
            <c:bubble3D val="0"/>
            <c:extLst>
              <c:ext xmlns:c16="http://schemas.microsoft.com/office/drawing/2014/chart" uri="{C3380CC4-5D6E-409C-BE32-E72D297353CC}">
                <c16:uniqueId val="{0000009F-FF8F-43D9-8A15-90D97CD97090}"/>
              </c:ext>
            </c:extLst>
          </c:dPt>
          <c:dPt>
            <c:idx val="7"/>
            <c:invertIfNegative val="0"/>
            <c:bubble3D val="0"/>
            <c:extLst>
              <c:ext xmlns:c16="http://schemas.microsoft.com/office/drawing/2014/chart" uri="{C3380CC4-5D6E-409C-BE32-E72D297353CC}">
                <c16:uniqueId val="{000000A0-FF8F-43D9-8A15-90D97CD97090}"/>
              </c:ext>
            </c:extLst>
          </c:dPt>
          <c:dPt>
            <c:idx val="8"/>
            <c:invertIfNegative val="0"/>
            <c:bubble3D val="0"/>
            <c:extLst>
              <c:ext xmlns:c16="http://schemas.microsoft.com/office/drawing/2014/chart" uri="{C3380CC4-5D6E-409C-BE32-E72D297353CC}">
                <c16:uniqueId val="{000000A1-FF8F-43D9-8A15-90D97CD97090}"/>
              </c:ext>
            </c:extLst>
          </c:dPt>
          <c:dPt>
            <c:idx val="9"/>
            <c:invertIfNegative val="0"/>
            <c:bubble3D val="0"/>
            <c:extLst>
              <c:ext xmlns:c16="http://schemas.microsoft.com/office/drawing/2014/chart" uri="{C3380CC4-5D6E-409C-BE32-E72D297353CC}">
                <c16:uniqueId val="{000000A2-FF8F-43D9-8A15-90D97CD97090}"/>
              </c:ext>
            </c:extLst>
          </c:dPt>
          <c:dPt>
            <c:idx val="10"/>
            <c:invertIfNegative val="0"/>
            <c:bubble3D val="0"/>
            <c:extLst>
              <c:ext xmlns:c16="http://schemas.microsoft.com/office/drawing/2014/chart" uri="{C3380CC4-5D6E-409C-BE32-E72D297353CC}">
                <c16:uniqueId val="{000000A3-FF8F-43D9-8A15-90D97CD97090}"/>
              </c:ext>
            </c:extLst>
          </c:dPt>
          <c:dPt>
            <c:idx val="11"/>
            <c:invertIfNegative val="0"/>
            <c:bubble3D val="0"/>
            <c:extLst>
              <c:ext xmlns:c16="http://schemas.microsoft.com/office/drawing/2014/chart" uri="{C3380CC4-5D6E-409C-BE32-E72D297353CC}">
                <c16:uniqueId val="{000000A4-FF8F-43D9-8A15-90D97CD97090}"/>
              </c:ext>
            </c:extLst>
          </c:dPt>
          <c:dPt>
            <c:idx val="12"/>
            <c:invertIfNegative val="0"/>
            <c:bubble3D val="0"/>
            <c:extLst>
              <c:ext xmlns:c16="http://schemas.microsoft.com/office/drawing/2014/chart" uri="{C3380CC4-5D6E-409C-BE32-E72D297353CC}">
                <c16:uniqueId val="{000000A5-FF8F-43D9-8A15-90D97CD97090}"/>
              </c:ext>
            </c:extLst>
          </c:dPt>
          <c:dPt>
            <c:idx val="13"/>
            <c:invertIfNegative val="0"/>
            <c:bubble3D val="0"/>
            <c:extLst>
              <c:ext xmlns:c16="http://schemas.microsoft.com/office/drawing/2014/chart" uri="{C3380CC4-5D6E-409C-BE32-E72D297353CC}">
                <c16:uniqueId val="{000000A6-FF8F-43D9-8A15-90D97CD97090}"/>
              </c:ext>
            </c:extLst>
          </c:dPt>
          <c:dPt>
            <c:idx val="14"/>
            <c:invertIfNegative val="0"/>
            <c:bubble3D val="0"/>
            <c:extLst>
              <c:ext xmlns:c16="http://schemas.microsoft.com/office/drawing/2014/chart" uri="{C3380CC4-5D6E-409C-BE32-E72D297353CC}">
                <c16:uniqueId val="{000000A7-FF8F-43D9-8A15-90D97CD97090}"/>
              </c:ext>
            </c:extLst>
          </c:dPt>
          <c:dPt>
            <c:idx val="15"/>
            <c:invertIfNegative val="0"/>
            <c:bubble3D val="0"/>
            <c:extLst>
              <c:ext xmlns:c16="http://schemas.microsoft.com/office/drawing/2014/chart" uri="{C3380CC4-5D6E-409C-BE32-E72D297353CC}">
                <c16:uniqueId val="{000000A8-FF8F-43D9-8A15-90D97CD97090}"/>
              </c:ext>
            </c:extLst>
          </c:dPt>
          <c:dPt>
            <c:idx val="16"/>
            <c:invertIfNegative val="0"/>
            <c:bubble3D val="0"/>
            <c:extLst>
              <c:ext xmlns:c16="http://schemas.microsoft.com/office/drawing/2014/chart" uri="{C3380CC4-5D6E-409C-BE32-E72D297353CC}">
                <c16:uniqueId val="{000000A9-FF8F-43D9-8A15-90D97CD97090}"/>
              </c:ext>
            </c:extLst>
          </c:dPt>
          <c:dPt>
            <c:idx val="17"/>
            <c:invertIfNegative val="0"/>
            <c:bubble3D val="0"/>
            <c:extLst>
              <c:ext xmlns:c16="http://schemas.microsoft.com/office/drawing/2014/chart" uri="{C3380CC4-5D6E-409C-BE32-E72D297353CC}">
                <c16:uniqueId val="{000000AA-FF8F-43D9-8A15-90D97CD97090}"/>
              </c:ext>
            </c:extLst>
          </c:dPt>
          <c:dPt>
            <c:idx val="18"/>
            <c:invertIfNegative val="0"/>
            <c:bubble3D val="0"/>
            <c:extLst>
              <c:ext xmlns:c16="http://schemas.microsoft.com/office/drawing/2014/chart" uri="{C3380CC4-5D6E-409C-BE32-E72D297353CC}">
                <c16:uniqueId val="{000000AB-FF8F-43D9-8A15-90D97CD97090}"/>
              </c:ext>
            </c:extLst>
          </c:dPt>
          <c:dPt>
            <c:idx val="19"/>
            <c:invertIfNegative val="0"/>
            <c:bubble3D val="0"/>
            <c:extLst>
              <c:ext xmlns:c16="http://schemas.microsoft.com/office/drawing/2014/chart" uri="{C3380CC4-5D6E-409C-BE32-E72D297353CC}">
                <c16:uniqueId val="{000000AC-FF8F-43D9-8A15-90D97CD97090}"/>
              </c:ext>
            </c:extLst>
          </c:dPt>
          <c:dPt>
            <c:idx val="20"/>
            <c:invertIfNegative val="0"/>
            <c:bubble3D val="0"/>
            <c:extLst>
              <c:ext xmlns:c16="http://schemas.microsoft.com/office/drawing/2014/chart" uri="{C3380CC4-5D6E-409C-BE32-E72D297353CC}">
                <c16:uniqueId val="{000000AD-FF8F-43D9-8A15-90D97CD97090}"/>
              </c:ext>
            </c:extLst>
          </c:dPt>
          <c:dPt>
            <c:idx val="21"/>
            <c:invertIfNegative val="0"/>
            <c:bubble3D val="0"/>
            <c:extLst>
              <c:ext xmlns:c16="http://schemas.microsoft.com/office/drawing/2014/chart" uri="{C3380CC4-5D6E-409C-BE32-E72D297353CC}">
                <c16:uniqueId val="{000000AE-FF8F-43D9-8A15-90D97CD97090}"/>
              </c:ext>
            </c:extLst>
          </c:dPt>
          <c:dPt>
            <c:idx val="22"/>
            <c:invertIfNegative val="0"/>
            <c:bubble3D val="0"/>
            <c:extLst>
              <c:ext xmlns:c16="http://schemas.microsoft.com/office/drawing/2014/chart" uri="{C3380CC4-5D6E-409C-BE32-E72D297353CC}">
                <c16:uniqueId val="{000000AF-FF8F-43D9-8A15-90D97CD97090}"/>
              </c:ext>
            </c:extLst>
          </c:dPt>
          <c:dPt>
            <c:idx val="23"/>
            <c:invertIfNegative val="0"/>
            <c:bubble3D val="0"/>
            <c:extLst>
              <c:ext xmlns:c16="http://schemas.microsoft.com/office/drawing/2014/chart" uri="{C3380CC4-5D6E-409C-BE32-E72D297353CC}">
                <c16:uniqueId val="{000000B0-FF8F-43D9-8A15-90D97CD97090}"/>
              </c:ext>
            </c:extLst>
          </c:dPt>
          <c:dPt>
            <c:idx val="24"/>
            <c:invertIfNegative val="0"/>
            <c:bubble3D val="0"/>
            <c:extLst>
              <c:ext xmlns:c16="http://schemas.microsoft.com/office/drawing/2014/chart" uri="{C3380CC4-5D6E-409C-BE32-E72D297353CC}">
                <c16:uniqueId val="{000000B1-FF8F-43D9-8A15-90D97CD97090}"/>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Data'!$C$6:$X$6</c:f>
              <c:numCache>
                <c:formatCode>#,##0_ ;\-#,##0\ </c:formatCode>
                <c:ptCount val="22"/>
                <c:pt idx="0">
                  <c:v>4111</c:v>
                </c:pt>
                <c:pt idx="1">
                  <c:v>4111</c:v>
                </c:pt>
                <c:pt idx="2">
                  <c:v>4111</c:v>
                </c:pt>
                <c:pt idx="3">
                  <c:v>4111</c:v>
                </c:pt>
                <c:pt idx="4">
                  <c:v>4111</c:v>
                </c:pt>
                <c:pt idx="5">
                  <c:v>4111</c:v>
                </c:pt>
                <c:pt idx="6">
                  <c:v>2649</c:v>
                </c:pt>
                <c:pt idx="7">
                  <c:v>2649</c:v>
                </c:pt>
                <c:pt idx="8">
                  <c:v>2649</c:v>
                </c:pt>
                <c:pt idx="9">
                  <c:v>2649</c:v>
                </c:pt>
                <c:pt idx="10">
                  <c:v>2649</c:v>
                </c:pt>
                <c:pt idx="11">
                  <c:v>2649</c:v>
                </c:pt>
                <c:pt idx="12">
                  <c:v>2649</c:v>
                </c:pt>
                <c:pt idx="13">
                  <c:v>2139</c:v>
                </c:pt>
                <c:pt idx="14">
                  <c:v>2139</c:v>
                </c:pt>
                <c:pt idx="15">
                  <c:v>2139</c:v>
                </c:pt>
                <c:pt idx="16">
                  <c:v>2139</c:v>
                </c:pt>
                <c:pt idx="17">
                  <c:v>2539</c:v>
                </c:pt>
                <c:pt idx="18">
                  <c:v>2539</c:v>
                </c:pt>
                <c:pt idx="19">
                  <c:v>2539</c:v>
                </c:pt>
                <c:pt idx="20">
                  <c:v>2539</c:v>
                </c:pt>
                <c:pt idx="21">
                  <c:v>2539</c:v>
                </c:pt>
              </c:numCache>
            </c:numRef>
          </c:val>
          <c:extLst>
            <c:ext xmlns:c16="http://schemas.microsoft.com/office/drawing/2014/chart" uri="{C3380CC4-5D6E-409C-BE32-E72D297353CC}">
              <c16:uniqueId val="{000000B2-FF8F-43D9-8A15-90D97CD97090}"/>
            </c:ext>
          </c:extLst>
        </c:ser>
        <c:ser>
          <c:idx val="4"/>
          <c:order val="4"/>
          <c:tx>
            <c:strRef>
              <c:f>'NEMInstalledCapacity Data'!$B$7</c:f>
              <c:strCache>
                <c:ptCount val="1"/>
                <c:pt idx="0">
                  <c:v>Peaking gas + liquids</c:v>
                </c:pt>
              </c:strCache>
            </c:strRef>
          </c:tx>
          <c:spPr>
            <a:solidFill>
              <a:srgbClr val="C41230"/>
            </a:solidFill>
            <a:ln>
              <a:noFill/>
            </a:ln>
            <a:effectLst/>
          </c:spPr>
          <c:invertIfNegative val="0"/>
          <c:dPt>
            <c:idx val="0"/>
            <c:invertIfNegative val="0"/>
            <c:bubble3D val="0"/>
            <c:spPr>
              <a:solidFill>
                <a:srgbClr val="C41230"/>
              </a:solidFill>
              <a:ln>
                <a:noFill/>
              </a:ln>
              <a:effectLst/>
            </c:spPr>
            <c:extLst>
              <c:ext xmlns:c16="http://schemas.microsoft.com/office/drawing/2014/chart" uri="{C3380CC4-5D6E-409C-BE32-E72D297353CC}">
                <c16:uniqueId val="{000000B4-FF8F-43D9-8A15-90D97CD97090}"/>
              </c:ext>
            </c:extLst>
          </c:dPt>
          <c:dPt>
            <c:idx val="1"/>
            <c:invertIfNegative val="0"/>
            <c:bubble3D val="0"/>
            <c:spPr>
              <a:solidFill>
                <a:srgbClr val="C41230"/>
              </a:solidFill>
              <a:ln>
                <a:noFill/>
              </a:ln>
              <a:effectLst/>
            </c:spPr>
            <c:extLst>
              <c:ext xmlns:c16="http://schemas.microsoft.com/office/drawing/2014/chart" uri="{C3380CC4-5D6E-409C-BE32-E72D297353CC}">
                <c16:uniqueId val="{000000B6-FF8F-43D9-8A15-90D97CD97090}"/>
              </c:ext>
            </c:extLst>
          </c:dPt>
          <c:dPt>
            <c:idx val="2"/>
            <c:invertIfNegative val="0"/>
            <c:bubble3D val="0"/>
            <c:spPr>
              <a:solidFill>
                <a:srgbClr val="C41230"/>
              </a:solidFill>
              <a:ln>
                <a:noFill/>
              </a:ln>
              <a:effectLst/>
            </c:spPr>
            <c:extLst>
              <c:ext xmlns:c16="http://schemas.microsoft.com/office/drawing/2014/chart" uri="{C3380CC4-5D6E-409C-BE32-E72D297353CC}">
                <c16:uniqueId val="{000000B8-FF8F-43D9-8A15-90D97CD97090}"/>
              </c:ext>
            </c:extLst>
          </c:dPt>
          <c:dPt>
            <c:idx val="3"/>
            <c:invertIfNegative val="0"/>
            <c:bubble3D val="0"/>
            <c:spPr>
              <a:solidFill>
                <a:srgbClr val="C41230"/>
              </a:solidFill>
              <a:ln>
                <a:noFill/>
              </a:ln>
              <a:effectLst/>
            </c:spPr>
            <c:extLst>
              <c:ext xmlns:c16="http://schemas.microsoft.com/office/drawing/2014/chart" uri="{C3380CC4-5D6E-409C-BE32-E72D297353CC}">
                <c16:uniqueId val="{000000BA-FF8F-43D9-8A15-90D97CD97090}"/>
              </c:ext>
            </c:extLst>
          </c:dPt>
          <c:dPt>
            <c:idx val="4"/>
            <c:invertIfNegative val="0"/>
            <c:bubble3D val="0"/>
            <c:spPr>
              <a:solidFill>
                <a:srgbClr val="C41230"/>
              </a:solidFill>
              <a:ln>
                <a:noFill/>
              </a:ln>
              <a:effectLst/>
            </c:spPr>
            <c:extLst>
              <c:ext xmlns:c16="http://schemas.microsoft.com/office/drawing/2014/chart" uri="{C3380CC4-5D6E-409C-BE32-E72D297353CC}">
                <c16:uniqueId val="{000000BC-FF8F-43D9-8A15-90D97CD97090}"/>
              </c:ext>
            </c:extLst>
          </c:dPt>
          <c:dPt>
            <c:idx val="5"/>
            <c:invertIfNegative val="0"/>
            <c:bubble3D val="0"/>
            <c:spPr>
              <a:solidFill>
                <a:srgbClr val="C41230"/>
              </a:solidFill>
              <a:ln>
                <a:noFill/>
              </a:ln>
              <a:effectLst/>
            </c:spPr>
            <c:extLst>
              <c:ext xmlns:c16="http://schemas.microsoft.com/office/drawing/2014/chart" uri="{C3380CC4-5D6E-409C-BE32-E72D297353CC}">
                <c16:uniqueId val="{000000BE-FF8F-43D9-8A15-90D97CD97090}"/>
              </c:ext>
            </c:extLst>
          </c:dPt>
          <c:dPt>
            <c:idx val="6"/>
            <c:invertIfNegative val="0"/>
            <c:bubble3D val="0"/>
            <c:spPr>
              <a:solidFill>
                <a:srgbClr val="C41230"/>
              </a:solidFill>
              <a:ln>
                <a:noFill/>
              </a:ln>
              <a:effectLst/>
            </c:spPr>
            <c:extLst>
              <c:ext xmlns:c16="http://schemas.microsoft.com/office/drawing/2014/chart" uri="{C3380CC4-5D6E-409C-BE32-E72D297353CC}">
                <c16:uniqueId val="{000000C0-FF8F-43D9-8A15-90D97CD97090}"/>
              </c:ext>
            </c:extLst>
          </c:dPt>
          <c:dPt>
            <c:idx val="7"/>
            <c:invertIfNegative val="0"/>
            <c:bubble3D val="0"/>
            <c:spPr>
              <a:solidFill>
                <a:srgbClr val="C41230"/>
              </a:solidFill>
              <a:ln>
                <a:noFill/>
              </a:ln>
              <a:effectLst/>
            </c:spPr>
            <c:extLst>
              <c:ext xmlns:c16="http://schemas.microsoft.com/office/drawing/2014/chart" uri="{C3380CC4-5D6E-409C-BE32-E72D297353CC}">
                <c16:uniqueId val="{000000C2-FF8F-43D9-8A15-90D97CD97090}"/>
              </c:ext>
            </c:extLst>
          </c:dPt>
          <c:dPt>
            <c:idx val="8"/>
            <c:invertIfNegative val="0"/>
            <c:bubble3D val="0"/>
            <c:spPr>
              <a:solidFill>
                <a:srgbClr val="C41230"/>
              </a:solidFill>
              <a:ln>
                <a:noFill/>
              </a:ln>
              <a:effectLst/>
            </c:spPr>
            <c:extLst>
              <c:ext xmlns:c16="http://schemas.microsoft.com/office/drawing/2014/chart" uri="{C3380CC4-5D6E-409C-BE32-E72D297353CC}">
                <c16:uniqueId val="{000000C4-FF8F-43D9-8A15-90D97CD97090}"/>
              </c:ext>
            </c:extLst>
          </c:dPt>
          <c:dPt>
            <c:idx val="9"/>
            <c:invertIfNegative val="0"/>
            <c:bubble3D val="0"/>
            <c:spPr>
              <a:solidFill>
                <a:srgbClr val="C41230"/>
              </a:solidFill>
              <a:ln>
                <a:noFill/>
              </a:ln>
              <a:effectLst/>
            </c:spPr>
            <c:extLst>
              <c:ext xmlns:c16="http://schemas.microsoft.com/office/drawing/2014/chart" uri="{C3380CC4-5D6E-409C-BE32-E72D297353CC}">
                <c16:uniqueId val="{000000C6-FF8F-43D9-8A15-90D97CD97090}"/>
              </c:ext>
            </c:extLst>
          </c:dPt>
          <c:dPt>
            <c:idx val="10"/>
            <c:invertIfNegative val="0"/>
            <c:bubble3D val="0"/>
            <c:spPr>
              <a:solidFill>
                <a:srgbClr val="C41230"/>
              </a:solidFill>
              <a:ln>
                <a:noFill/>
              </a:ln>
              <a:effectLst/>
            </c:spPr>
            <c:extLst>
              <c:ext xmlns:c16="http://schemas.microsoft.com/office/drawing/2014/chart" uri="{C3380CC4-5D6E-409C-BE32-E72D297353CC}">
                <c16:uniqueId val="{000000C8-FF8F-43D9-8A15-90D97CD97090}"/>
              </c:ext>
            </c:extLst>
          </c:dPt>
          <c:dPt>
            <c:idx val="11"/>
            <c:invertIfNegative val="0"/>
            <c:bubble3D val="0"/>
            <c:spPr>
              <a:solidFill>
                <a:srgbClr val="C41230"/>
              </a:solidFill>
              <a:ln>
                <a:noFill/>
              </a:ln>
              <a:effectLst/>
            </c:spPr>
            <c:extLst>
              <c:ext xmlns:c16="http://schemas.microsoft.com/office/drawing/2014/chart" uri="{C3380CC4-5D6E-409C-BE32-E72D297353CC}">
                <c16:uniqueId val="{000000CA-FF8F-43D9-8A15-90D97CD97090}"/>
              </c:ext>
            </c:extLst>
          </c:dPt>
          <c:dPt>
            <c:idx val="12"/>
            <c:invertIfNegative val="0"/>
            <c:bubble3D val="0"/>
            <c:spPr>
              <a:solidFill>
                <a:srgbClr val="C41230"/>
              </a:solidFill>
              <a:ln>
                <a:noFill/>
              </a:ln>
              <a:effectLst/>
            </c:spPr>
            <c:extLst>
              <c:ext xmlns:c16="http://schemas.microsoft.com/office/drawing/2014/chart" uri="{C3380CC4-5D6E-409C-BE32-E72D297353CC}">
                <c16:uniqueId val="{000000CC-FF8F-43D9-8A15-90D97CD97090}"/>
              </c:ext>
            </c:extLst>
          </c:dPt>
          <c:dPt>
            <c:idx val="13"/>
            <c:invertIfNegative val="0"/>
            <c:bubble3D val="0"/>
            <c:spPr>
              <a:solidFill>
                <a:srgbClr val="C41230"/>
              </a:solidFill>
              <a:ln>
                <a:noFill/>
              </a:ln>
              <a:effectLst/>
            </c:spPr>
            <c:extLst>
              <c:ext xmlns:c16="http://schemas.microsoft.com/office/drawing/2014/chart" uri="{C3380CC4-5D6E-409C-BE32-E72D297353CC}">
                <c16:uniqueId val="{000000CE-FF8F-43D9-8A15-90D97CD97090}"/>
              </c:ext>
            </c:extLst>
          </c:dPt>
          <c:dPt>
            <c:idx val="14"/>
            <c:invertIfNegative val="0"/>
            <c:bubble3D val="0"/>
            <c:spPr>
              <a:solidFill>
                <a:srgbClr val="C41230"/>
              </a:solidFill>
              <a:ln>
                <a:noFill/>
              </a:ln>
              <a:effectLst/>
            </c:spPr>
            <c:extLst>
              <c:ext xmlns:c16="http://schemas.microsoft.com/office/drawing/2014/chart" uri="{C3380CC4-5D6E-409C-BE32-E72D297353CC}">
                <c16:uniqueId val="{000000D0-FF8F-43D9-8A15-90D97CD97090}"/>
              </c:ext>
            </c:extLst>
          </c:dPt>
          <c:dPt>
            <c:idx val="15"/>
            <c:invertIfNegative val="0"/>
            <c:bubble3D val="0"/>
            <c:spPr>
              <a:solidFill>
                <a:srgbClr val="C41230"/>
              </a:solidFill>
              <a:ln>
                <a:noFill/>
              </a:ln>
              <a:effectLst/>
            </c:spPr>
            <c:extLst>
              <c:ext xmlns:c16="http://schemas.microsoft.com/office/drawing/2014/chart" uri="{C3380CC4-5D6E-409C-BE32-E72D297353CC}">
                <c16:uniqueId val="{000000D2-FF8F-43D9-8A15-90D97CD97090}"/>
              </c:ext>
            </c:extLst>
          </c:dPt>
          <c:dPt>
            <c:idx val="16"/>
            <c:invertIfNegative val="0"/>
            <c:bubble3D val="0"/>
            <c:spPr>
              <a:solidFill>
                <a:srgbClr val="C41230"/>
              </a:solidFill>
              <a:ln>
                <a:noFill/>
              </a:ln>
              <a:effectLst/>
            </c:spPr>
            <c:extLst>
              <c:ext xmlns:c16="http://schemas.microsoft.com/office/drawing/2014/chart" uri="{C3380CC4-5D6E-409C-BE32-E72D297353CC}">
                <c16:uniqueId val="{000000D4-FF8F-43D9-8A15-90D97CD97090}"/>
              </c:ext>
            </c:extLst>
          </c:dPt>
          <c:dPt>
            <c:idx val="17"/>
            <c:invertIfNegative val="0"/>
            <c:bubble3D val="0"/>
            <c:spPr>
              <a:solidFill>
                <a:srgbClr val="C41230"/>
              </a:solidFill>
              <a:ln>
                <a:noFill/>
              </a:ln>
              <a:effectLst/>
            </c:spPr>
            <c:extLst>
              <c:ext xmlns:c16="http://schemas.microsoft.com/office/drawing/2014/chart" uri="{C3380CC4-5D6E-409C-BE32-E72D297353CC}">
                <c16:uniqueId val="{000000D6-FF8F-43D9-8A15-90D97CD97090}"/>
              </c:ext>
            </c:extLst>
          </c:dPt>
          <c:dPt>
            <c:idx val="18"/>
            <c:invertIfNegative val="0"/>
            <c:bubble3D val="0"/>
            <c:spPr>
              <a:solidFill>
                <a:srgbClr val="C41230"/>
              </a:solidFill>
              <a:ln>
                <a:noFill/>
              </a:ln>
              <a:effectLst/>
            </c:spPr>
            <c:extLst>
              <c:ext xmlns:c16="http://schemas.microsoft.com/office/drawing/2014/chart" uri="{C3380CC4-5D6E-409C-BE32-E72D297353CC}">
                <c16:uniqueId val="{000000D8-FF8F-43D9-8A15-90D97CD97090}"/>
              </c:ext>
            </c:extLst>
          </c:dPt>
          <c:dPt>
            <c:idx val="19"/>
            <c:invertIfNegative val="0"/>
            <c:bubble3D val="0"/>
            <c:spPr>
              <a:solidFill>
                <a:srgbClr val="C41230"/>
              </a:solidFill>
              <a:ln>
                <a:noFill/>
              </a:ln>
              <a:effectLst/>
            </c:spPr>
            <c:extLst>
              <c:ext xmlns:c16="http://schemas.microsoft.com/office/drawing/2014/chart" uri="{C3380CC4-5D6E-409C-BE32-E72D297353CC}">
                <c16:uniqueId val="{000000DA-FF8F-43D9-8A15-90D97CD97090}"/>
              </c:ext>
            </c:extLst>
          </c:dPt>
          <c:dPt>
            <c:idx val="20"/>
            <c:invertIfNegative val="0"/>
            <c:bubble3D val="0"/>
            <c:spPr>
              <a:solidFill>
                <a:srgbClr val="C41230"/>
              </a:solidFill>
              <a:ln>
                <a:noFill/>
              </a:ln>
              <a:effectLst/>
            </c:spPr>
            <c:extLst>
              <c:ext xmlns:c16="http://schemas.microsoft.com/office/drawing/2014/chart" uri="{C3380CC4-5D6E-409C-BE32-E72D297353CC}">
                <c16:uniqueId val="{000000DC-FF8F-43D9-8A15-90D97CD97090}"/>
              </c:ext>
            </c:extLst>
          </c:dPt>
          <c:dPt>
            <c:idx val="21"/>
            <c:invertIfNegative val="0"/>
            <c:bubble3D val="0"/>
            <c:spPr>
              <a:solidFill>
                <a:srgbClr val="C41230"/>
              </a:solidFill>
              <a:ln>
                <a:noFill/>
              </a:ln>
              <a:effectLst/>
            </c:spPr>
            <c:extLst>
              <c:ext xmlns:c16="http://schemas.microsoft.com/office/drawing/2014/chart" uri="{C3380CC4-5D6E-409C-BE32-E72D297353CC}">
                <c16:uniqueId val="{000000DE-FF8F-43D9-8A15-90D97CD97090}"/>
              </c:ext>
            </c:extLst>
          </c:dPt>
          <c:dPt>
            <c:idx val="22"/>
            <c:invertIfNegative val="0"/>
            <c:bubble3D val="0"/>
            <c:spPr>
              <a:solidFill>
                <a:srgbClr val="C41230"/>
              </a:solidFill>
              <a:ln>
                <a:noFill/>
              </a:ln>
              <a:effectLst/>
            </c:spPr>
            <c:extLst>
              <c:ext xmlns:c16="http://schemas.microsoft.com/office/drawing/2014/chart" uri="{C3380CC4-5D6E-409C-BE32-E72D297353CC}">
                <c16:uniqueId val="{000000E0-FF8F-43D9-8A15-90D97CD97090}"/>
              </c:ext>
            </c:extLst>
          </c:dPt>
          <c:dPt>
            <c:idx val="23"/>
            <c:invertIfNegative val="0"/>
            <c:bubble3D val="0"/>
            <c:spPr>
              <a:solidFill>
                <a:srgbClr val="C41230"/>
              </a:solidFill>
              <a:ln>
                <a:noFill/>
              </a:ln>
              <a:effectLst/>
            </c:spPr>
            <c:extLst>
              <c:ext xmlns:c16="http://schemas.microsoft.com/office/drawing/2014/chart" uri="{C3380CC4-5D6E-409C-BE32-E72D297353CC}">
                <c16:uniqueId val="{000000E2-FF8F-43D9-8A15-90D97CD97090}"/>
              </c:ext>
            </c:extLst>
          </c:dPt>
          <c:dPt>
            <c:idx val="24"/>
            <c:invertIfNegative val="0"/>
            <c:bubble3D val="0"/>
            <c:spPr>
              <a:solidFill>
                <a:srgbClr val="C41230"/>
              </a:solidFill>
              <a:ln>
                <a:noFill/>
              </a:ln>
              <a:effectLst/>
            </c:spPr>
            <c:extLst>
              <c:ext xmlns:c16="http://schemas.microsoft.com/office/drawing/2014/chart" uri="{C3380CC4-5D6E-409C-BE32-E72D297353CC}">
                <c16:uniqueId val="{000000E4-FF8F-43D9-8A15-90D97CD97090}"/>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Data'!$C$7:$X$7</c:f>
              <c:numCache>
                <c:formatCode>#,##0_ ;\-#,##0\ </c:formatCode>
                <c:ptCount val="22"/>
                <c:pt idx="0">
                  <c:v>6967</c:v>
                </c:pt>
                <c:pt idx="1">
                  <c:v>6943</c:v>
                </c:pt>
                <c:pt idx="2">
                  <c:v>7112</c:v>
                </c:pt>
                <c:pt idx="3">
                  <c:v>6838</c:v>
                </c:pt>
                <c:pt idx="4">
                  <c:v>7119</c:v>
                </c:pt>
                <c:pt idx="5">
                  <c:v>7119</c:v>
                </c:pt>
                <c:pt idx="6">
                  <c:v>7119</c:v>
                </c:pt>
                <c:pt idx="7">
                  <c:v>7119</c:v>
                </c:pt>
                <c:pt idx="8">
                  <c:v>7119</c:v>
                </c:pt>
                <c:pt idx="9">
                  <c:v>7119</c:v>
                </c:pt>
                <c:pt idx="10">
                  <c:v>7072</c:v>
                </c:pt>
                <c:pt idx="11">
                  <c:v>7072</c:v>
                </c:pt>
                <c:pt idx="12">
                  <c:v>7072</c:v>
                </c:pt>
                <c:pt idx="13">
                  <c:v>7072</c:v>
                </c:pt>
                <c:pt idx="14">
                  <c:v>7072</c:v>
                </c:pt>
                <c:pt idx="15">
                  <c:v>7072</c:v>
                </c:pt>
                <c:pt idx="16">
                  <c:v>7072</c:v>
                </c:pt>
                <c:pt idx="17">
                  <c:v>7180</c:v>
                </c:pt>
                <c:pt idx="18">
                  <c:v>7370</c:v>
                </c:pt>
                <c:pt idx="19">
                  <c:v>7370</c:v>
                </c:pt>
                <c:pt idx="20">
                  <c:v>9284</c:v>
                </c:pt>
                <c:pt idx="21">
                  <c:v>9284</c:v>
                </c:pt>
              </c:numCache>
            </c:numRef>
          </c:val>
          <c:extLst>
            <c:ext xmlns:c16="http://schemas.microsoft.com/office/drawing/2014/chart" uri="{C3380CC4-5D6E-409C-BE32-E72D297353CC}">
              <c16:uniqueId val="{000000E5-FF8F-43D9-8A15-90D97CD97090}"/>
            </c:ext>
          </c:extLst>
        </c:ser>
        <c:ser>
          <c:idx val="5"/>
          <c:order val="5"/>
          <c:tx>
            <c:strRef>
              <c:f>'NEMInstalledCapacity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0E6-FF8F-43D9-8A15-90D97CD97090}"/>
              </c:ext>
            </c:extLst>
          </c:dPt>
          <c:dPt>
            <c:idx val="1"/>
            <c:invertIfNegative val="0"/>
            <c:bubble3D val="0"/>
            <c:extLst>
              <c:ext xmlns:c16="http://schemas.microsoft.com/office/drawing/2014/chart" uri="{C3380CC4-5D6E-409C-BE32-E72D297353CC}">
                <c16:uniqueId val="{000000E7-FF8F-43D9-8A15-90D97CD97090}"/>
              </c:ext>
            </c:extLst>
          </c:dPt>
          <c:dPt>
            <c:idx val="2"/>
            <c:invertIfNegative val="0"/>
            <c:bubble3D val="0"/>
            <c:extLst>
              <c:ext xmlns:c16="http://schemas.microsoft.com/office/drawing/2014/chart" uri="{C3380CC4-5D6E-409C-BE32-E72D297353CC}">
                <c16:uniqueId val="{000000E8-FF8F-43D9-8A15-90D97CD97090}"/>
              </c:ext>
            </c:extLst>
          </c:dPt>
          <c:dPt>
            <c:idx val="3"/>
            <c:invertIfNegative val="0"/>
            <c:bubble3D val="0"/>
            <c:extLst>
              <c:ext xmlns:c16="http://schemas.microsoft.com/office/drawing/2014/chart" uri="{C3380CC4-5D6E-409C-BE32-E72D297353CC}">
                <c16:uniqueId val="{000000E9-FF8F-43D9-8A15-90D97CD97090}"/>
              </c:ext>
            </c:extLst>
          </c:dPt>
          <c:dPt>
            <c:idx val="4"/>
            <c:invertIfNegative val="0"/>
            <c:bubble3D val="0"/>
            <c:extLst>
              <c:ext xmlns:c16="http://schemas.microsoft.com/office/drawing/2014/chart" uri="{C3380CC4-5D6E-409C-BE32-E72D297353CC}">
                <c16:uniqueId val="{000000EA-FF8F-43D9-8A15-90D97CD97090}"/>
              </c:ext>
            </c:extLst>
          </c:dPt>
          <c:dPt>
            <c:idx val="5"/>
            <c:invertIfNegative val="0"/>
            <c:bubble3D val="0"/>
            <c:extLst>
              <c:ext xmlns:c16="http://schemas.microsoft.com/office/drawing/2014/chart" uri="{C3380CC4-5D6E-409C-BE32-E72D297353CC}">
                <c16:uniqueId val="{000000EB-FF8F-43D9-8A15-90D97CD97090}"/>
              </c:ext>
            </c:extLst>
          </c:dPt>
          <c:dPt>
            <c:idx val="6"/>
            <c:invertIfNegative val="0"/>
            <c:bubble3D val="0"/>
            <c:extLst>
              <c:ext xmlns:c16="http://schemas.microsoft.com/office/drawing/2014/chart" uri="{C3380CC4-5D6E-409C-BE32-E72D297353CC}">
                <c16:uniqueId val="{000000EC-FF8F-43D9-8A15-90D97CD97090}"/>
              </c:ext>
            </c:extLst>
          </c:dPt>
          <c:dPt>
            <c:idx val="7"/>
            <c:invertIfNegative val="0"/>
            <c:bubble3D val="0"/>
            <c:extLst>
              <c:ext xmlns:c16="http://schemas.microsoft.com/office/drawing/2014/chart" uri="{C3380CC4-5D6E-409C-BE32-E72D297353CC}">
                <c16:uniqueId val="{000000ED-FF8F-43D9-8A15-90D97CD97090}"/>
              </c:ext>
            </c:extLst>
          </c:dPt>
          <c:dPt>
            <c:idx val="8"/>
            <c:invertIfNegative val="0"/>
            <c:bubble3D val="0"/>
            <c:extLst>
              <c:ext xmlns:c16="http://schemas.microsoft.com/office/drawing/2014/chart" uri="{C3380CC4-5D6E-409C-BE32-E72D297353CC}">
                <c16:uniqueId val="{000000EE-FF8F-43D9-8A15-90D97CD97090}"/>
              </c:ext>
            </c:extLst>
          </c:dPt>
          <c:dPt>
            <c:idx val="9"/>
            <c:invertIfNegative val="0"/>
            <c:bubble3D val="0"/>
            <c:extLst>
              <c:ext xmlns:c16="http://schemas.microsoft.com/office/drawing/2014/chart" uri="{C3380CC4-5D6E-409C-BE32-E72D297353CC}">
                <c16:uniqueId val="{000000EF-FF8F-43D9-8A15-90D97CD97090}"/>
              </c:ext>
            </c:extLst>
          </c:dPt>
          <c:dPt>
            <c:idx val="10"/>
            <c:invertIfNegative val="0"/>
            <c:bubble3D val="0"/>
            <c:extLst>
              <c:ext xmlns:c16="http://schemas.microsoft.com/office/drawing/2014/chart" uri="{C3380CC4-5D6E-409C-BE32-E72D297353CC}">
                <c16:uniqueId val="{000000F0-FF8F-43D9-8A15-90D97CD97090}"/>
              </c:ext>
            </c:extLst>
          </c:dPt>
          <c:dPt>
            <c:idx val="11"/>
            <c:invertIfNegative val="0"/>
            <c:bubble3D val="0"/>
            <c:extLst>
              <c:ext xmlns:c16="http://schemas.microsoft.com/office/drawing/2014/chart" uri="{C3380CC4-5D6E-409C-BE32-E72D297353CC}">
                <c16:uniqueId val="{000000F1-FF8F-43D9-8A15-90D97CD97090}"/>
              </c:ext>
            </c:extLst>
          </c:dPt>
          <c:dPt>
            <c:idx val="12"/>
            <c:invertIfNegative val="0"/>
            <c:bubble3D val="0"/>
            <c:extLst>
              <c:ext xmlns:c16="http://schemas.microsoft.com/office/drawing/2014/chart" uri="{C3380CC4-5D6E-409C-BE32-E72D297353CC}">
                <c16:uniqueId val="{000000F2-FF8F-43D9-8A15-90D97CD97090}"/>
              </c:ext>
            </c:extLst>
          </c:dPt>
          <c:dPt>
            <c:idx val="13"/>
            <c:invertIfNegative val="0"/>
            <c:bubble3D val="0"/>
            <c:extLst>
              <c:ext xmlns:c16="http://schemas.microsoft.com/office/drawing/2014/chart" uri="{C3380CC4-5D6E-409C-BE32-E72D297353CC}">
                <c16:uniqueId val="{000000F3-FF8F-43D9-8A15-90D97CD97090}"/>
              </c:ext>
            </c:extLst>
          </c:dPt>
          <c:dPt>
            <c:idx val="14"/>
            <c:invertIfNegative val="0"/>
            <c:bubble3D val="0"/>
            <c:extLst>
              <c:ext xmlns:c16="http://schemas.microsoft.com/office/drawing/2014/chart" uri="{C3380CC4-5D6E-409C-BE32-E72D297353CC}">
                <c16:uniqueId val="{000000F4-FF8F-43D9-8A15-90D97CD97090}"/>
              </c:ext>
            </c:extLst>
          </c:dPt>
          <c:dPt>
            <c:idx val="15"/>
            <c:invertIfNegative val="0"/>
            <c:bubble3D val="0"/>
            <c:extLst>
              <c:ext xmlns:c16="http://schemas.microsoft.com/office/drawing/2014/chart" uri="{C3380CC4-5D6E-409C-BE32-E72D297353CC}">
                <c16:uniqueId val="{000000F5-FF8F-43D9-8A15-90D97CD97090}"/>
              </c:ext>
            </c:extLst>
          </c:dPt>
          <c:dPt>
            <c:idx val="16"/>
            <c:invertIfNegative val="0"/>
            <c:bubble3D val="0"/>
            <c:extLst>
              <c:ext xmlns:c16="http://schemas.microsoft.com/office/drawing/2014/chart" uri="{C3380CC4-5D6E-409C-BE32-E72D297353CC}">
                <c16:uniqueId val="{000000F6-FF8F-43D9-8A15-90D97CD97090}"/>
              </c:ext>
            </c:extLst>
          </c:dPt>
          <c:dPt>
            <c:idx val="17"/>
            <c:invertIfNegative val="0"/>
            <c:bubble3D val="0"/>
            <c:extLst>
              <c:ext xmlns:c16="http://schemas.microsoft.com/office/drawing/2014/chart" uri="{C3380CC4-5D6E-409C-BE32-E72D297353CC}">
                <c16:uniqueId val="{000000F7-FF8F-43D9-8A15-90D97CD97090}"/>
              </c:ext>
            </c:extLst>
          </c:dPt>
          <c:dPt>
            <c:idx val="18"/>
            <c:invertIfNegative val="0"/>
            <c:bubble3D val="0"/>
            <c:extLst>
              <c:ext xmlns:c16="http://schemas.microsoft.com/office/drawing/2014/chart" uri="{C3380CC4-5D6E-409C-BE32-E72D297353CC}">
                <c16:uniqueId val="{000000F8-FF8F-43D9-8A15-90D97CD97090}"/>
              </c:ext>
            </c:extLst>
          </c:dPt>
          <c:dPt>
            <c:idx val="19"/>
            <c:invertIfNegative val="0"/>
            <c:bubble3D val="0"/>
            <c:extLst>
              <c:ext xmlns:c16="http://schemas.microsoft.com/office/drawing/2014/chart" uri="{C3380CC4-5D6E-409C-BE32-E72D297353CC}">
                <c16:uniqueId val="{000000F9-FF8F-43D9-8A15-90D97CD97090}"/>
              </c:ext>
            </c:extLst>
          </c:dPt>
          <c:dPt>
            <c:idx val="20"/>
            <c:invertIfNegative val="0"/>
            <c:bubble3D val="0"/>
            <c:extLst>
              <c:ext xmlns:c16="http://schemas.microsoft.com/office/drawing/2014/chart" uri="{C3380CC4-5D6E-409C-BE32-E72D297353CC}">
                <c16:uniqueId val="{000000FA-FF8F-43D9-8A15-90D97CD97090}"/>
              </c:ext>
            </c:extLst>
          </c:dPt>
          <c:dPt>
            <c:idx val="21"/>
            <c:invertIfNegative val="0"/>
            <c:bubble3D val="0"/>
            <c:extLst>
              <c:ext xmlns:c16="http://schemas.microsoft.com/office/drawing/2014/chart" uri="{C3380CC4-5D6E-409C-BE32-E72D297353CC}">
                <c16:uniqueId val="{000000FB-FF8F-43D9-8A15-90D97CD97090}"/>
              </c:ext>
            </c:extLst>
          </c:dPt>
          <c:dPt>
            <c:idx val="22"/>
            <c:invertIfNegative val="0"/>
            <c:bubble3D val="0"/>
            <c:extLst>
              <c:ext xmlns:c16="http://schemas.microsoft.com/office/drawing/2014/chart" uri="{C3380CC4-5D6E-409C-BE32-E72D297353CC}">
                <c16:uniqueId val="{000000FC-FF8F-43D9-8A15-90D97CD97090}"/>
              </c:ext>
            </c:extLst>
          </c:dPt>
          <c:dPt>
            <c:idx val="23"/>
            <c:invertIfNegative val="0"/>
            <c:bubble3D val="0"/>
            <c:extLst>
              <c:ext xmlns:c16="http://schemas.microsoft.com/office/drawing/2014/chart" uri="{C3380CC4-5D6E-409C-BE32-E72D297353CC}">
                <c16:uniqueId val="{000000FD-FF8F-43D9-8A15-90D97CD97090}"/>
              </c:ext>
            </c:extLst>
          </c:dPt>
          <c:dPt>
            <c:idx val="24"/>
            <c:invertIfNegative val="0"/>
            <c:bubble3D val="0"/>
            <c:extLst>
              <c:ext xmlns:c16="http://schemas.microsoft.com/office/drawing/2014/chart" uri="{C3380CC4-5D6E-409C-BE32-E72D297353CC}">
                <c16:uniqueId val="{000000FE-FF8F-43D9-8A15-90D97CD97090}"/>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Data'!$C$8:$X$8</c:f>
              <c:numCache>
                <c:formatCode>#,##0_ ;\-#,##0\ </c:formatCode>
                <c:ptCount val="22"/>
                <c:pt idx="0">
                  <c:v>5824.2999999999993</c:v>
                </c:pt>
                <c:pt idx="1">
                  <c:v>8460.6324456500006</c:v>
                </c:pt>
                <c:pt idx="2">
                  <c:v>8460.6324456500006</c:v>
                </c:pt>
                <c:pt idx="3">
                  <c:v>8860.6324456499988</c:v>
                </c:pt>
                <c:pt idx="4">
                  <c:v>9260.6324456500006</c:v>
                </c:pt>
                <c:pt idx="5">
                  <c:v>10153.632445649999</c:v>
                </c:pt>
                <c:pt idx="6">
                  <c:v>10592.828246709998</c:v>
                </c:pt>
                <c:pt idx="7">
                  <c:v>10801.03147224</c:v>
                </c:pt>
                <c:pt idx="8">
                  <c:v>11394.665123209999</c:v>
                </c:pt>
                <c:pt idx="9">
                  <c:v>11763.217944</c:v>
                </c:pt>
                <c:pt idx="10">
                  <c:v>12402.343988660001</c:v>
                </c:pt>
                <c:pt idx="11">
                  <c:v>13031.151606000001</c:v>
                </c:pt>
                <c:pt idx="12">
                  <c:v>13707.714040349998</c:v>
                </c:pt>
                <c:pt idx="13">
                  <c:v>14015.230326059998</c:v>
                </c:pt>
                <c:pt idx="14">
                  <c:v>14015.230326059998</c:v>
                </c:pt>
                <c:pt idx="15">
                  <c:v>14260.292804249999</c:v>
                </c:pt>
                <c:pt idx="16">
                  <c:v>14570.442049639998</c:v>
                </c:pt>
                <c:pt idx="17">
                  <c:v>16106.685559929998</c:v>
                </c:pt>
                <c:pt idx="18">
                  <c:v>16868.706528989998</c:v>
                </c:pt>
                <c:pt idx="19">
                  <c:v>16869.054055379998</c:v>
                </c:pt>
                <c:pt idx="20">
                  <c:v>17011.78884148</c:v>
                </c:pt>
                <c:pt idx="21">
                  <c:v>17011.78884148</c:v>
                </c:pt>
              </c:numCache>
            </c:numRef>
          </c:val>
          <c:extLst>
            <c:ext xmlns:c16="http://schemas.microsoft.com/office/drawing/2014/chart" uri="{C3380CC4-5D6E-409C-BE32-E72D297353CC}">
              <c16:uniqueId val="{000000FF-FF8F-43D9-8A15-90D97CD97090}"/>
            </c:ext>
          </c:extLst>
        </c:ser>
        <c:ser>
          <c:idx val="9"/>
          <c:order val="6"/>
          <c:tx>
            <c:strRef>
              <c:f>'NEMInstalledCapacity Data'!$B$11</c:f>
              <c:strCache>
                <c:ptCount val="1"/>
                <c:pt idx="0">
                  <c:v>Biomass</c:v>
                </c:pt>
              </c:strCache>
            </c:strRef>
          </c:tx>
          <c:spPr>
            <a:solidFill>
              <a:srgbClr val="B3E0EE"/>
            </a:solidFill>
            <a:ln>
              <a:noFill/>
            </a:ln>
            <a:effectLst/>
          </c:spPr>
          <c:invertIfNegative val="0"/>
          <c:dPt>
            <c:idx val="0"/>
            <c:invertIfNegative val="0"/>
            <c:bubble3D val="0"/>
            <c:spPr>
              <a:solidFill>
                <a:srgbClr val="B3E0EE"/>
              </a:solidFill>
              <a:ln>
                <a:noFill/>
              </a:ln>
              <a:effectLst/>
            </c:spPr>
            <c:extLst>
              <c:ext xmlns:c16="http://schemas.microsoft.com/office/drawing/2014/chart" uri="{C3380CC4-5D6E-409C-BE32-E72D297353CC}">
                <c16:uniqueId val="{00000167-FF8F-43D9-8A15-90D97CD97090}"/>
              </c:ext>
            </c:extLst>
          </c:dPt>
          <c:dPt>
            <c:idx val="1"/>
            <c:invertIfNegative val="0"/>
            <c:bubble3D val="0"/>
            <c:spPr>
              <a:solidFill>
                <a:srgbClr val="B3E0EE"/>
              </a:solidFill>
              <a:ln>
                <a:noFill/>
              </a:ln>
              <a:effectLst/>
            </c:spPr>
            <c:extLst>
              <c:ext xmlns:c16="http://schemas.microsoft.com/office/drawing/2014/chart" uri="{C3380CC4-5D6E-409C-BE32-E72D297353CC}">
                <c16:uniqueId val="{00000169-FF8F-43D9-8A15-90D97CD97090}"/>
              </c:ext>
            </c:extLst>
          </c:dPt>
          <c:dPt>
            <c:idx val="2"/>
            <c:invertIfNegative val="0"/>
            <c:bubble3D val="0"/>
            <c:spPr>
              <a:solidFill>
                <a:srgbClr val="B3E0EE"/>
              </a:solidFill>
              <a:ln>
                <a:noFill/>
              </a:ln>
              <a:effectLst/>
            </c:spPr>
            <c:extLst>
              <c:ext xmlns:c16="http://schemas.microsoft.com/office/drawing/2014/chart" uri="{C3380CC4-5D6E-409C-BE32-E72D297353CC}">
                <c16:uniqueId val="{0000016B-FF8F-43D9-8A15-90D97CD97090}"/>
              </c:ext>
            </c:extLst>
          </c:dPt>
          <c:dPt>
            <c:idx val="3"/>
            <c:invertIfNegative val="0"/>
            <c:bubble3D val="0"/>
            <c:spPr>
              <a:solidFill>
                <a:srgbClr val="B3E0EE"/>
              </a:solidFill>
              <a:ln>
                <a:noFill/>
              </a:ln>
              <a:effectLst/>
            </c:spPr>
            <c:extLst>
              <c:ext xmlns:c16="http://schemas.microsoft.com/office/drawing/2014/chart" uri="{C3380CC4-5D6E-409C-BE32-E72D297353CC}">
                <c16:uniqueId val="{0000016D-FF8F-43D9-8A15-90D97CD97090}"/>
              </c:ext>
            </c:extLst>
          </c:dPt>
          <c:dPt>
            <c:idx val="4"/>
            <c:invertIfNegative val="0"/>
            <c:bubble3D val="0"/>
            <c:spPr>
              <a:solidFill>
                <a:srgbClr val="B3E0EE"/>
              </a:solidFill>
              <a:ln>
                <a:noFill/>
              </a:ln>
              <a:effectLst/>
            </c:spPr>
            <c:extLst>
              <c:ext xmlns:c16="http://schemas.microsoft.com/office/drawing/2014/chart" uri="{C3380CC4-5D6E-409C-BE32-E72D297353CC}">
                <c16:uniqueId val="{0000016F-FF8F-43D9-8A15-90D97CD97090}"/>
              </c:ext>
            </c:extLst>
          </c:dPt>
          <c:dPt>
            <c:idx val="5"/>
            <c:invertIfNegative val="0"/>
            <c:bubble3D val="0"/>
            <c:spPr>
              <a:solidFill>
                <a:srgbClr val="B3E0EE"/>
              </a:solidFill>
              <a:ln>
                <a:noFill/>
              </a:ln>
              <a:effectLst/>
            </c:spPr>
            <c:extLst>
              <c:ext xmlns:c16="http://schemas.microsoft.com/office/drawing/2014/chart" uri="{C3380CC4-5D6E-409C-BE32-E72D297353CC}">
                <c16:uniqueId val="{00000171-FF8F-43D9-8A15-90D97CD97090}"/>
              </c:ext>
            </c:extLst>
          </c:dPt>
          <c:dPt>
            <c:idx val="6"/>
            <c:invertIfNegative val="0"/>
            <c:bubble3D val="0"/>
            <c:spPr>
              <a:solidFill>
                <a:srgbClr val="B3E0EE"/>
              </a:solidFill>
              <a:ln>
                <a:noFill/>
              </a:ln>
              <a:effectLst/>
            </c:spPr>
            <c:extLst>
              <c:ext xmlns:c16="http://schemas.microsoft.com/office/drawing/2014/chart" uri="{C3380CC4-5D6E-409C-BE32-E72D297353CC}">
                <c16:uniqueId val="{00000173-FF8F-43D9-8A15-90D97CD97090}"/>
              </c:ext>
            </c:extLst>
          </c:dPt>
          <c:dPt>
            <c:idx val="7"/>
            <c:invertIfNegative val="0"/>
            <c:bubble3D val="0"/>
            <c:spPr>
              <a:solidFill>
                <a:srgbClr val="B3E0EE"/>
              </a:solidFill>
              <a:ln>
                <a:noFill/>
              </a:ln>
              <a:effectLst/>
            </c:spPr>
            <c:extLst>
              <c:ext xmlns:c16="http://schemas.microsoft.com/office/drawing/2014/chart" uri="{C3380CC4-5D6E-409C-BE32-E72D297353CC}">
                <c16:uniqueId val="{00000175-FF8F-43D9-8A15-90D97CD97090}"/>
              </c:ext>
            </c:extLst>
          </c:dPt>
          <c:dPt>
            <c:idx val="8"/>
            <c:invertIfNegative val="0"/>
            <c:bubble3D val="0"/>
            <c:spPr>
              <a:solidFill>
                <a:srgbClr val="B3E0EE"/>
              </a:solidFill>
              <a:ln>
                <a:noFill/>
              </a:ln>
              <a:effectLst/>
            </c:spPr>
            <c:extLst>
              <c:ext xmlns:c16="http://schemas.microsoft.com/office/drawing/2014/chart" uri="{C3380CC4-5D6E-409C-BE32-E72D297353CC}">
                <c16:uniqueId val="{00000177-FF8F-43D9-8A15-90D97CD97090}"/>
              </c:ext>
            </c:extLst>
          </c:dPt>
          <c:dPt>
            <c:idx val="9"/>
            <c:invertIfNegative val="0"/>
            <c:bubble3D val="0"/>
            <c:spPr>
              <a:solidFill>
                <a:srgbClr val="B3E0EE"/>
              </a:solidFill>
              <a:ln>
                <a:noFill/>
              </a:ln>
              <a:effectLst/>
            </c:spPr>
            <c:extLst>
              <c:ext xmlns:c16="http://schemas.microsoft.com/office/drawing/2014/chart" uri="{C3380CC4-5D6E-409C-BE32-E72D297353CC}">
                <c16:uniqueId val="{00000179-FF8F-43D9-8A15-90D97CD97090}"/>
              </c:ext>
            </c:extLst>
          </c:dPt>
          <c:dPt>
            <c:idx val="10"/>
            <c:invertIfNegative val="0"/>
            <c:bubble3D val="0"/>
            <c:spPr>
              <a:solidFill>
                <a:srgbClr val="B3E0EE"/>
              </a:solidFill>
              <a:ln>
                <a:noFill/>
              </a:ln>
              <a:effectLst/>
            </c:spPr>
            <c:extLst>
              <c:ext xmlns:c16="http://schemas.microsoft.com/office/drawing/2014/chart" uri="{C3380CC4-5D6E-409C-BE32-E72D297353CC}">
                <c16:uniqueId val="{0000017B-FF8F-43D9-8A15-90D97CD97090}"/>
              </c:ext>
            </c:extLst>
          </c:dPt>
          <c:dPt>
            <c:idx val="11"/>
            <c:invertIfNegative val="0"/>
            <c:bubble3D val="0"/>
            <c:spPr>
              <a:solidFill>
                <a:srgbClr val="B3E0EE"/>
              </a:solidFill>
              <a:ln>
                <a:noFill/>
              </a:ln>
              <a:effectLst/>
            </c:spPr>
            <c:extLst>
              <c:ext xmlns:c16="http://schemas.microsoft.com/office/drawing/2014/chart" uri="{C3380CC4-5D6E-409C-BE32-E72D297353CC}">
                <c16:uniqueId val="{0000017D-FF8F-43D9-8A15-90D97CD97090}"/>
              </c:ext>
            </c:extLst>
          </c:dPt>
          <c:dPt>
            <c:idx val="12"/>
            <c:invertIfNegative val="0"/>
            <c:bubble3D val="0"/>
            <c:spPr>
              <a:solidFill>
                <a:srgbClr val="B3E0EE"/>
              </a:solidFill>
              <a:ln>
                <a:noFill/>
              </a:ln>
              <a:effectLst/>
            </c:spPr>
            <c:extLst>
              <c:ext xmlns:c16="http://schemas.microsoft.com/office/drawing/2014/chart" uri="{C3380CC4-5D6E-409C-BE32-E72D297353CC}">
                <c16:uniqueId val="{0000017F-FF8F-43D9-8A15-90D97CD97090}"/>
              </c:ext>
            </c:extLst>
          </c:dPt>
          <c:dPt>
            <c:idx val="13"/>
            <c:invertIfNegative val="0"/>
            <c:bubble3D val="0"/>
            <c:spPr>
              <a:solidFill>
                <a:srgbClr val="B3E0EE"/>
              </a:solidFill>
              <a:ln>
                <a:noFill/>
              </a:ln>
              <a:effectLst/>
            </c:spPr>
            <c:extLst>
              <c:ext xmlns:c16="http://schemas.microsoft.com/office/drawing/2014/chart" uri="{C3380CC4-5D6E-409C-BE32-E72D297353CC}">
                <c16:uniqueId val="{00000181-FF8F-43D9-8A15-90D97CD97090}"/>
              </c:ext>
            </c:extLst>
          </c:dPt>
          <c:dPt>
            <c:idx val="14"/>
            <c:invertIfNegative val="0"/>
            <c:bubble3D val="0"/>
            <c:spPr>
              <a:solidFill>
                <a:srgbClr val="B3E0EE"/>
              </a:solidFill>
              <a:ln>
                <a:noFill/>
              </a:ln>
              <a:effectLst/>
            </c:spPr>
            <c:extLst>
              <c:ext xmlns:c16="http://schemas.microsoft.com/office/drawing/2014/chart" uri="{C3380CC4-5D6E-409C-BE32-E72D297353CC}">
                <c16:uniqueId val="{00000183-FF8F-43D9-8A15-90D97CD97090}"/>
              </c:ext>
            </c:extLst>
          </c:dPt>
          <c:dPt>
            <c:idx val="15"/>
            <c:invertIfNegative val="0"/>
            <c:bubble3D val="0"/>
            <c:spPr>
              <a:solidFill>
                <a:srgbClr val="B3E0EE"/>
              </a:solidFill>
              <a:ln>
                <a:noFill/>
              </a:ln>
              <a:effectLst/>
            </c:spPr>
            <c:extLst>
              <c:ext xmlns:c16="http://schemas.microsoft.com/office/drawing/2014/chart" uri="{C3380CC4-5D6E-409C-BE32-E72D297353CC}">
                <c16:uniqueId val="{00000185-FF8F-43D9-8A15-90D97CD97090}"/>
              </c:ext>
            </c:extLst>
          </c:dPt>
          <c:dPt>
            <c:idx val="16"/>
            <c:invertIfNegative val="0"/>
            <c:bubble3D val="0"/>
            <c:spPr>
              <a:solidFill>
                <a:srgbClr val="B3E0EE"/>
              </a:solidFill>
              <a:ln>
                <a:noFill/>
              </a:ln>
              <a:effectLst/>
            </c:spPr>
            <c:extLst>
              <c:ext xmlns:c16="http://schemas.microsoft.com/office/drawing/2014/chart" uri="{C3380CC4-5D6E-409C-BE32-E72D297353CC}">
                <c16:uniqueId val="{00000187-FF8F-43D9-8A15-90D97CD97090}"/>
              </c:ext>
            </c:extLst>
          </c:dPt>
          <c:dPt>
            <c:idx val="17"/>
            <c:invertIfNegative val="0"/>
            <c:bubble3D val="0"/>
            <c:spPr>
              <a:solidFill>
                <a:srgbClr val="B3E0EE"/>
              </a:solidFill>
              <a:ln>
                <a:noFill/>
              </a:ln>
              <a:effectLst/>
            </c:spPr>
            <c:extLst>
              <c:ext xmlns:c16="http://schemas.microsoft.com/office/drawing/2014/chart" uri="{C3380CC4-5D6E-409C-BE32-E72D297353CC}">
                <c16:uniqueId val="{00000189-FF8F-43D9-8A15-90D97CD97090}"/>
              </c:ext>
            </c:extLst>
          </c:dPt>
          <c:dPt>
            <c:idx val="18"/>
            <c:invertIfNegative val="0"/>
            <c:bubble3D val="0"/>
            <c:spPr>
              <a:solidFill>
                <a:srgbClr val="B3E0EE"/>
              </a:solidFill>
              <a:ln>
                <a:noFill/>
              </a:ln>
              <a:effectLst/>
            </c:spPr>
            <c:extLst>
              <c:ext xmlns:c16="http://schemas.microsoft.com/office/drawing/2014/chart" uri="{C3380CC4-5D6E-409C-BE32-E72D297353CC}">
                <c16:uniqueId val="{0000018B-FF8F-43D9-8A15-90D97CD97090}"/>
              </c:ext>
            </c:extLst>
          </c:dPt>
          <c:dPt>
            <c:idx val="19"/>
            <c:invertIfNegative val="0"/>
            <c:bubble3D val="0"/>
            <c:spPr>
              <a:solidFill>
                <a:srgbClr val="B3E0EE"/>
              </a:solidFill>
              <a:ln>
                <a:noFill/>
              </a:ln>
              <a:effectLst/>
            </c:spPr>
            <c:extLst>
              <c:ext xmlns:c16="http://schemas.microsoft.com/office/drawing/2014/chart" uri="{C3380CC4-5D6E-409C-BE32-E72D297353CC}">
                <c16:uniqueId val="{0000018D-FF8F-43D9-8A15-90D97CD97090}"/>
              </c:ext>
            </c:extLst>
          </c:dPt>
          <c:dPt>
            <c:idx val="20"/>
            <c:invertIfNegative val="0"/>
            <c:bubble3D val="0"/>
            <c:spPr>
              <a:solidFill>
                <a:srgbClr val="B3E0EE"/>
              </a:solidFill>
              <a:ln>
                <a:noFill/>
              </a:ln>
              <a:effectLst/>
            </c:spPr>
            <c:extLst>
              <c:ext xmlns:c16="http://schemas.microsoft.com/office/drawing/2014/chart" uri="{C3380CC4-5D6E-409C-BE32-E72D297353CC}">
                <c16:uniqueId val="{0000018F-FF8F-43D9-8A15-90D97CD97090}"/>
              </c:ext>
            </c:extLst>
          </c:dPt>
          <c:dPt>
            <c:idx val="21"/>
            <c:invertIfNegative val="0"/>
            <c:bubble3D val="0"/>
            <c:spPr>
              <a:solidFill>
                <a:srgbClr val="B3E0EE"/>
              </a:solidFill>
              <a:ln>
                <a:noFill/>
              </a:ln>
              <a:effectLst/>
            </c:spPr>
            <c:extLst>
              <c:ext xmlns:c16="http://schemas.microsoft.com/office/drawing/2014/chart" uri="{C3380CC4-5D6E-409C-BE32-E72D297353CC}">
                <c16:uniqueId val="{00000191-FF8F-43D9-8A15-90D97CD97090}"/>
              </c:ext>
            </c:extLst>
          </c:dPt>
          <c:dPt>
            <c:idx val="22"/>
            <c:invertIfNegative val="0"/>
            <c:bubble3D val="0"/>
            <c:spPr>
              <a:solidFill>
                <a:srgbClr val="B3E0EE"/>
              </a:solidFill>
              <a:ln>
                <a:noFill/>
              </a:ln>
              <a:effectLst/>
            </c:spPr>
            <c:extLst>
              <c:ext xmlns:c16="http://schemas.microsoft.com/office/drawing/2014/chart" uri="{C3380CC4-5D6E-409C-BE32-E72D297353CC}">
                <c16:uniqueId val="{00000193-FF8F-43D9-8A15-90D97CD97090}"/>
              </c:ext>
            </c:extLst>
          </c:dPt>
          <c:dPt>
            <c:idx val="23"/>
            <c:invertIfNegative val="0"/>
            <c:bubble3D val="0"/>
            <c:spPr>
              <a:solidFill>
                <a:srgbClr val="B3E0EE"/>
              </a:solidFill>
              <a:ln>
                <a:noFill/>
              </a:ln>
              <a:effectLst/>
            </c:spPr>
            <c:extLst>
              <c:ext xmlns:c16="http://schemas.microsoft.com/office/drawing/2014/chart" uri="{C3380CC4-5D6E-409C-BE32-E72D297353CC}">
                <c16:uniqueId val="{00000195-FF8F-43D9-8A15-90D97CD97090}"/>
              </c:ext>
            </c:extLst>
          </c:dPt>
          <c:dPt>
            <c:idx val="24"/>
            <c:invertIfNegative val="0"/>
            <c:bubble3D val="0"/>
            <c:spPr>
              <a:solidFill>
                <a:srgbClr val="B3E0EE"/>
              </a:solidFill>
              <a:ln>
                <a:noFill/>
              </a:ln>
              <a:effectLst/>
            </c:spPr>
            <c:extLst>
              <c:ext xmlns:c16="http://schemas.microsoft.com/office/drawing/2014/chart" uri="{C3380CC4-5D6E-409C-BE32-E72D297353CC}">
                <c16:uniqueId val="{00000197-FF8F-43D9-8A15-90D97CD97090}"/>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Data'!$C$11:$X$11</c:f>
              <c:numCache>
                <c:formatCode>#,##0_ ;\-#,##0\ </c:formatCode>
                <c:ptCount val="22"/>
                <c:pt idx="0">
                  <c:v>0</c:v>
                </c:pt>
                <c:pt idx="1">
                  <c:v>0</c:v>
                </c:pt>
                <c:pt idx="2">
                  <c:v>0</c:v>
                </c:pt>
                <c:pt idx="3">
                  <c:v>0</c:v>
                </c:pt>
                <c:pt idx="4">
                  <c:v>0</c:v>
                </c:pt>
                <c:pt idx="5">
                  <c:v>0</c:v>
                </c:pt>
                <c:pt idx="6">
                  <c:v>0</c:v>
                </c:pt>
                <c:pt idx="7">
                  <c:v>0</c:v>
                </c:pt>
                <c:pt idx="8">
                  <c:v>0</c:v>
                </c:pt>
                <c:pt idx="9">
                  <c:v>0</c:v>
                </c:pt>
                <c:pt idx="10">
                  <c:v>171.567432</c:v>
                </c:pt>
                <c:pt idx="11">
                  <c:v>200</c:v>
                </c:pt>
                <c:pt idx="12">
                  <c:v>200</c:v>
                </c:pt>
                <c:pt idx="13">
                  <c:v>200</c:v>
                </c:pt>
                <c:pt idx="14">
                  <c:v>200</c:v>
                </c:pt>
                <c:pt idx="15">
                  <c:v>200</c:v>
                </c:pt>
                <c:pt idx="16">
                  <c:v>300</c:v>
                </c:pt>
                <c:pt idx="17">
                  <c:v>300</c:v>
                </c:pt>
                <c:pt idx="18">
                  <c:v>300</c:v>
                </c:pt>
                <c:pt idx="19">
                  <c:v>390.65633724999998</c:v>
                </c:pt>
                <c:pt idx="20">
                  <c:v>394.0393345</c:v>
                </c:pt>
                <c:pt idx="21">
                  <c:v>394.0393345</c:v>
                </c:pt>
              </c:numCache>
            </c:numRef>
          </c:val>
          <c:extLst>
            <c:ext xmlns:c16="http://schemas.microsoft.com/office/drawing/2014/chart" uri="{C3380CC4-5D6E-409C-BE32-E72D297353CC}">
              <c16:uniqueId val="{00000198-FF8F-43D9-8A15-90D97CD97090}"/>
            </c:ext>
          </c:extLst>
        </c:ser>
        <c:ser>
          <c:idx val="6"/>
          <c:order val="7"/>
          <c:tx>
            <c:strRef>
              <c:f>'NEMInstalledCapacity Data'!$B$9</c:f>
              <c:strCache>
                <c:ptCount val="1"/>
                <c:pt idx="0">
                  <c:v>Utility Solar</c:v>
                </c:pt>
              </c:strCache>
            </c:strRef>
          </c:tx>
          <c:spPr>
            <a:solidFill>
              <a:srgbClr val="FFC222"/>
            </a:solidFill>
            <a:ln>
              <a:noFill/>
            </a:ln>
            <a:effectLst/>
          </c:spPr>
          <c:invertIfNegative val="0"/>
          <c:dPt>
            <c:idx val="0"/>
            <c:invertIfNegative val="0"/>
            <c:bubble3D val="0"/>
            <c:spPr>
              <a:solidFill>
                <a:srgbClr val="FFC222"/>
              </a:solidFill>
              <a:ln>
                <a:noFill/>
              </a:ln>
              <a:effectLst/>
            </c:spPr>
            <c:extLst>
              <c:ext xmlns:c16="http://schemas.microsoft.com/office/drawing/2014/chart" uri="{C3380CC4-5D6E-409C-BE32-E72D297353CC}">
                <c16:uniqueId val="{00000101-FF8F-43D9-8A15-90D97CD97090}"/>
              </c:ext>
            </c:extLst>
          </c:dPt>
          <c:dPt>
            <c:idx val="1"/>
            <c:invertIfNegative val="0"/>
            <c:bubble3D val="0"/>
            <c:spPr>
              <a:solidFill>
                <a:srgbClr val="FFC222"/>
              </a:solidFill>
              <a:ln>
                <a:noFill/>
              </a:ln>
              <a:effectLst/>
            </c:spPr>
            <c:extLst>
              <c:ext xmlns:c16="http://schemas.microsoft.com/office/drawing/2014/chart" uri="{C3380CC4-5D6E-409C-BE32-E72D297353CC}">
                <c16:uniqueId val="{00000103-FF8F-43D9-8A15-90D97CD97090}"/>
              </c:ext>
            </c:extLst>
          </c:dPt>
          <c:dPt>
            <c:idx val="2"/>
            <c:invertIfNegative val="0"/>
            <c:bubble3D val="0"/>
            <c:spPr>
              <a:solidFill>
                <a:srgbClr val="FFC222"/>
              </a:solidFill>
              <a:ln>
                <a:noFill/>
              </a:ln>
              <a:effectLst/>
            </c:spPr>
            <c:extLst>
              <c:ext xmlns:c16="http://schemas.microsoft.com/office/drawing/2014/chart" uri="{C3380CC4-5D6E-409C-BE32-E72D297353CC}">
                <c16:uniqueId val="{00000105-FF8F-43D9-8A15-90D97CD97090}"/>
              </c:ext>
            </c:extLst>
          </c:dPt>
          <c:dPt>
            <c:idx val="3"/>
            <c:invertIfNegative val="0"/>
            <c:bubble3D val="0"/>
            <c:spPr>
              <a:solidFill>
                <a:srgbClr val="FFC222"/>
              </a:solidFill>
              <a:ln>
                <a:noFill/>
              </a:ln>
              <a:effectLst/>
            </c:spPr>
            <c:extLst>
              <c:ext xmlns:c16="http://schemas.microsoft.com/office/drawing/2014/chart" uri="{C3380CC4-5D6E-409C-BE32-E72D297353CC}">
                <c16:uniqueId val="{00000107-FF8F-43D9-8A15-90D97CD97090}"/>
              </c:ext>
            </c:extLst>
          </c:dPt>
          <c:dPt>
            <c:idx val="4"/>
            <c:invertIfNegative val="0"/>
            <c:bubble3D val="0"/>
            <c:spPr>
              <a:solidFill>
                <a:srgbClr val="FFC222"/>
              </a:solidFill>
              <a:ln>
                <a:noFill/>
              </a:ln>
              <a:effectLst/>
            </c:spPr>
            <c:extLst>
              <c:ext xmlns:c16="http://schemas.microsoft.com/office/drawing/2014/chart" uri="{C3380CC4-5D6E-409C-BE32-E72D297353CC}">
                <c16:uniqueId val="{00000109-FF8F-43D9-8A15-90D97CD97090}"/>
              </c:ext>
            </c:extLst>
          </c:dPt>
          <c:dPt>
            <c:idx val="5"/>
            <c:invertIfNegative val="0"/>
            <c:bubble3D val="0"/>
            <c:spPr>
              <a:solidFill>
                <a:srgbClr val="FFC222"/>
              </a:solidFill>
              <a:ln>
                <a:noFill/>
              </a:ln>
              <a:effectLst/>
            </c:spPr>
            <c:extLst>
              <c:ext xmlns:c16="http://schemas.microsoft.com/office/drawing/2014/chart" uri="{C3380CC4-5D6E-409C-BE32-E72D297353CC}">
                <c16:uniqueId val="{0000010B-FF8F-43D9-8A15-90D97CD97090}"/>
              </c:ext>
            </c:extLst>
          </c:dPt>
          <c:dPt>
            <c:idx val="6"/>
            <c:invertIfNegative val="0"/>
            <c:bubble3D val="0"/>
            <c:spPr>
              <a:solidFill>
                <a:srgbClr val="FFC222"/>
              </a:solidFill>
              <a:ln>
                <a:noFill/>
              </a:ln>
              <a:effectLst/>
            </c:spPr>
            <c:extLst>
              <c:ext xmlns:c16="http://schemas.microsoft.com/office/drawing/2014/chart" uri="{C3380CC4-5D6E-409C-BE32-E72D297353CC}">
                <c16:uniqueId val="{0000010D-FF8F-43D9-8A15-90D97CD97090}"/>
              </c:ext>
            </c:extLst>
          </c:dPt>
          <c:dPt>
            <c:idx val="7"/>
            <c:invertIfNegative val="0"/>
            <c:bubble3D val="0"/>
            <c:spPr>
              <a:solidFill>
                <a:srgbClr val="FFC222"/>
              </a:solidFill>
              <a:ln>
                <a:noFill/>
              </a:ln>
              <a:effectLst/>
            </c:spPr>
            <c:extLst>
              <c:ext xmlns:c16="http://schemas.microsoft.com/office/drawing/2014/chart" uri="{C3380CC4-5D6E-409C-BE32-E72D297353CC}">
                <c16:uniqueId val="{0000010F-FF8F-43D9-8A15-90D97CD97090}"/>
              </c:ext>
            </c:extLst>
          </c:dPt>
          <c:dPt>
            <c:idx val="8"/>
            <c:invertIfNegative val="0"/>
            <c:bubble3D val="0"/>
            <c:spPr>
              <a:solidFill>
                <a:srgbClr val="FFC222"/>
              </a:solidFill>
              <a:ln>
                <a:noFill/>
              </a:ln>
              <a:effectLst/>
            </c:spPr>
            <c:extLst>
              <c:ext xmlns:c16="http://schemas.microsoft.com/office/drawing/2014/chart" uri="{C3380CC4-5D6E-409C-BE32-E72D297353CC}">
                <c16:uniqueId val="{00000111-FF8F-43D9-8A15-90D97CD97090}"/>
              </c:ext>
            </c:extLst>
          </c:dPt>
          <c:dPt>
            <c:idx val="9"/>
            <c:invertIfNegative val="0"/>
            <c:bubble3D val="0"/>
            <c:spPr>
              <a:solidFill>
                <a:srgbClr val="FFC222"/>
              </a:solidFill>
              <a:ln>
                <a:noFill/>
              </a:ln>
              <a:effectLst/>
            </c:spPr>
            <c:extLst>
              <c:ext xmlns:c16="http://schemas.microsoft.com/office/drawing/2014/chart" uri="{C3380CC4-5D6E-409C-BE32-E72D297353CC}">
                <c16:uniqueId val="{00000113-FF8F-43D9-8A15-90D97CD97090}"/>
              </c:ext>
            </c:extLst>
          </c:dPt>
          <c:dPt>
            <c:idx val="10"/>
            <c:invertIfNegative val="0"/>
            <c:bubble3D val="0"/>
            <c:spPr>
              <a:solidFill>
                <a:srgbClr val="FFC222"/>
              </a:solidFill>
              <a:ln>
                <a:noFill/>
              </a:ln>
              <a:effectLst/>
            </c:spPr>
            <c:extLst>
              <c:ext xmlns:c16="http://schemas.microsoft.com/office/drawing/2014/chart" uri="{C3380CC4-5D6E-409C-BE32-E72D297353CC}">
                <c16:uniqueId val="{00000115-FF8F-43D9-8A15-90D97CD97090}"/>
              </c:ext>
            </c:extLst>
          </c:dPt>
          <c:dPt>
            <c:idx val="11"/>
            <c:invertIfNegative val="0"/>
            <c:bubble3D val="0"/>
            <c:spPr>
              <a:solidFill>
                <a:srgbClr val="FFC222"/>
              </a:solidFill>
              <a:ln>
                <a:noFill/>
              </a:ln>
              <a:effectLst/>
            </c:spPr>
            <c:extLst>
              <c:ext xmlns:c16="http://schemas.microsoft.com/office/drawing/2014/chart" uri="{C3380CC4-5D6E-409C-BE32-E72D297353CC}">
                <c16:uniqueId val="{00000117-FF8F-43D9-8A15-90D97CD97090}"/>
              </c:ext>
            </c:extLst>
          </c:dPt>
          <c:dPt>
            <c:idx val="12"/>
            <c:invertIfNegative val="0"/>
            <c:bubble3D val="0"/>
            <c:spPr>
              <a:solidFill>
                <a:srgbClr val="FFC222"/>
              </a:solidFill>
              <a:ln>
                <a:noFill/>
              </a:ln>
              <a:effectLst/>
            </c:spPr>
            <c:extLst>
              <c:ext xmlns:c16="http://schemas.microsoft.com/office/drawing/2014/chart" uri="{C3380CC4-5D6E-409C-BE32-E72D297353CC}">
                <c16:uniqueId val="{00000119-FF8F-43D9-8A15-90D97CD97090}"/>
              </c:ext>
            </c:extLst>
          </c:dPt>
          <c:dPt>
            <c:idx val="13"/>
            <c:invertIfNegative val="0"/>
            <c:bubble3D val="0"/>
            <c:spPr>
              <a:solidFill>
                <a:srgbClr val="FFC222"/>
              </a:solidFill>
              <a:ln>
                <a:noFill/>
              </a:ln>
              <a:effectLst/>
            </c:spPr>
            <c:extLst>
              <c:ext xmlns:c16="http://schemas.microsoft.com/office/drawing/2014/chart" uri="{C3380CC4-5D6E-409C-BE32-E72D297353CC}">
                <c16:uniqueId val="{0000011B-FF8F-43D9-8A15-90D97CD97090}"/>
              </c:ext>
            </c:extLst>
          </c:dPt>
          <c:dPt>
            <c:idx val="14"/>
            <c:invertIfNegative val="0"/>
            <c:bubble3D val="0"/>
            <c:spPr>
              <a:solidFill>
                <a:srgbClr val="FFC222"/>
              </a:solidFill>
              <a:ln>
                <a:noFill/>
              </a:ln>
              <a:effectLst/>
            </c:spPr>
            <c:extLst>
              <c:ext xmlns:c16="http://schemas.microsoft.com/office/drawing/2014/chart" uri="{C3380CC4-5D6E-409C-BE32-E72D297353CC}">
                <c16:uniqueId val="{0000011D-FF8F-43D9-8A15-90D97CD97090}"/>
              </c:ext>
            </c:extLst>
          </c:dPt>
          <c:dPt>
            <c:idx val="15"/>
            <c:invertIfNegative val="0"/>
            <c:bubble3D val="0"/>
            <c:spPr>
              <a:solidFill>
                <a:srgbClr val="FFC222"/>
              </a:solidFill>
              <a:ln>
                <a:noFill/>
              </a:ln>
              <a:effectLst/>
            </c:spPr>
            <c:extLst>
              <c:ext xmlns:c16="http://schemas.microsoft.com/office/drawing/2014/chart" uri="{C3380CC4-5D6E-409C-BE32-E72D297353CC}">
                <c16:uniqueId val="{0000011F-FF8F-43D9-8A15-90D97CD97090}"/>
              </c:ext>
            </c:extLst>
          </c:dPt>
          <c:dPt>
            <c:idx val="16"/>
            <c:invertIfNegative val="0"/>
            <c:bubble3D val="0"/>
            <c:spPr>
              <a:solidFill>
                <a:srgbClr val="FFC222"/>
              </a:solidFill>
              <a:ln>
                <a:noFill/>
              </a:ln>
              <a:effectLst/>
            </c:spPr>
            <c:extLst>
              <c:ext xmlns:c16="http://schemas.microsoft.com/office/drawing/2014/chart" uri="{C3380CC4-5D6E-409C-BE32-E72D297353CC}">
                <c16:uniqueId val="{00000121-FF8F-43D9-8A15-90D97CD97090}"/>
              </c:ext>
            </c:extLst>
          </c:dPt>
          <c:dPt>
            <c:idx val="17"/>
            <c:invertIfNegative val="0"/>
            <c:bubble3D val="0"/>
            <c:spPr>
              <a:solidFill>
                <a:srgbClr val="FFC222"/>
              </a:solidFill>
              <a:ln>
                <a:noFill/>
              </a:ln>
              <a:effectLst/>
            </c:spPr>
            <c:extLst>
              <c:ext xmlns:c16="http://schemas.microsoft.com/office/drawing/2014/chart" uri="{C3380CC4-5D6E-409C-BE32-E72D297353CC}">
                <c16:uniqueId val="{00000123-FF8F-43D9-8A15-90D97CD97090}"/>
              </c:ext>
            </c:extLst>
          </c:dPt>
          <c:dPt>
            <c:idx val="18"/>
            <c:invertIfNegative val="0"/>
            <c:bubble3D val="0"/>
            <c:spPr>
              <a:solidFill>
                <a:srgbClr val="FFC222"/>
              </a:solidFill>
              <a:ln>
                <a:noFill/>
              </a:ln>
              <a:effectLst/>
            </c:spPr>
            <c:extLst>
              <c:ext xmlns:c16="http://schemas.microsoft.com/office/drawing/2014/chart" uri="{C3380CC4-5D6E-409C-BE32-E72D297353CC}">
                <c16:uniqueId val="{00000125-FF8F-43D9-8A15-90D97CD97090}"/>
              </c:ext>
            </c:extLst>
          </c:dPt>
          <c:dPt>
            <c:idx val="19"/>
            <c:invertIfNegative val="0"/>
            <c:bubble3D val="0"/>
            <c:spPr>
              <a:solidFill>
                <a:srgbClr val="FFC222"/>
              </a:solidFill>
              <a:ln>
                <a:noFill/>
              </a:ln>
              <a:effectLst/>
            </c:spPr>
            <c:extLst>
              <c:ext xmlns:c16="http://schemas.microsoft.com/office/drawing/2014/chart" uri="{C3380CC4-5D6E-409C-BE32-E72D297353CC}">
                <c16:uniqueId val="{00000127-FF8F-43D9-8A15-90D97CD97090}"/>
              </c:ext>
            </c:extLst>
          </c:dPt>
          <c:dPt>
            <c:idx val="20"/>
            <c:invertIfNegative val="0"/>
            <c:bubble3D val="0"/>
            <c:spPr>
              <a:solidFill>
                <a:srgbClr val="FFC222"/>
              </a:solidFill>
              <a:ln>
                <a:noFill/>
              </a:ln>
              <a:effectLst/>
            </c:spPr>
            <c:extLst>
              <c:ext xmlns:c16="http://schemas.microsoft.com/office/drawing/2014/chart" uri="{C3380CC4-5D6E-409C-BE32-E72D297353CC}">
                <c16:uniqueId val="{00000129-FF8F-43D9-8A15-90D97CD97090}"/>
              </c:ext>
            </c:extLst>
          </c:dPt>
          <c:dPt>
            <c:idx val="21"/>
            <c:invertIfNegative val="0"/>
            <c:bubble3D val="0"/>
            <c:spPr>
              <a:solidFill>
                <a:srgbClr val="FFC222"/>
              </a:solidFill>
              <a:ln>
                <a:noFill/>
              </a:ln>
              <a:effectLst/>
            </c:spPr>
            <c:extLst>
              <c:ext xmlns:c16="http://schemas.microsoft.com/office/drawing/2014/chart" uri="{C3380CC4-5D6E-409C-BE32-E72D297353CC}">
                <c16:uniqueId val="{0000012B-FF8F-43D9-8A15-90D97CD97090}"/>
              </c:ext>
            </c:extLst>
          </c:dPt>
          <c:dPt>
            <c:idx val="22"/>
            <c:invertIfNegative val="0"/>
            <c:bubble3D val="0"/>
            <c:spPr>
              <a:solidFill>
                <a:srgbClr val="FFC222"/>
              </a:solidFill>
              <a:ln>
                <a:noFill/>
              </a:ln>
              <a:effectLst/>
            </c:spPr>
            <c:extLst>
              <c:ext xmlns:c16="http://schemas.microsoft.com/office/drawing/2014/chart" uri="{C3380CC4-5D6E-409C-BE32-E72D297353CC}">
                <c16:uniqueId val="{0000012D-FF8F-43D9-8A15-90D97CD97090}"/>
              </c:ext>
            </c:extLst>
          </c:dPt>
          <c:dPt>
            <c:idx val="23"/>
            <c:invertIfNegative val="0"/>
            <c:bubble3D val="0"/>
            <c:spPr>
              <a:solidFill>
                <a:srgbClr val="FFC222"/>
              </a:solidFill>
              <a:ln>
                <a:noFill/>
              </a:ln>
              <a:effectLst/>
            </c:spPr>
            <c:extLst>
              <c:ext xmlns:c16="http://schemas.microsoft.com/office/drawing/2014/chart" uri="{C3380CC4-5D6E-409C-BE32-E72D297353CC}">
                <c16:uniqueId val="{0000012F-FF8F-43D9-8A15-90D97CD97090}"/>
              </c:ext>
            </c:extLst>
          </c:dPt>
          <c:dPt>
            <c:idx val="24"/>
            <c:invertIfNegative val="0"/>
            <c:bubble3D val="0"/>
            <c:spPr>
              <a:solidFill>
                <a:srgbClr val="FFC222"/>
              </a:solidFill>
              <a:ln>
                <a:noFill/>
              </a:ln>
              <a:effectLst/>
            </c:spPr>
            <c:extLst>
              <c:ext xmlns:c16="http://schemas.microsoft.com/office/drawing/2014/chart" uri="{C3380CC4-5D6E-409C-BE32-E72D297353CC}">
                <c16:uniqueId val="{00000131-FF8F-43D9-8A15-90D97CD97090}"/>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Data'!$C$9:$X$9</c:f>
              <c:numCache>
                <c:formatCode>#,##0_ ;\-#,##0\ </c:formatCode>
                <c:ptCount val="22"/>
                <c:pt idx="0">
                  <c:v>2211.9</c:v>
                </c:pt>
                <c:pt idx="1">
                  <c:v>3056.49531656</c:v>
                </c:pt>
                <c:pt idx="2">
                  <c:v>3056.49531656</c:v>
                </c:pt>
                <c:pt idx="3">
                  <c:v>3152.49531656</c:v>
                </c:pt>
                <c:pt idx="4">
                  <c:v>4971.8377527500006</c:v>
                </c:pt>
                <c:pt idx="5">
                  <c:v>6099.2662346500001</c:v>
                </c:pt>
                <c:pt idx="6">
                  <c:v>8533.1443776199994</c:v>
                </c:pt>
                <c:pt idx="7">
                  <c:v>11462.325562259999</c:v>
                </c:pt>
                <c:pt idx="8">
                  <c:v>13639.46656035</c:v>
                </c:pt>
                <c:pt idx="9">
                  <c:v>16028.97477642</c:v>
                </c:pt>
                <c:pt idx="10">
                  <c:v>17143.848122380001</c:v>
                </c:pt>
                <c:pt idx="11">
                  <c:v>19399.799594500004</c:v>
                </c:pt>
                <c:pt idx="12">
                  <c:v>22001.999665669999</c:v>
                </c:pt>
                <c:pt idx="13">
                  <c:v>24310.49790979</c:v>
                </c:pt>
                <c:pt idx="14">
                  <c:v>25672.157893290001</c:v>
                </c:pt>
                <c:pt idx="15">
                  <c:v>27280.579721589998</c:v>
                </c:pt>
                <c:pt idx="16">
                  <c:v>31147.37687294</c:v>
                </c:pt>
                <c:pt idx="17">
                  <c:v>33412.16050043</c:v>
                </c:pt>
                <c:pt idx="18">
                  <c:v>36046.900000010006</c:v>
                </c:pt>
                <c:pt idx="19">
                  <c:v>36046.900000010006</c:v>
                </c:pt>
                <c:pt idx="20">
                  <c:v>36046.900000010006</c:v>
                </c:pt>
                <c:pt idx="21">
                  <c:v>36046.900000010006</c:v>
                </c:pt>
              </c:numCache>
            </c:numRef>
          </c:val>
          <c:extLst>
            <c:ext xmlns:c16="http://schemas.microsoft.com/office/drawing/2014/chart" uri="{C3380CC4-5D6E-409C-BE32-E72D297353CC}">
              <c16:uniqueId val="{00000132-FF8F-43D9-8A15-90D97CD97090}"/>
            </c:ext>
          </c:extLst>
        </c:ser>
        <c:ser>
          <c:idx val="7"/>
          <c:order val="8"/>
          <c:tx>
            <c:strRef>
              <c:f>'NEMInstalledCapacity Data'!$B$10</c:f>
              <c:strCache>
                <c:ptCount val="1"/>
                <c:pt idx="0">
                  <c:v>Utility storage</c:v>
                </c:pt>
              </c:strCache>
            </c:strRef>
          </c:tx>
          <c:spPr>
            <a:solidFill>
              <a:srgbClr val="842593"/>
            </a:solidFill>
            <a:ln>
              <a:noFill/>
            </a:ln>
            <a:effectLst/>
          </c:spPr>
          <c:invertIfNegative val="0"/>
          <c:dPt>
            <c:idx val="0"/>
            <c:invertIfNegative val="0"/>
            <c:bubble3D val="0"/>
            <c:spPr>
              <a:solidFill>
                <a:srgbClr val="842593"/>
              </a:solidFill>
              <a:ln>
                <a:noFill/>
              </a:ln>
              <a:effectLst/>
            </c:spPr>
            <c:extLst>
              <c:ext xmlns:c16="http://schemas.microsoft.com/office/drawing/2014/chart" uri="{C3380CC4-5D6E-409C-BE32-E72D297353CC}">
                <c16:uniqueId val="{00000134-FF8F-43D9-8A15-90D97CD97090}"/>
              </c:ext>
            </c:extLst>
          </c:dPt>
          <c:dPt>
            <c:idx val="1"/>
            <c:invertIfNegative val="0"/>
            <c:bubble3D val="0"/>
            <c:spPr>
              <a:solidFill>
                <a:srgbClr val="842593"/>
              </a:solidFill>
              <a:ln>
                <a:noFill/>
              </a:ln>
              <a:effectLst/>
            </c:spPr>
            <c:extLst>
              <c:ext xmlns:c16="http://schemas.microsoft.com/office/drawing/2014/chart" uri="{C3380CC4-5D6E-409C-BE32-E72D297353CC}">
                <c16:uniqueId val="{00000136-FF8F-43D9-8A15-90D97CD97090}"/>
              </c:ext>
            </c:extLst>
          </c:dPt>
          <c:dPt>
            <c:idx val="2"/>
            <c:invertIfNegative val="0"/>
            <c:bubble3D val="0"/>
            <c:spPr>
              <a:solidFill>
                <a:srgbClr val="842593"/>
              </a:solidFill>
              <a:ln>
                <a:noFill/>
              </a:ln>
              <a:effectLst/>
            </c:spPr>
            <c:extLst>
              <c:ext xmlns:c16="http://schemas.microsoft.com/office/drawing/2014/chart" uri="{C3380CC4-5D6E-409C-BE32-E72D297353CC}">
                <c16:uniqueId val="{00000138-FF8F-43D9-8A15-90D97CD97090}"/>
              </c:ext>
            </c:extLst>
          </c:dPt>
          <c:dPt>
            <c:idx val="3"/>
            <c:invertIfNegative val="0"/>
            <c:bubble3D val="0"/>
            <c:spPr>
              <a:solidFill>
                <a:srgbClr val="842593"/>
              </a:solidFill>
              <a:ln>
                <a:noFill/>
              </a:ln>
              <a:effectLst/>
            </c:spPr>
            <c:extLst>
              <c:ext xmlns:c16="http://schemas.microsoft.com/office/drawing/2014/chart" uri="{C3380CC4-5D6E-409C-BE32-E72D297353CC}">
                <c16:uniqueId val="{0000013A-FF8F-43D9-8A15-90D97CD97090}"/>
              </c:ext>
            </c:extLst>
          </c:dPt>
          <c:dPt>
            <c:idx val="4"/>
            <c:invertIfNegative val="0"/>
            <c:bubble3D val="0"/>
            <c:spPr>
              <a:solidFill>
                <a:srgbClr val="842593"/>
              </a:solidFill>
              <a:ln>
                <a:noFill/>
              </a:ln>
              <a:effectLst/>
            </c:spPr>
            <c:extLst>
              <c:ext xmlns:c16="http://schemas.microsoft.com/office/drawing/2014/chart" uri="{C3380CC4-5D6E-409C-BE32-E72D297353CC}">
                <c16:uniqueId val="{0000013C-FF8F-43D9-8A15-90D97CD97090}"/>
              </c:ext>
            </c:extLst>
          </c:dPt>
          <c:dPt>
            <c:idx val="5"/>
            <c:invertIfNegative val="0"/>
            <c:bubble3D val="0"/>
            <c:spPr>
              <a:solidFill>
                <a:srgbClr val="842593"/>
              </a:solidFill>
              <a:ln>
                <a:noFill/>
              </a:ln>
              <a:effectLst/>
            </c:spPr>
            <c:extLst>
              <c:ext xmlns:c16="http://schemas.microsoft.com/office/drawing/2014/chart" uri="{C3380CC4-5D6E-409C-BE32-E72D297353CC}">
                <c16:uniqueId val="{0000013E-FF8F-43D9-8A15-90D97CD97090}"/>
              </c:ext>
            </c:extLst>
          </c:dPt>
          <c:dPt>
            <c:idx val="6"/>
            <c:invertIfNegative val="0"/>
            <c:bubble3D val="0"/>
            <c:spPr>
              <a:solidFill>
                <a:srgbClr val="842593"/>
              </a:solidFill>
              <a:ln>
                <a:noFill/>
              </a:ln>
              <a:effectLst/>
            </c:spPr>
            <c:extLst>
              <c:ext xmlns:c16="http://schemas.microsoft.com/office/drawing/2014/chart" uri="{C3380CC4-5D6E-409C-BE32-E72D297353CC}">
                <c16:uniqueId val="{00000140-FF8F-43D9-8A15-90D97CD97090}"/>
              </c:ext>
            </c:extLst>
          </c:dPt>
          <c:dPt>
            <c:idx val="7"/>
            <c:invertIfNegative val="0"/>
            <c:bubble3D val="0"/>
            <c:spPr>
              <a:solidFill>
                <a:srgbClr val="842593"/>
              </a:solidFill>
              <a:ln>
                <a:noFill/>
              </a:ln>
              <a:effectLst/>
            </c:spPr>
            <c:extLst>
              <c:ext xmlns:c16="http://schemas.microsoft.com/office/drawing/2014/chart" uri="{C3380CC4-5D6E-409C-BE32-E72D297353CC}">
                <c16:uniqueId val="{00000142-FF8F-43D9-8A15-90D97CD97090}"/>
              </c:ext>
            </c:extLst>
          </c:dPt>
          <c:dPt>
            <c:idx val="8"/>
            <c:invertIfNegative val="0"/>
            <c:bubble3D val="0"/>
            <c:spPr>
              <a:solidFill>
                <a:srgbClr val="842593"/>
              </a:solidFill>
              <a:ln>
                <a:noFill/>
              </a:ln>
              <a:effectLst/>
            </c:spPr>
            <c:extLst>
              <c:ext xmlns:c16="http://schemas.microsoft.com/office/drawing/2014/chart" uri="{C3380CC4-5D6E-409C-BE32-E72D297353CC}">
                <c16:uniqueId val="{00000144-FF8F-43D9-8A15-90D97CD97090}"/>
              </c:ext>
            </c:extLst>
          </c:dPt>
          <c:dPt>
            <c:idx val="9"/>
            <c:invertIfNegative val="0"/>
            <c:bubble3D val="0"/>
            <c:spPr>
              <a:solidFill>
                <a:srgbClr val="842593"/>
              </a:solidFill>
              <a:ln>
                <a:noFill/>
              </a:ln>
              <a:effectLst/>
            </c:spPr>
            <c:extLst>
              <c:ext xmlns:c16="http://schemas.microsoft.com/office/drawing/2014/chart" uri="{C3380CC4-5D6E-409C-BE32-E72D297353CC}">
                <c16:uniqueId val="{00000146-FF8F-43D9-8A15-90D97CD97090}"/>
              </c:ext>
            </c:extLst>
          </c:dPt>
          <c:dPt>
            <c:idx val="10"/>
            <c:invertIfNegative val="0"/>
            <c:bubble3D val="0"/>
            <c:spPr>
              <a:solidFill>
                <a:srgbClr val="842593"/>
              </a:solidFill>
              <a:ln>
                <a:noFill/>
              </a:ln>
              <a:effectLst/>
            </c:spPr>
            <c:extLst>
              <c:ext xmlns:c16="http://schemas.microsoft.com/office/drawing/2014/chart" uri="{C3380CC4-5D6E-409C-BE32-E72D297353CC}">
                <c16:uniqueId val="{00000148-FF8F-43D9-8A15-90D97CD97090}"/>
              </c:ext>
            </c:extLst>
          </c:dPt>
          <c:dPt>
            <c:idx val="11"/>
            <c:invertIfNegative val="0"/>
            <c:bubble3D val="0"/>
            <c:spPr>
              <a:solidFill>
                <a:srgbClr val="842593"/>
              </a:solidFill>
              <a:ln>
                <a:noFill/>
              </a:ln>
              <a:effectLst/>
            </c:spPr>
            <c:extLst>
              <c:ext xmlns:c16="http://schemas.microsoft.com/office/drawing/2014/chart" uri="{C3380CC4-5D6E-409C-BE32-E72D297353CC}">
                <c16:uniqueId val="{0000014A-FF8F-43D9-8A15-90D97CD97090}"/>
              </c:ext>
            </c:extLst>
          </c:dPt>
          <c:dPt>
            <c:idx val="12"/>
            <c:invertIfNegative val="0"/>
            <c:bubble3D val="0"/>
            <c:spPr>
              <a:solidFill>
                <a:srgbClr val="842593"/>
              </a:solidFill>
              <a:ln>
                <a:noFill/>
              </a:ln>
              <a:effectLst/>
            </c:spPr>
            <c:extLst>
              <c:ext xmlns:c16="http://schemas.microsoft.com/office/drawing/2014/chart" uri="{C3380CC4-5D6E-409C-BE32-E72D297353CC}">
                <c16:uniqueId val="{0000014C-FF8F-43D9-8A15-90D97CD97090}"/>
              </c:ext>
            </c:extLst>
          </c:dPt>
          <c:dPt>
            <c:idx val="13"/>
            <c:invertIfNegative val="0"/>
            <c:bubble3D val="0"/>
            <c:spPr>
              <a:solidFill>
                <a:srgbClr val="842593"/>
              </a:solidFill>
              <a:ln>
                <a:noFill/>
              </a:ln>
              <a:effectLst/>
            </c:spPr>
            <c:extLst>
              <c:ext xmlns:c16="http://schemas.microsoft.com/office/drawing/2014/chart" uri="{C3380CC4-5D6E-409C-BE32-E72D297353CC}">
                <c16:uniqueId val="{0000014E-FF8F-43D9-8A15-90D97CD97090}"/>
              </c:ext>
            </c:extLst>
          </c:dPt>
          <c:dPt>
            <c:idx val="14"/>
            <c:invertIfNegative val="0"/>
            <c:bubble3D val="0"/>
            <c:spPr>
              <a:solidFill>
                <a:srgbClr val="842593"/>
              </a:solidFill>
              <a:ln>
                <a:noFill/>
              </a:ln>
              <a:effectLst/>
            </c:spPr>
            <c:extLst>
              <c:ext xmlns:c16="http://schemas.microsoft.com/office/drawing/2014/chart" uri="{C3380CC4-5D6E-409C-BE32-E72D297353CC}">
                <c16:uniqueId val="{00000150-FF8F-43D9-8A15-90D97CD97090}"/>
              </c:ext>
            </c:extLst>
          </c:dPt>
          <c:dPt>
            <c:idx val="15"/>
            <c:invertIfNegative val="0"/>
            <c:bubble3D val="0"/>
            <c:spPr>
              <a:solidFill>
                <a:srgbClr val="842593"/>
              </a:solidFill>
              <a:ln>
                <a:noFill/>
              </a:ln>
              <a:effectLst/>
            </c:spPr>
            <c:extLst>
              <c:ext xmlns:c16="http://schemas.microsoft.com/office/drawing/2014/chart" uri="{C3380CC4-5D6E-409C-BE32-E72D297353CC}">
                <c16:uniqueId val="{00000152-FF8F-43D9-8A15-90D97CD97090}"/>
              </c:ext>
            </c:extLst>
          </c:dPt>
          <c:dPt>
            <c:idx val="16"/>
            <c:invertIfNegative val="0"/>
            <c:bubble3D val="0"/>
            <c:spPr>
              <a:solidFill>
                <a:srgbClr val="842593"/>
              </a:solidFill>
              <a:ln>
                <a:noFill/>
              </a:ln>
              <a:effectLst/>
            </c:spPr>
            <c:extLst>
              <c:ext xmlns:c16="http://schemas.microsoft.com/office/drawing/2014/chart" uri="{C3380CC4-5D6E-409C-BE32-E72D297353CC}">
                <c16:uniqueId val="{00000154-FF8F-43D9-8A15-90D97CD97090}"/>
              </c:ext>
            </c:extLst>
          </c:dPt>
          <c:dPt>
            <c:idx val="17"/>
            <c:invertIfNegative val="0"/>
            <c:bubble3D val="0"/>
            <c:spPr>
              <a:solidFill>
                <a:srgbClr val="842593"/>
              </a:solidFill>
              <a:ln>
                <a:noFill/>
              </a:ln>
              <a:effectLst/>
            </c:spPr>
            <c:extLst>
              <c:ext xmlns:c16="http://schemas.microsoft.com/office/drawing/2014/chart" uri="{C3380CC4-5D6E-409C-BE32-E72D297353CC}">
                <c16:uniqueId val="{00000156-FF8F-43D9-8A15-90D97CD97090}"/>
              </c:ext>
            </c:extLst>
          </c:dPt>
          <c:dPt>
            <c:idx val="18"/>
            <c:invertIfNegative val="0"/>
            <c:bubble3D val="0"/>
            <c:spPr>
              <a:solidFill>
                <a:srgbClr val="842593"/>
              </a:solidFill>
              <a:ln>
                <a:noFill/>
              </a:ln>
              <a:effectLst/>
            </c:spPr>
            <c:extLst>
              <c:ext xmlns:c16="http://schemas.microsoft.com/office/drawing/2014/chart" uri="{C3380CC4-5D6E-409C-BE32-E72D297353CC}">
                <c16:uniqueId val="{00000158-FF8F-43D9-8A15-90D97CD97090}"/>
              </c:ext>
            </c:extLst>
          </c:dPt>
          <c:dPt>
            <c:idx val="19"/>
            <c:invertIfNegative val="0"/>
            <c:bubble3D val="0"/>
            <c:spPr>
              <a:solidFill>
                <a:srgbClr val="842593"/>
              </a:solidFill>
              <a:ln>
                <a:noFill/>
              </a:ln>
              <a:effectLst/>
            </c:spPr>
            <c:extLst>
              <c:ext xmlns:c16="http://schemas.microsoft.com/office/drawing/2014/chart" uri="{C3380CC4-5D6E-409C-BE32-E72D297353CC}">
                <c16:uniqueId val="{0000015A-FF8F-43D9-8A15-90D97CD97090}"/>
              </c:ext>
            </c:extLst>
          </c:dPt>
          <c:dPt>
            <c:idx val="20"/>
            <c:invertIfNegative val="0"/>
            <c:bubble3D val="0"/>
            <c:spPr>
              <a:solidFill>
                <a:srgbClr val="842593"/>
              </a:solidFill>
              <a:ln>
                <a:noFill/>
              </a:ln>
              <a:effectLst/>
            </c:spPr>
            <c:extLst>
              <c:ext xmlns:c16="http://schemas.microsoft.com/office/drawing/2014/chart" uri="{C3380CC4-5D6E-409C-BE32-E72D297353CC}">
                <c16:uniqueId val="{0000015C-FF8F-43D9-8A15-90D97CD97090}"/>
              </c:ext>
            </c:extLst>
          </c:dPt>
          <c:dPt>
            <c:idx val="21"/>
            <c:invertIfNegative val="0"/>
            <c:bubble3D val="0"/>
            <c:spPr>
              <a:solidFill>
                <a:srgbClr val="842593"/>
              </a:solidFill>
              <a:ln>
                <a:noFill/>
              </a:ln>
              <a:effectLst/>
            </c:spPr>
            <c:extLst>
              <c:ext xmlns:c16="http://schemas.microsoft.com/office/drawing/2014/chart" uri="{C3380CC4-5D6E-409C-BE32-E72D297353CC}">
                <c16:uniqueId val="{0000015E-FF8F-43D9-8A15-90D97CD97090}"/>
              </c:ext>
            </c:extLst>
          </c:dPt>
          <c:dPt>
            <c:idx val="22"/>
            <c:invertIfNegative val="0"/>
            <c:bubble3D val="0"/>
            <c:spPr>
              <a:solidFill>
                <a:srgbClr val="842593"/>
              </a:solidFill>
              <a:ln>
                <a:noFill/>
              </a:ln>
              <a:effectLst/>
            </c:spPr>
            <c:extLst>
              <c:ext xmlns:c16="http://schemas.microsoft.com/office/drawing/2014/chart" uri="{C3380CC4-5D6E-409C-BE32-E72D297353CC}">
                <c16:uniqueId val="{00000160-FF8F-43D9-8A15-90D97CD97090}"/>
              </c:ext>
            </c:extLst>
          </c:dPt>
          <c:dPt>
            <c:idx val="23"/>
            <c:invertIfNegative val="0"/>
            <c:bubble3D val="0"/>
            <c:spPr>
              <a:solidFill>
                <a:srgbClr val="842593"/>
              </a:solidFill>
              <a:ln>
                <a:noFill/>
              </a:ln>
              <a:effectLst/>
            </c:spPr>
            <c:extLst>
              <c:ext xmlns:c16="http://schemas.microsoft.com/office/drawing/2014/chart" uri="{C3380CC4-5D6E-409C-BE32-E72D297353CC}">
                <c16:uniqueId val="{00000162-FF8F-43D9-8A15-90D97CD97090}"/>
              </c:ext>
            </c:extLst>
          </c:dPt>
          <c:dPt>
            <c:idx val="24"/>
            <c:invertIfNegative val="0"/>
            <c:bubble3D val="0"/>
            <c:spPr>
              <a:solidFill>
                <a:srgbClr val="842593"/>
              </a:solidFill>
              <a:ln>
                <a:noFill/>
              </a:ln>
              <a:effectLst/>
            </c:spPr>
            <c:extLst>
              <c:ext xmlns:c16="http://schemas.microsoft.com/office/drawing/2014/chart" uri="{C3380CC4-5D6E-409C-BE32-E72D297353CC}">
                <c16:uniqueId val="{00000164-FF8F-43D9-8A15-90D97CD97090}"/>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Data'!$C$10:$X$10</c:f>
              <c:numCache>
                <c:formatCode>#,##0_ ;\-#,##0\ </c:formatCode>
                <c:ptCount val="22"/>
                <c:pt idx="0">
                  <c:v>2681.4</c:v>
                </c:pt>
                <c:pt idx="1">
                  <c:v>2701.4</c:v>
                </c:pt>
                <c:pt idx="2">
                  <c:v>2801.4</c:v>
                </c:pt>
                <c:pt idx="3">
                  <c:v>2801.4</c:v>
                </c:pt>
                <c:pt idx="4">
                  <c:v>2911.6822279500002</c:v>
                </c:pt>
                <c:pt idx="5">
                  <c:v>2937.9399012599997</c:v>
                </c:pt>
                <c:pt idx="6">
                  <c:v>3618.0929513599999</c:v>
                </c:pt>
                <c:pt idx="7">
                  <c:v>3974.8385473600001</c:v>
                </c:pt>
                <c:pt idx="8">
                  <c:v>4733.3797973600003</c:v>
                </c:pt>
                <c:pt idx="9">
                  <c:v>5673.5784393600006</c:v>
                </c:pt>
                <c:pt idx="10">
                  <c:v>6451.8015485100004</c:v>
                </c:pt>
                <c:pt idx="11">
                  <c:v>8455.07012751</c:v>
                </c:pt>
                <c:pt idx="12">
                  <c:v>10231.545624509999</c:v>
                </c:pt>
                <c:pt idx="13">
                  <c:v>12490.97372951</c:v>
                </c:pt>
                <c:pt idx="14">
                  <c:v>13898.34172251</c:v>
                </c:pt>
                <c:pt idx="15">
                  <c:v>15211.93445151</c:v>
                </c:pt>
                <c:pt idx="16">
                  <c:v>17780.494590509996</c:v>
                </c:pt>
                <c:pt idx="17">
                  <c:v>20026.609247510001</c:v>
                </c:pt>
                <c:pt idx="18">
                  <c:v>22175.253172509998</c:v>
                </c:pt>
                <c:pt idx="19">
                  <c:v>22510.36364403</c:v>
                </c:pt>
                <c:pt idx="20">
                  <c:v>22510.36364652</c:v>
                </c:pt>
                <c:pt idx="21">
                  <c:v>22486.969546519998</c:v>
                </c:pt>
              </c:numCache>
            </c:numRef>
          </c:val>
          <c:extLst>
            <c:ext xmlns:c16="http://schemas.microsoft.com/office/drawing/2014/chart" uri="{C3380CC4-5D6E-409C-BE32-E72D297353CC}">
              <c16:uniqueId val="{00000165-FF8F-43D9-8A15-90D97CD97090}"/>
            </c:ext>
          </c:extLst>
        </c:ser>
        <c:ser>
          <c:idx val="10"/>
          <c:order val="9"/>
          <c:tx>
            <c:strRef>
              <c:f>'NEMInstalledCapacity Data'!$B$12</c:f>
              <c:strCache>
                <c:ptCount val="1"/>
                <c:pt idx="0">
                  <c:v>Distributed storage</c:v>
                </c:pt>
              </c:strCache>
            </c:strRef>
          </c:tx>
          <c:spPr>
            <a:solidFill>
              <a:srgbClr val="92D050"/>
            </a:solidFill>
            <a:ln>
              <a:noFill/>
            </a:ln>
            <a:effectLst/>
          </c:spPr>
          <c:invertIfNegative val="0"/>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Data'!$C$12:$X$12</c:f>
              <c:numCache>
                <c:formatCode>#,##0_ ;\-#,##0\ </c:formatCode>
                <c:ptCount val="22"/>
                <c:pt idx="0">
                  <c:v>312.26</c:v>
                </c:pt>
                <c:pt idx="1">
                  <c:v>601.14</c:v>
                </c:pt>
                <c:pt idx="2">
                  <c:v>977.37</c:v>
                </c:pt>
                <c:pt idx="3">
                  <c:v>1323.6</c:v>
                </c:pt>
                <c:pt idx="4">
                  <c:v>1656.16</c:v>
                </c:pt>
                <c:pt idx="5">
                  <c:v>1975.32</c:v>
                </c:pt>
                <c:pt idx="6">
                  <c:v>2288.36</c:v>
                </c:pt>
                <c:pt idx="7">
                  <c:v>2587.9499999999998</c:v>
                </c:pt>
                <c:pt idx="8">
                  <c:v>2881.12</c:v>
                </c:pt>
                <c:pt idx="9">
                  <c:v>3166.67</c:v>
                </c:pt>
                <c:pt idx="10">
                  <c:v>3446.18</c:v>
                </c:pt>
                <c:pt idx="11">
                  <c:v>3723.38</c:v>
                </c:pt>
                <c:pt idx="12">
                  <c:v>3980.08</c:v>
                </c:pt>
                <c:pt idx="13">
                  <c:v>4212.34</c:v>
                </c:pt>
                <c:pt idx="14">
                  <c:v>4435.8900000000003</c:v>
                </c:pt>
                <c:pt idx="15">
                  <c:v>4651.38</c:v>
                </c:pt>
                <c:pt idx="16">
                  <c:v>4860.53</c:v>
                </c:pt>
                <c:pt idx="17">
                  <c:v>5065.55</c:v>
                </c:pt>
                <c:pt idx="18">
                  <c:v>5261.95</c:v>
                </c:pt>
                <c:pt idx="19">
                  <c:v>5452.1</c:v>
                </c:pt>
                <c:pt idx="20">
                  <c:v>5592.66</c:v>
                </c:pt>
                <c:pt idx="21">
                  <c:v>5774.18</c:v>
                </c:pt>
              </c:numCache>
            </c:numRef>
          </c:val>
          <c:extLst>
            <c:ext xmlns:c16="http://schemas.microsoft.com/office/drawing/2014/chart" uri="{C3380CC4-5D6E-409C-BE32-E72D297353CC}">
              <c16:uniqueId val="{000001C2-4F26-4639-904B-3DC40D793E7D}"/>
            </c:ext>
          </c:extLst>
        </c:ser>
        <c:ser>
          <c:idx val="8"/>
          <c:order val="10"/>
          <c:tx>
            <c:strRef>
              <c:f>'NEMInstalledCapacity Data'!$B$13</c:f>
              <c:strCache>
                <c:ptCount val="1"/>
                <c:pt idx="0">
                  <c:v>Rooftop PV</c:v>
                </c:pt>
              </c:strCache>
            </c:strRef>
          </c:tx>
          <c:spPr>
            <a:solidFill>
              <a:srgbClr val="FFE7A7"/>
            </a:solidFill>
            <a:ln>
              <a:noFill/>
            </a:ln>
            <a:effectLst/>
          </c:spPr>
          <c:invertIfNegative val="0"/>
          <c:dPt>
            <c:idx val="0"/>
            <c:invertIfNegative val="0"/>
            <c:bubble3D val="0"/>
            <c:spPr>
              <a:solidFill>
                <a:srgbClr val="FFE7A7"/>
              </a:solidFill>
              <a:ln>
                <a:noFill/>
              </a:ln>
              <a:effectLst/>
            </c:spPr>
            <c:extLst>
              <c:ext xmlns:c16="http://schemas.microsoft.com/office/drawing/2014/chart" uri="{C3380CC4-5D6E-409C-BE32-E72D297353CC}">
                <c16:uniqueId val="{0000019A-FF8F-43D9-8A15-90D97CD97090}"/>
              </c:ext>
            </c:extLst>
          </c:dPt>
          <c:dPt>
            <c:idx val="1"/>
            <c:invertIfNegative val="0"/>
            <c:bubble3D val="0"/>
            <c:spPr>
              <a:solidFill>
                <a:srgbClr val="FFE7A7"/>
              </a:solidFill>
              <a:ln>
                <a:noFill/>
              </a:ln>
              <a:effectLst/>
            </c:spPr>
            <c:extLst>
              <c:ext xmlns:c16="http://schemas.microsoft.com/office/drawing/2014/chart" uri="{C3380CC4-5D6E-409C-BE32-E72D297353CC}">
                <c16:uniqueId val="{0000019C-FF8F-43D9-8A15-90D97CD97090}"/>
              </c:ext>
            </c:extLst>
          </c:dPt>
          <c:dPt>
            <c:idx val="2"/>
            <c:invertIfNegative val="0"/>
            <c:bubble3D val="0"/>
            <c:spPr>
              <a:solidFill>
                <a:srgbClr val="FFE7A7"/>
              </a:solidFill>
              <a:ln>
                <a:noFill/>
              </a:ln>
              <a:effectLst/>
            </c:spPr>
            <c:extLst>
              <c:ext xmlns:c16="http://schemas.microsoft.com/office/drawing/2014/chart" uri="{C3380CC4-5D6E-409C-BE32-E72D297353CC}">
                <c16:uniqueId val="{0000019E-FF8F-43D9-8A15-90D97CD97090}"/>
              </c:ext>
            </c:extLst>
          </c:dPt>
          <c:dPt>
            <c:idx val="3"/>
            <c:invertIfNegative val="0"/>
            <c:bubble3D val="0"/>
            <c:spPr>
              <a:solidFill>
                <a:srgbClr val="FFE7A7"/>
              </a:solidFill>
              <a:ln>
                <a:noFill/>
              </a:ln>
              <a:effectLst/>
            </c:spPr>
            <c:extLst>
              <c:ext xmlns:c16="http://schemas.microsoft.com/office/drawing/2014/chart" uri="{C3380CC4-5D6E-409C-BE32-E72D297353CC}">
                <c16:uniqueId val="{000001A0-FF8F-43D9-8A15-90D97CD97090}"/>
              </c:ext>
            </c:extLst>
          </c:dPt>
          <c:dPt>
            <c:idx val="4"/>
            <c:invertIfNegative val="0"/>
            <c:bubble3D val="0"/>
            <c:spPr>
              <a:solidFill>
                <a:srgbClr val="FFE7A7"/>
              </a:solidFill>
              <a:ln>
                <a:noFill/>
              </a:ln>
              <a:effectLst/>
            </c:spPr>
            <c:extLst>
              <c:ext xmlns:c16="http://schemas.microsoft.com/office/drawing/2014/chart" uri="{C3380CC4-5D6E-409C-BE32-E72D297353CC}">
                <c16:uniqueId val="{000001A2-FF8F-43D9-8A15-90D97CD97090}"/>
              </c:ext>
            </c:extLst>
          </c:dPt>
          <c:dPt>
            <c:idx val="5"/>
            <c:invertIfNegative val="0"/>
            <c:bubble3D val="0"/>
            <c:spPr>
              <a:solidFill>
                <a:srgbClr val="FFE7A7"/>
              </a:solidFill>
              <a:ln>
                <a:noFill/>
              </a:ln>
              <a:effectLst/>
            </c:spPr>
            <c:extLst>
              <c:ext xmlns:c16="http://schemas.microsoft.com/office/drawing/2014/chart" uri="{C3380CC4-5D6E-409C-BE32-E72D297353CC}">
                <c16:uniqueId val="{000001A4-FF8F-43D9-8A15-90D97CD97090}"/>
              </c:ext>
            </c:extLst>
          </c:dPt>
          <c:dPt>
            <c:idx val="6"/>
            <c:invertIfNegative val="0"/>
            <c:bubble3D val="0"/>
            <c:spPr>
              <a:solidFill>
                <a:srgbClr val="FFE7A7"/>
              </a:solidFill>
              <a:ln>
                <a:noFill/>
              </a:ln>
              <a:effectLst/>
            </c:spPr>
            <c:extLst>
              <c:ext xmlns:c16="http://schemas.microsoft.com/office/drawing/2014/chart" uri="{C3380CC4-5D6E-409C-BE32-E72D297353CC}">
                <c16:uniqueId val="{000001A6-FF8F-43D9-8A15-90D97CD97090}"/>
              </c:ext>
            </c:extLst>
          </c:dPt>
          <c:dPt>
            <c:idx val="7"/>
            <c:invertIfNegative val="0"/>
            <c:bubble3D val="0"/>
            <c:spPr>
              <a:solidFill>
                <a:srgbClr val="FFE7A7"/>
              </a:solidFill>
              <a:ln>
                <a:noFill/>
              </a:ln>
              <a:effectLst/>
            </c:spPr>
            <c:extLst>
              <c:ext xmlns:c16="http://schemas.microsoft.com/office/drawing/2014/chart" uri="{C3380CC4-5D6E-409C-BE32-E72D297353CC}">
                <c16:uniqueId val="{000001A8-FF8F-43D9-8A15-90D97CD97090}"/>
              </c:ext>
            </c:extLst>
          </c:dPt>
          <c:dPt>
            <c:idx val="8"/>
            <c:invertIfNegative val="0"/>
            <c:bubble3D val="0"/>
            <c:spPr>
              <a:solidFill>
                <a:srgbClr val="FFE7A7"/>
              </a:solidFill>
              <a:ln>
                <a:noFill/>
              </a:ln>
              <a:effectLst/>
            </c:spPr>
            <c:extLst>
              <c:ext xmlns:c16="http://schemas.microsoft.com/office/drawing/2014/chart" uri="{C3380CC4-5D6E-409C-BE32-E72D297353CC}">
                <c16:uniqueId val="{000001AA-FF8F-43D9-8A15-90D97CD97090}"/>
              </c:ext>
            </c:extLst>
          </c:dPt>
          <c:dPt>
            <c:idx val="9"/>
            <c:invertIfNegative val="0"/>
            <c:bubble3D val="0"/>
            <c:spPr>
              <a:solidFill>
                <a:srgbClr val="FFE7A7"/>
              </a:solidFill>
              <a:ln>
                <a:noFill/>
              </a:ln>
              <a:effectLst/>
            </c:spPr>
            <c:extLst>
              <c:ext xmlns:c16="http://schemas.microsoft.com/office/drawing/2014/chart" uri="{C3380CC4-5D6E-409C-BE32-E72D297353CC}">
                <c16:uniqueId val="{000001AC-FF8F-43D9-8A15-90D97CD97090}"/>
              </c:ext>
            </c:extLst>
          </c:dPt>
          <c:dPt>
            <c:idx val="10"/>
            <c:invertIfNegative val="0"/>
            <c:bubble3D val="0"/>
            <c:spPr>
              <a:solidFill>
                <a:srgbClr val="FFE7A7"/>
              </a:solidFill>
              <a:ln>
                <a:noFill/>
              </a:ln>
              <a:effectLst/>
            </c:spPr>
            <c:extLst>
              <c:ext xmlns:c16="http://schemas.microsoft.com/office/drawing/2014/chart" uri="{C3380CC4-5D6E-409C-BE32-E72D297353CC}">
                <c16:uniqueId val="{000001AE-FF8F-43D9-8A15-90D97CD97090}"/>
              </c:ext>
            </c:extLst>
          </c:dPt>
          <c:dPt>
            <c:idx val="11"/>
            <c:invertIfNegative val="0"/>
            <c:bubble3D val="0"/>
            <c:spPr>
              <a:solidFill>
                <a:srgbClr val="FFE7A7"/>
              </a:solidFill>
              <a:ln>
                <a:noFill/>
              </a:ln>
              <a:effectLst/>
            </c:spPr>
            <c:extLst>
              <c:ext xmlns:c16="http://schemas.microsoft.com/office/drawing/2014/chart" uri="{C3380CC4-5D6E-409C-BE32-E72D297353CC}">
                <c16:uniqueId val="{000001B0-FF8F-43D9-8A15-90D97CD97090}"/>
              </c:ext>
            </c:extLst>
          </c:dPt>
          <c:dPt>
            <c:idx val="12"/>
            <c:invertIfNegative val="0"/>
            <c:bubble3D val="0"/>
            <c:spPr>
              <a:solidFill>
                <a:srgbClr val="FFE7A7"/>
              </a:solidFill>
              <a:ln>
                <a:noFill/>
              </a:ln>
              <a:effectLst/>
            </c:spPr>
            <c:extLst>
              <c:ext xmlns:c16="http://schemas.microsoft.com/office/drawing/2014/chart" uri="{C3380CC4-5D6E-409C-BE32-E72D297353CC}">
                <c16:uniqueId val="{000001B2-FF8F-43D9-8A15-90D97CD97090}"/>
              </c:ext>
            </c:extLst>
          </c:dPt>
          <c:dPt>
            <c:idx val="13"/>
            <c:invertIfNegative val="0"/>
            <c:bubble3D val="0"/>
            <c:spPr>
              <a:solidFill>
                <a:srgbClr val="FFE7A7"/>
              </a:solidFill>
              <a:ln>
                <a:noFill/>
              </a:ln>
              <a:effectLst/>
            </c:spPr>
            <c:extLst>
              <c:ext xmlns:c16="http://schemas.microsoft.com/office/drawing/2014/chart" uri="{C3380CC4-5D6E-409C-BE32-E72D297353CC}">
                <c16:uniqueId val="{000001B4-FF8F-43D9-8A15-90D97CD97090}"/>
              </c:ext>
            </c:extLst>
          </c:dPt>
          <c:dPt>
            <c:idx val="14"/>
            <c:invertIfNegative val="0"/>
            <c:bubble3D val="0"/>
            <c:spPr>
              <a:solidFill>
                <a:srgbClr val="FFE7A7"/>
              </a:solidFill>
              <a:ln>
                <a:noFill/>
              </a:ln>
              <a:effectLst/>
            </c:spPr>
            <c:extLst>
              <c:ext xmlns:c16="http://schemas.microsoft.com/office/drawing/2014/chart" uri="{C3380CC4-5D6E-409C-BE32-E72D297353CC}">
                <c16:uniqueId val="{000001B6-FF8F-43D9-8A15-90D97CD97090}"/>
              </c:ext>
            </c:extLst>
          </c:dPt>
          <c:dPt>
            <c:idx val="15"/>
            <c:invertIfNegative val="0"/>
            <c:bubble3D val="0"/>
            <c:spPr>
              <a:solidFill>
                <a:srgbClr val="FFE7A7"/>
              </a:solidFill>
              <a:ln>
                <a:noFill/>
              </a:ln>
              <a:effectLst/>
            </c:spPr>
            <c:extLst>
              <c:ext xmlns:c16="http://schemas.microsoft.com/office/drawing/2014/chart" uri="{C3380CC4-5D6E-409C-BE32-E72D297353CC}">
                <c16:uniqueId val="{000001B8-FF8F-43D9-8A15-90D97CD97090}"/>
              </c:ext>
            </c:extLst>
          </c:dPt>
          <c:dPt>
            <c:idx val="16"/>
            <c:invertIfNegative val="0"/>
            <c:bubble3D val="0"/>
            <c:spPr>
              <a:solidFill>
                <a:srgbClr val="FFE7A7"/>
              </a:solidFill>
              <a:ln>
                <a:noFill/>
              </a:ln>
              <a:effectLst/>
            </c:spPr>
            <c:extLst>
              <c:ext xmlns:c16="http://schemas.microsoft.com/office/drawing/2014/chart" uri="{C3380CC4-5D6E-409C-BE32-E72D297353CC}">
                <c16:uniqueId val="{000001BA-FF8F-43D9-8A15-90D97CD97090}"/>
              </c:ext>
            </c:extLst>
          </c:dPt>
          <c:dPt>
            <c:idx val="17"/>
            <c:invertIfNegative val="0"/>
            <c:bubble3D val="0"/>
            <c:spPr>
              <a:solidFill>
                <a:srgbClr val="FFE7A7"/>
              </a:solidFill>
              <a:ln>
                <a:noFill/>
              </a:ln>
              <a:effectLst/>
            </c:spPr>
            <c:extLst>
              <c:ext xmlns:c16="http://schemas.microsoft.com/office/drawing/2014/chart" uri="{C3380CC4-5D6E-409C-BE32-E72D297353CC}">
                <c16:uniqueId val="{000001BC-FF8F-43D9-8A15-90D97CD97090}"/>
              </c:ext>
            </c:extLst>
          </c:dPt>
          <c:dPt>
            <c:idx val="18"/>
            <c:invertIfNegative val="0"/>
            <c:bubble3D val="0"/>
            <c:spPr>
              <a:solidFill>
                <a:srgbClr val="FFE7A7"/>
              </a:solidFill>
              <a:ln>
                <a:noFill/>
              </a:ln>
              <a:effectLst/>
            </c:spPr>
            <c:extLst>
              <c:ext xmlns:c16="http://schemas.microsoft.com/office/drawing/2014/chart" uri="{C3380CC4-5D6E-409C-BE32-E72D297353CC}">
                <c16:uniqueId val="{000001BE-FF8F-43D9-8A15-90D97CD97090}"/>
              </c:ext>
            </c:extLst>
          </c:dPt>
          <c:dPt>
            <c:idx val="19"/>
            <c:invertIfNegative val="0"/>
            <c:bubble3D val="0"/>
            <c:spPr>
              <a:solidFill>
                <a:srgbClr val="FFE7A7"/>
              </a:solidFill>
              <a:ln>
                <a:noFill/>
              </a:ln>
              <a:effectLst/>
            </c:spPr>
            <c:extLst>
              <c:ext xmlns:c16="http://schemas.microsoft.com/office/drawing/2014/chart" uri="{C3380CC4-5D6E-409C-BE32-E72D297353CC}">
                <c16:uniqueId val="{000001C0-FF8F-43D9-8A15-90D97CD97090}"/>
              </c:ext>
            </c:extLst>
          </c:dPt>
          <c:dPt>
            <c:idx val="20"/>
            <c:invertIfNegative val="0"/>
            <c:bubble3D val="0"/>
            <c:spPr>
              <a:solidFill>
                <a:srgbClr val="FFE7A7"/>
              </a:solidFill>
              <a:ln>
                <a:noFill/>
              </a:ln>
              <a:effectLst/>
            </c:spPr>
            <c:extLst>
              <c:ext xmlns:c16="http://schemas.microsoft.com/office/drawing/2014/chart" uri="{C3380CC4-5D6E-409C-BE32-E72D297353CC}">
                <c16:uniqueId val="{000001C2-FF8F-43D9-8A15-90D97CD97090}"/>
              </c:ext>
            </c:extLst>
          </c:dPt>
          <c:dPt>
            <c:idx val="21"/>
            <c:invertIfNegative val="0"/>
            <c:bubble3D val="0"/>
            <c:spPr>
              <a:solidFill>
                <a:srgbClr val="FFE7A7"/>
              </a:solidFill>
              <a:ln>
                <a:noFill/>
              </a:ln>
              <a:effectLst/>
            </c:spPr>
            <c:extLst>
              <c:ext xmlns:c16="http://schemas.microsoft.com/office/drawing/2014/chart" uri="{C3380CC4-5D6E-409C-BE32-E72D297353CC}">
                <c16:uniqueId val="{000001C4-FF8F-43D9-8A15-90D97CD97090}"/>
              </c:ext>
            </c:extLst>
          </c:dPt>
          <c:dPt>
            <c:idx val="22"/>
            <c:invertIfNegative val="0"/>
            <c:bubble3D val="0"/>
            <c:spPr>
              <a:solidFill>
                <a:srgbClr val="FFE7A7"/>
              </a:solidFill>
              <a:ln>
                <a:noFill/>
              </a:ln>
              <a:effectLst/>
            </c:spPr>
            <c:extLst>
              <c:ext xmlns:c16="http://schemas.microsoft.com/office/drawing/2014/chart" uri="{C3380CC4-5D6E-409C-BE32-E72D297353CC}">
                <c16:uniqueId val="{000001C6-FF8F-43D9-8A15-90D97CD97090}"/>
              </c:ext>
            </c:extLst>
          </c:dPt>
          <c:dPt>
            <c:idx val="23"/>
            <c:invertIfNegative val="0"/>
            <c:bubble3D val="0"/>
            <c:spPr>
              <a:solidFill>
                <a:srgbClr val="FFE7A7"/>
              </a:solidFill>
              <a:ln>
                <a:noFill/>
              </a:ln>
              <a:effectLst/>
            </c:spPr>
            <c:extLst>
              <c:ext xmlns:c16="http://schemas.microsoft.com/office/drawing/2014/chart" uri="{C3380CC4-5D6E-409C-BE32-E72D297353CC}">
                <c16:uniqueId val="{000001C8-FF8F-43D9-8A15-90D97CD97090}"/>
              </c:ext>
            </c:extLst>
          </c:dPt>
          <c:dPt>
            <c:idx val="24"/>
            <c:invertIfNegative val="0"/>
            <c:bubble3D val="0"/>
            <c:spPr>
              <a:solidFill>
                <a:srgbClr val="FFE7A7"/>
              </a:solidFill>
              <a:ln>
                <a:noFill/>
              </a:ln>
              <a:effectLst/>
            </c:spPr>
            <c:extLst>
              <c:ext xmlns:c16="http://schemas.microsoft.com/office/drawing/2014/chart" uri="{C3380CC4-5D6E-409C-BE32-E72D297353CC}">
                <c16:uniqueId val="{000001CA-FF8F-43D9-8A15-90D97CD97090}"/>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Data'!$C$13:$X$13</c:f>
              <c:numCache>
                <c:formatCode>#,##0_ ;\-#,##0\ </c:formatCode>
                <c:ptCount val="22"/>
                <c:pt idx="0">
                  <c:v>7324</c:v>
                </c:pt>
                <c:pt idx="1">
                  <c:v>8264</c:v>
                </c:pt>
                <c:pt idx="2">
                  <c:v>9186</c:v>
                </c:pt>
                <c:pt idx="3">
                  <c:v>10082</c:v>
                </c:pt>
                <c:pt idx="4">
                  <c:v>10958</c:v>
                </c:pt>
                <c:pt idx="5">
                  <c:v>11817</c:v>
                </c:pt>
                <c:pt idx="6">
                  <c:v>12651</c:v>
                </c:pt>
                <c:pt idx="7">
                  <c:v>13459</c:v>
                </c:pt>
                <c:pt idx="8">
                  <c:v>14248</c:v>
                </c:pt>
                <c:pt idx="9">
                  <c:v>15010</c:v>
                </c:pt>
                <c:pt idx="10">
                  <c:v>15739</c:v>
                </c:pt>
                <c:pt idx="11">
                  <c:v>16439</c:v>
                </c:pt>
                <c:pt idx="12">
                  <c:v>17092</c:v>
                </c:pt>
                <c:pt idx="13">
                  <c:v>17701</c:v>
                </c:pt>
                <c:pt idx="14">
                  <c:v>18245</c:v>
                </c:pt>
                <c:pt idx="15">
                  <c:v>18744</c:v>
                </c:pt>
                <c:pt idx="16">
                  <c:v>19214</c:v>
                </c:pt>
                <c:pt idx="17">
                  <c:v>19655</c:v>
                </c:pt>
                <c:pt idx="18">
                  <c:v>20058</c:v>
                </c:pt>
                <c:pt idx="19">
                  <c:v>20386</c:v>
                </c:pt>
                <c:pt idx="20">
                  <c:v>20724</c:v>
                </c:pt>
                <c:pt idx="21">
                  <c:v>21018</c:v>
                </c:pt>
              </c:numCache>
            </c:numRef>
          </c:val>
          <c:extLst>
            <c:ext xmlns:c16="http://schemas.microsoft.com/office/drawing/2014/chart" uri="{C3380CC4-5D6E-409C-BE32-E72D297353CC}">
              <c16:uniqueId val="{000001CB-FF8F-43D9-8A15-90D97CD97090}"/>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9636411161955318"/>
              <c:y val="0.801590961089975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spPr>
        <a:noFill/>
        <a:ln>
          <a:noFill/>
        </a:ln>
        <a:effectLst/>
      </c:spPr>
    </c:plotArea>
    <c:legend>
      <c:legendPos val="b"/>
      <c:layout>
        <c:manualLayout>
          <c:xMode val="edge"/>
          <c:yMode val="edge"/>
          <c:x val="0.11879026354856696"/>
          <c:y val="0.85445706781823372"/>
          <c:w val="0.81068934425818839"/>
          <c:h val="0.12773471268354208"/>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82001628509222"/>
          <c:y val="3.2567640214531464E-2"/>
          <c:w val="0.83509542536485004"/>
          <c:h val="0.60776182214664809"/>
        </c:manualLayout>
      </c:layout>
      <c:barChart>
        <c:barDir val="col"/>
        <c:grouping val="stacked"/>
        <c:varyColors val="0"/>
        <c:ser>
          <c:idx val="0"/>
          <c:order val="0"/>
          <c:tx>
            <c:strRef>
              <c:f>'NEMEnergyGenerated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F6-9ED3-4FF8-8DED-3FCA538ED9C7}"/>
              </c:ext>
            </c:extLst>
          </c:dPt>
          <c:dPt>
            <c:idx val="1"/>
            <c:invertIfNegative val="0"/>
            <c:bubble3D val="0"/>
            <c:extLst>
              <c:ext xmlns:c16="http://schemas.microsoft.com/office/drawing/2014/chart" uri="{C3380CC4-5D6E-409C-BE32-E72D297353CC}">
                <c16:uniqueId val="{000001F8-9ED3-4FF8-8DED-3FCA538ED9C7}"/>
              </c:ext>
            </c:extLst>
          </c:dPt>
          <c:dPt>
            <c:idx val="2"/>
            <c:invertIfNegative val="0"/>
            <c:bubble3D val="0"/>
            <c:extLst>
              <c:ext xmlns:c16="http://schemas.microsoft.com/office/drawing/2014/chart" uri="{C3380CC4-5D6E-409C-BE32-E72D297353CC}">
                <c16:uniqueId val="{000001FA-9ED3-4FF8-8DED-3FCA538ED9C7}"/>
              </c:ext>
            </c:extLst>
          </c:dPt>
          <c:dPt>
            <c:idx val="3"/>
            <c:invertIfNegative val="0"/>
            <c:bubble3D val="0"/>
            <c:extLst>
              <c:ext xmlns:c16="http://schemas.microsoft.com/office/drawing/2014/chart" uri="{C3380CC4-5D6E-409C-BE32-E72D297353CC}">
                <c16:uniqueId val="{000001FC-9ED3-4FF8-8DED-3FCA538ED9C7}"/>
              </c:ext>
            </c:extLst>
          </c:dPt>
          <c:dPt>
            <c:idx val="4"/>
            <c:invertIfNegative val="0"/>
            <c:bubble3D val="0"/>
            <c:extLst>
              <c:ext xmlns:c16="http://schemas.microsoft.com/office/drawing/2014/chart" uri="{C3380CC4-5D6E-409C-BE32-E72D297353CC}">
                <c16:uniqueId val="{000001FE-9ED3-4FF8-8DED-3FCA538ED9C7}"/>
              </c:ext>
            </c:extLst>
          </c:dPt>
          <c:dPt>
            <c:idx val="5"/>
            <c:invertIfNegative val="0"/>
            <c:bubble3D val="0"/>
            <c:extLst>
              <c:ext xmlns:c16="http://schemas.microsoft.com/office/drawing/2014/chart" uri="{C3380CC4-5D6E-409C-BE32-E72D297353CC}">
                <c16:uniqueId val="{00000200-9ED3-4FF8-8DED-3FCA538ED9C7}"/>
              </c:ext>
            </c:extLst>
          </c:dPt>
          <c:dPt>
            <c:idx val="6"/>
            <c:invertIfNegative val="0"/>
            <c:bubble3D val="0"/>
            <c:extLst>
              <c:ext xmlns:c16="http://schemas.microsoft.com/office/drawing/2014/chart" uri="{C3380CC4-5D6E-409C-BE32-E72D297353CC}">
                <c16:uniqueId val="{00000202-9ED3-4FF8-8DED-3FCA538ED9C7}"/>
              </c:ext>
            </c:extLst>
          </c:dPt>
          <c:dPt>
            <c:idx val="7"/>
            <c:invertIfNegative val="0"/>
            <c:bubble3D val="0"/>
            <c:extLst>
              <c:ext xmlns:c16="http://schemas.microsoft.com/office/drawing/2014/chart" uri="{C3380CC4-5D6E-409C-BE32-E72D297353CC}">
                <c16:uniqueId val="{00000204-9ED3-4FF8-8DED-3FCA538ED9C7}"/>
              </c:ext>
            </c:extLst>
          </c:dPt>
          <c:dPt>
            <c:idx val="8"/>
            <c:invertIfNegative val="0"/>
            <c:bubble3D val="0"/>
            <c:extLst>
              <c:ext xmlns:c16="http://schemas.microsoft.com/office/drawing/2014/chart" uri="{C3380CC4-5D6E-409C-BE32-E72D297353CC}">
                <c16:uniqueId val="{00000206-9ED3-4FF8-8DED-3FCA538ED9C7}"/>
              </c:ext>
            </c:extLst>
          </c:dPt>
          <c:dPt>
            <c:idx val="9"/>
            <c:invertIfNegative val="0"/>
            <c:bubble3D val="0"/>
            <c:extLst>
              <c:ext xmlns:c16="http://schemas.microsoft.com/office/drawing/2014/chart" uri="{C3380CC4-5D6E-409C-BE32-E72D297353CC}">
                <c16:uniqueId val="{00000208-9ED3-4FF8-8DED-3FCA538ED9C7}"/>
              </c:ext>
            </c:extLst>
          </c:dPt>
          <c:dPt>
            <c:idx val="10"/>
            <c:invertIfNegative val="0"/>
            <c:bubble3D val="0"/>
            <c:extLst>
              <c:ext xmlns:c16="http://schemas.microsoft.com/office/drawing/2014/chart" uri="{C3380CC4-5D6E-409C-BE32-E72D297353CC}">
                <c16:uniqueId val="{0000020A-9ED3-4FF8-8DED-3FCA538ED9C7}"/>
              </c:ext>
            </c:extLst>
          </c:dPt>
          <c:dPt>
            <c:idx val="11"/>
            <c:invertIfNegative val="0"/>
            <c:bubble3D val="0"/>
            <c:extLst>
              <c:ext xmlns:c16="http://schemas.microsoft.com/office/drawing/2014/chart" uri="{C3380CC4-5D6E-409C-BE32-E72D297353CC}">
                <c16:uniqueId val="{0000020C-9ED3-4FF8-8DED-3FCA538ED9C7}"/>
              </c:ext>
            </c:extLst>
          </c:dPt>
          <c:dPt>
            <c:idx val="12"/>
            <c:invertIfNegative val="0"/>
            <c:bubble3D val="0"/>
            <c:extLst>
              <c:ext xmlns:c16="http://schemas.microsoft.com/office/drawing/2014/chart" uri="{C3380CC4-5D6E-409C-BE32-E72D297353CC}">
                <c16:uniqueId val="{0000020E-9ED3-4FF8-8DED-3FCA538ED9C7}"/>
              </c:ext>
            </c:extLst>
          </c:dPt>
          <c:dPt>
            <c:idx val="13"/>
            <c:invertIfNegative val="0"/>
            <c:bubble3D val="0"/>
            <c:extLst>
              <c:ext xmlns:c16="http://schemas.microsoft.com/office/drawing/2014/chart" uri="{C3380CC4-5D6E-409C-BE32-E72D297353CC}">
                <c16:uniqueId val="{00000210-9ED3-4FF8-8DED-3FCA538ED9C7}"/>
              </c:ext>
            </c:extLst>
          </c:dPt>
          <c:dPt>
            <c:idx val="14"/>
            <c:invertIfNegative val="0"/>
            <c:bubble3D val="0"/>
            <c:extLst>
              <c:ext xmlns:c16="http://schemas.microsoft.com/office/drawing/2014/chart" uri="{C3380CC4-5D6E-409C-BE32-E72D297353CC}">
                <c16:uniqueId val="{00000212-9ED3-4FF8-8DED-3FCA538ED9C7}"/>
              </c:ext>
            </c:extLst>
          </c:dPt>
          <c:dPt>
            <c:idx val="15"/>
            <c:invertIfNegative val="0"/>
            <c:bubble3D val="0"/>
            <c:extLst>
              <c:ext xmlns:c16="http://schemas.microsoft.com/office/drawing/2014/chart" uri="{C3380CC4-5D6E-409C-BE32-E72D297353CC}">
                <c16:uniqueId val="{00000214-9ED3-4FF8-8DED-3FCA538ED9C7}"/>
              </c:ext>
            </c:extLst>
          </c:dPt>
          <c:dPt>
            <c:idx val="16"/>
            <c:invertIfNegative val="0"/>
            <c:bubble3D val="0"/>
            <c:extLst>
              <c:ext xmlns:c16="http://schemas.microsoft.com/office/drawing/2014/chart" uri="{C3380CC4-5D6E-409C-BE32-E72D297353CC}">
                <c16:uniqueId val="{00000216-9ED3-4FF8-8DED-3FCA538ED9C7}"/>
              </c:ext>
            </c:extLst>
          </c:dPt>
          <c:dPt>
            <c:idx val="17"/>
            <c:invertIfNegative val="0"/>
            <c:bubble3D val="0"/>
            <c:extLst>
              <c:ext xmlns:c16="http://schemas.microsoft.com/office/drawing/2014/chart" uri="{C3380CC4-5D6E-409C-BE32-E72D297353CC}">
                <c16:uniqueId val="{00000218-9ED3-4FF8-8DED-3FCA538ED9C7}"/>
              </c:ext>
            </c:extLst>
          </c:dPt>
          <c:dPt>
            <c:idx val="18"/>
            <c:invertIfNegative val="0"/>
            <c:bubble3D val="0"/>
            <c:extLst>
              <c:ext xmlns:c16="http://schemas.microsoft.com/office/drawing/2014/chart" uri="{C3380CC4-5D6E-409C-BE32-E72D297353CC}">
                <c16:uniqueId val="{0000021A-9ED3-4FF8-8DED-3FCA538ED9C7}"/>
              </c:ext>
            </c:extLst>
          </c:dPt>
          <c:dPt>
            <c:idx val="19"/>
            <c:invertIfNegative val="0"/>
            <c:bubble3D val="0"/>
            <c:extLst>
              <c:ext xmlns:c16="http://schemas.microsoft.com/office/drawing/2014/chart" uri="{C3380CC4-5D6E-409C-BE32-E72D297353CC}">
                <c16:uniqueId val="{0000021C-9ED3-4FF8-8DED-3FCA538ED9C7}"/>
              </c:ext>
            </c:extLst>
          </c:dPt>
          <c:dPt>
            <c:idx val="20"/>
            <c:invertIfNegative val="0"/>
            <c:bubble3D val="0"/>
            <c:extLst>
              <c:ext xmlns:c16="http://schemas.microsoft.com/office/drawing/2014/chart" uri="{C3380CC4-5D6E-409C-BE32-E72D297353CC}">
                <c16:uniqueId val="{0000021E-9ED3-4FF8-8DED-3FCA538ED9C7}"/>
              </c:ext>
            </c:extLst>
          </c:dPt>
          <c:dPt>
            <c:idx val="21"/>
            <c:invertIfNegative val="0"/>
            <c:bubble3D val="0"/>
            <c:extLst>
              <c:ext xmlns:c16="http://schemas.microsoft.com/office/drawing/2014/chart" uri="{C3380CC4-5D6E-409C-BE32-E72D297353CC}">
                <c16:uniqueId val="{00000220-9ED3-4FF8-8DED-3FCA538ED9C7}"/>
              </c:ext>
            </c:extLst>
          </c:dPt>
          <c:dPt>
            <c:idx val="22"/>
            <c:invertIfNegative val="0"/>
            <c:bubble3D val="0"/>
            <c:extLst>
              <c:ext xmlns:c16="http://schemas.microsoft.com/office/drawing/2014/chart" uri="{C3380CC4-5D6E-409C-BE32-E72D297353CC}">
                <c16:uniqueId val="{00000222-9ED3-4FF8-8DED-3FCA538ED9C7}"/>
              </c:ext>
            </c:extLst>
          </c:dPt>
          <c:dPt>
            <c:idx val="23"/>
            <c:invertIfNegative val="0"/>
            <c:bubble3D val="0"/>
            <c:extLst>
              <c:ext xmlns:c16="http://schemas.microsoft.com/office/drawing/2014/chart" uri="{C3380CC4-5D6E-409C-BE32-E72D297353CC}">
                <c16:uniqueId val="{00000224-9ED3-4FF8-8DED-3FCA538ED9C7}"/>
              </c:ext>
            </c:extLst>
          </c:dPt>
          <c:dPt>
            <c:idx val="24"/>
            <c:invertIfNegative val="0"/>
            <c:bubble3D val="0"/>
            <c:extLst>
              <c:ext xmlns:c16="http://schemas.microsoft.com/office/drawing/2014/chart" uri="{C3380CC4-5D6E-409C-BE32-E72D297353CC}">
                <c16:uniqueId val="{00000226-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Data'!$C$3:$X$3</c:f>
              <c:numCache>
                <c:formatCode>#,##0_ ;\-#,##0\ </c:formatCode>
                <c:ptCount val="22"/>
                <c:pt idx="0">
                  <c:v>106017.19420071451</c:v>
                </c:pt>
                <c:pt idx="1">
                  <c:v>103493.1851893381</c:v>
                </c:pt>
                <c:pt idx="2">
                  <c:v>103614.32511572413</c:v>
                </c:pt>
                <c:pt idx="3">
                  <c:v>106762.96066707766</c:v>
                </c:pt>
                <c:pt idx="4">
                  <c:v>96873.970339352629</c:v>
                </c:pt>
                <c:pt idx="5">
                  <c:v>94150.49346536964</c:v>
                </c:pt>
                <c:pt idx="6">
                  <c:v>87043.010388100491</c:v>
                </c:pt>
                <c:pt idx="7">
                  <c:v>80866.89152807447</c:v>
                </c:pt>
                <c:pt idx="8">
                  <c:v>77156.760780146316</c:v>
                </c:pt>
                <c:pt idx="9">
                  <c:v>77266.681256647382</c:v>
                </c:pt>
                <c:pt idx="10">
                  <c:v>72522.331144714539</c:v>
                </c:pt>
                <c:pt idx="11">
                  <c:v>66430.036614070385</c:v>
                </c:pt>
                <c:pt idx="12">
                  <c:v>63088.285518887118</c:v>
                </c:pt>
                <c:pt idx="13">
                  <c:v>60109.238268932757</c:v>
                </c:pt>
                <c:pt idx="14">
                  <c:v>63765.048436388228</c:v>
                </c:pt>
                <c:pt idx="15">
                  <c:v>60996.581546183537</c:v>
                </c:pt>
                <c:pt idx="16">
                  <c:v>55120.064703425451</c:v>
                </c:pt>
                <c:pt idx="17">
                  <c:v>42549.963945019037</c:v>
                </c:pt>
                <c:pt idx="18">
                  <c:v>33704.206086678802</c:v>
                </c:pt>
                <c:pt idx="19">
                  <c:v>31508.41921826683</c:v>
                </c:pt>
                <c:pt idx="20">
                  <c:v>30572.087115458831</c:v>
                </c:pt>
                <c:pt idx="21">
                  <c:v>30631.753829444271</c:v>
                </c:pt>
              </c:numCache>
            </c:numRef>
          </c:val>
          <c:extLst>
            <c:ext xmlns:c16="http://schemas.microsoft.com/office/drawing/2014/chart" uri="{C3380CC4-5D6E-409C-BE32-E72D297353CC}">
              <c16:uniqueId val="{00000227-9ED3-4FF8-8DED-3FCA538ED9C7}"/>
            </c:ext>
          </c:extLst>
        </c:ser>
        <c:ser>
          <c:idx val="1"/>
          <c:order val="1"/>
          <c:tx>
            <c:strRef>
              <c:f>'NEMEnergyGenerated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22A-9ED3-4FF8-8DED-3FCA538ED9C7}"/>
              </c:ext>
            </c:extLst>
          </c:dPt>
          <c:dPt>
            <c:idx val="1"/>
            <c:invertIfNegative val="0"/>
            <c:bubble3D val="0"/>
            <c:extLst>
              <c:ext xmlns:c16="http://schemas.microsoft.com/office/drawing/2014/chart" uri="{C3380CC4-5D6E-409C-BE32-E72D297353CC}">
                <c16:uniqueId val="{0000022C-9ED3-4FF8-8DED-3FCA538ED9C7}"/>
              </c:ext>
            </c:extLst>
          </c:dPt>
          <c:dPt>
            <c:idx val="2"/>
            <c:invertIfNegative val="0"/>
            <c:bubble3D val="0"/>
            <c:extLst>
              <c:ext xmlns:c16="http://schemas.microsoft.com/office/drawing/2014/chart" uri="{C3380CC4-5D6E-409C-BE32-E72D297353CC}">
                <c16:uniqueId val="{0000022E-9ED3-4FF8-8DED-3FCA538ED9C7}"/>
              </c:ext>
            </c:extLst>
          </c:dPt>
          <c:dPt>
            <c:idx val="3"/>
            <c:invertIfNegative val="0"/>
            <c:bubble3D val="0"/>
            <c:extLst>
              <c:ext xmlns:c16="http://schemas.microsoft.com/office/drawing/2014/chart" uri="{C3380CC4-5D6E-409C-BE32-E72D297353CC}">
                <c16:uniqueId val="{00000230-9ED3-4FF8-8DED-3FCA538ED9C7}"/>
              </c:ext>
            </c:extLst>
          </c:dPt>
          <c:dPt>
            <c:idx val="4"/>
            <c:invertIfNegative val="0"/>
            <c:bubble3D val="0"/>
            <c:extLst>
              <c:ext xmlns:c16="http://schemas.microsoft.com/office/drawing/2014/chart" uri="{C3380CC4-5D6E-409C-BE32-E72D297353CC}">
                <c16:uniqueId val="{00000232-9ED3-4FF8-8DED-3FCA538ED9C7}"/>
              </c:ext>
            </c:extLst>
          </c:dPt>
          <c:dPt>
            <c:idx val="5"/>
            <c:invertIfNegative val="0"/>
            <c:bubble3D val="0"/>
            <c:extLst>
              <c:ext xmlns:c16="http://schemas.microsoft.com/office/drawing/2014/chart" uri="{C3380CC4-5D6E-409C-BE32-E72D297353CC}">
                <c16:uniqueId val="{00000234-9ED3-4FF8-8DED-3FCA538ED9C7}"/>
              </c:ext>
            </c:extLst>
          </c:dPt>
          <c:dPt>
            <c:idx val="6"/>
            <c:invertIfNegative val="0"/>
            <c:bubble3D val="0"/>
            <c:extLst>
              <c:ext xmlns:c16="http://schemas.microsoft.com/office/drawing/2014/chart" uri="{C3380CC4-5D6E-409C-BE32-E72D297353CC}">
                <c16:uniqueId val="{00000236-9ED3-4FF8-8DED-3FCA538ED9C7}"/>
              </c:ext>
            </c:extLst>
          </c:dPt>
          <c:dPt>
            <c:idx val="7"/>
            <c:invertIfNegative val="0"/>
            <c:bubble3D val="0"/>
            <c:extLst>
              <c:ext xmlns:c16="http://schemas.microsoft.com/office/drawing/2014/chart" uri="{C3380CC4-5D6E-409C-BE32-E72D297353CC}">
                <c16:uniqueId val="{00000238-9ED3-4FF8-8DED-3FCA538ED9C7}"/>
              </c:ext>
            </c:extLst>
          </c:dPt>
          <c:dPt>
            <c:idx val="8"/>
            <c:invertIfNegative val="0"/>
            <c:bubble3D val="0"/>
            <c:extLst>
              <c:ext xmlns:c16="http://schemas.microsoft.com/office/drawing/2014/chart" uri="{C3380CC4-5D6E-409C-BE32-E72D297353CC}">
                <c16:uniqueId val="{0000023A-9ED3-4FF8-8DED-3FCA538ED9C7}"/>
              </c:ext>
            </c:extLst>
          </c:dPt>
          <c:dPt>
            <c:idx val="9"/>
            <c:invertIfNegative val="0"/>
            <c:bubble3D val="0"/>
            <c:extLst>
              <c:ext xmlns:c16="http://schemas.microsoft.com/office/drawing/2014/chart" uri="{C3380CC4-5D6E-409C-BE32-E72D297353CC}">
                <c16:uniqueId val="{0000023C-9ED3-4FF8-8DED-3FCA538ED9C7}"/>
              </c:ext>
            </c:extLst>
          </c:dPt>
          <c:dPt>
            <c:idx val="10"/>
            <c:invertIfNegative val="0"/>
            <c:bubble3D val="0"/>
            <c:extLst>
              <c:ext xmlns:c16="http://schemas.microsoft.com/office/drawing/2014/chart" uri="{C3380CC4-5D6E-409C-BE32-E72D297353CC}">
                <c16:uniqueId val="{0000023E-9ED3-4FF8-8DED-3FCA538ED9C7}"/>
              </c:ext>
            </c:extLst>
          </c:dPt>
          <c:dPt>
            <c:idx val="11"/>
            <c:invertIfNegative val="0"/>
            <c:bubble3D val="0"/>
            <c:extLst>
              <c:ext xmlns:c16="http://schemas.microsoft.com/office/drawing/2014/chart" uri="{C3380CC4-5D6E-409C-BE32-E72D297353CC}">
                <c16:uniqueId val="{00000240-9ED3-4FF8-8DED-3FCA538ED9C7}"/>
              </c:ext>
            </c:extLst>
          </c:dPt>
          <c:dPt>
            <c:idx val="12"/>
            <c:invertIfNegative val="0"/>
            <c:bubble3D val="0"/>
            <c:extLst>
              <c:ext xmlns:c16="http://schemas.microsoft.com/office/drawing/2014/chart" uri="{C3380CC4-5D6E-409C-BE32-E72D297353CC}">
                <c16:uniqueId val="{00000242-9ED3-4FF8-8DED-3FCA538ED9C7}"/>
              </c:ext>
            </c:extLst>
          </c:dPt>
          <c:dPt>
            <c:idx val="13"/>
            <c:invertIfNegative val="0"/>
            <c:bubble3D val="0"/>
            <c:extLst>
              <c:ext xmlns:c16="http://schemas.microsoft.com/office/drawing/2014/chart" uri="{C3380CC4-5D6E-409C-BE32-E72D297353CC}">
                <c16:uniqueId val="{00000244-9ED3-4FF8-8DED-3FCA538ED9C7}"/>
              </c:ext>
            </c:extLst>
          </c:dPt>
          <c:dPt>
            <c:idx val="14"/>
            <c:invertIfNegative val="0"/>
            <c:bubble3D val="0"/>
            <c:extLst>
              <c:ext xmlns:c16="http://schemas.microsoft.com/office/drawing/2014/chart" uri="{C3380CC4-5D6E-409C-BE32-E72D297353CC}">
                <c16:uniqueId val="{00000246-9ED3-4FF8-8DED-3FCA538ED9C7}"/>
              </c:ext>
            </c:extLst>
          </c:dPt>
          <c:dPt>
            <c:idx val="15"/>
            <c:invertIfNegative val="0"/>
            <c:bubble3D val="0"/>
            <c:extLst>
              <c:ext xmlns:c16="http://schemas.microsoft.com/office/drawing/2014/chart" uri="{C3380CC4-5D6E-409C-BE32-E72D297353CC}">
                <c16:uniqueId val="{00000248-9ED3-4FF8-8DED-3FCA538ED9C7}"/>
              </c:ext>
            </c:extLst>
          </c:dPt>
          <c:dPt>
            <c:idx val="16"/>
            <c:invertIfNegative val="0"/>
            <c:bubble3D val="0"/>
            <c:extLst>
              <c:ext xmlns:c16="http://schemas.microsoft.com/office/drawing/2014/chart" uri="{C3380CC4-5D6E-409C-BE32-E72D297353CC}">
                <c16:uniqueId val="{0000024A-9ED3-4FF8-8DED-3FCA538ED9C7}"/>
              </c:ext>
            </c:extLst>
          </c:dPt>
          <c:dPt>
            <c:idx val="17"/>
            <c:invertIfNegative val="0"/>
            <c:bubble3D val="0"/>
            <c:extLst>
              <c:ext xmlns:c16="http://schemas.microsoft.com/office/drawing/2014/chart" uri="{C3380CC4-5D6E-409C-BE32-E72D297353CC}">
                <c16:uniqueId val="{0000024C-9ED3-4FF8-8DED-3FCA538ED9C7}"/>
              </c:ext>
            </c:extLst>
          </c:dPt>
          <c:dPt>
            <c:idx val="18"/>
            <c:invertIfNegative val="0"/>
            <c:bubble3D val="0"/>
            <c:extLst>
              <c:ext xmlns:c16="http://schemas.microsoft.com/office/drawing/2014/chart" uri="{C3380CC4-5D6E-409C-BE32-E72D297353CC}">
                <c16:uniqueId val="{0000024E-9ED3-4FF8-8DED-3FCA538ED9C7}"/>
              </c:ext>
            </c:extLst>
          </c:dPt>
          <c:dPt>
            <c:idx val="19"/>
            <c:invertIfNegative val="0"/>
            <c:bubble3D val="0"/>
            <c:extLst>
              <c:ext xmlns:c16="http://schemas.microsoft.com/office/drawing/2014/chart" uri="{C3380CC4-5D6E-409C-BE32-E72D297353CC}">
                <c16:uniqueId val="{00000250-9ED3-4FF8-8DED-3FCA538ED9C7}"/>
              </c:ext>
            </c:extLst>
          </c:dPt>
          <c:dPt>
            <c:idx val="20"/>
            <c:invertIfNegative val="0"/>
            <c:bubble3D val="0"/>
            <c:extLst>
              <c:ext xmlns:c16="http://schemas.microsoft.com/office/drawing/2014/chart" uri="{C3380CC4-5D6E-409C-BE32-E72D297353CC}">
                <c16:uniqueId val="{00000252-9ED3-4FF8-8DED-3FCA538ED9C7}"/>
              </c:ext>
            </c:extLst>
          </c:dPt>
          <c:dPt>
            <c:idx val="21"/>
            <c:invertIfNegative val="0"/>
            <c:bubble3D val="0"/>
            <c:extLst>
              <c:ext xmlns:c16="http://schemas.microsoft.com/office/drawing/2014/chart" uri="{C3380CC4-5D6E-409C-BE32-E72D297353CC}">
                <c16:uniqueId val="{00000254-9ED3-4FF8-8DED-3FCA538ED9C7}"/>
              </c:ext>
            </c:extLst>
          </c:dPt>
          <c:dPt>
            <c:idx val="22"/>
            <c:invertIfNegative val="0"/>
            <c:bubble3D val="0"/>
            <c:extLst>
              <c:ext xmlns:c16="http://schemas.microsoft.com/office/drawing/2014/chart" uri="{C3380CC4-5D6E-409C-BE32-E72D297353CC}">
                <c16:uniqueId val="{00000256-9ED3-4FF8-8DED-3FCA538ED9C7}"/>
              </c:ext>
            </c:extLst>
          </c:dPt>
          <c:dPt>
            <c:idx val="23"/>
            <c:invertIfNegative val="0"/>
            <c:bubble3D val="0"/>
            <c:extLst>
              <c:ext xmlns:c16="http://schemas.microsoft.com/office/drawing/2014/chart" uri="{C3380CC4-5D6E-409C-BE32-E72D297353CC}">
                <c16:uniqueId val="{00000258-9ED3-4FF8-8DED-3FCA538ED9C7}"/>
              </c:ext>
            </c:extLst>
          </c:dPt>
          <c:dPt>
            <c:idx val="24"/>
            <c:invertIfNegative val="0"/>
            <c:bubble3D val="0"/>
            <c:extLst>
              <c:ext xmlns:c16="http://schemas.microsoft.com/office/drawing/2014/chart" uri="{C3380CC4-5D6E-409C-BE32-E72D297353CC}">
                <c16:uniqueId val="{0000025A-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Data'!$C$4:$X$4</c:f>
              <c:numCache>
                <c:formatCode>#,##0_ ;\-#,##0\ </c:formatCode>
                <c:ptCount val="22"/>
                <c:pt idx="0">
                  <c:v>32166.890696543047</c:v>
                </c:pt>
                <c:pt idx="1">
                  <c:v>32229.926367054028</c:v>
                </c:pt>
                <c:pt idx="2">
                  <c:v>32307.405312418683</c:v>
                </c:pt>
                <c:pt idx="3">
                  <c:v>32592.507599193279</c:v>
                </c:pt>
                <c:pt idx="4">
                  <c:v>30131.768956811531</c:v>
                </c:pt>
                <c:pt idx="5">
                  <c:v>27903.305063563246</c:v>
                </c:pt>
                <c:pt idx="6">
                  <c:v>30554.465247540149</c:v>
                </c:pt>
                <c:pt idx="7">
                  <c:v>30066.696897314076</c:v>
                </c:pt>
                <c:pt idx="8">
                  <c:v>26670.009459098797</c:v>
                </c:pt>
                <c:pt idx="9">
                  <c:v>22428.623705001271</c:v>
                </c:pt>
                <c:pt idx="10">
                  <c:v>20698.698279448319</c:v>
                </c:pt>
                <c:pt idx="11">
                  <c:v>20705.065407971419</c:v>
                </c:pt>
                <c:pt idx="12">
                  <c:v>20550.968749561231</c:v>
                </c:pt>
                <c:pt idx="13">
                  <c:v>19932.963499354279</c:v>
                </c:pt>
                <c:pt idx="14">
                  <c:v>14168.84837156803</c:v>
                </c:pt>
                <c:pt idx="15">
                  <c:v>13675.23602094725</c:v>
                </c:pt>
                <c:pt idx="16">
                  <c:v>14140.238748832791</c:v>
                </c:pt>
                <c:pt idx="17">
                  <c:v>14766.0298938632</c:v>
                </c:pt>
                <c:pt idx="18">
                  <c:v>11102.80069681605</c:v>
                </c:pt>
                <c:pt idx="19">
                  <c:v>14764.97679520669</c:v>
                </c:pt>
                <c:pt idx="20">
                  <c:v>12947.190659198381</c:v>
                </c:pt>
                <c:pt idx="21">
                  <c:v>12976.660984021741</c:v>
                </c:pt>
              </c:numCache>
            </c:numRef>
          </c:val>
          <c:extLst>
            <c:ext xmlns:c16="http://schemas.microsoft.com/office/drawing/2014/chart" uri="{C3380CC4-5D6E-409C-BE32-E72D297353CC}">
              <c16:uniqueId val="{0000025B-9ED3-4FF8-8DED-3FCA538ED9C7}"/>
            </c:ext>
          </c:extLst>
        </c:ser>
        <c:ser>
          <c:idx val="2"/>
          <c:order val="2"/>
          <c:tx>
            <c:strRef>
              <c:f>'NEMEnergyGenerated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25E-9ED3-4FF8-8DED-3FCA538ED9C7}"/>
              </c:ext>
            </c:extLst>
          </c:dPt>
          <c:dPt>
            <c:idx val="1"/>
            <c:invertIfNegative val="0"/>
            <c:bubble3D val="0"/>
            <c:extLst>
              <c:ext xmlns:c16="http://schemas.microsoft.com/office/drawing/2014/chart" uri="{C3380CC4-5D6E-409C-BE32-E72D297353CC}">
                <c16:uniqueId val="{00000260-9ED3-4FF8-8DED-3FCA538ED9C7}"/>
              </c:ext>
            </c:extLst>
          </c:dPt>
          <c:dPt>
            <c:idx val="2"/>
            <c:invertIfNegative val="0"/>
            <c:bubble3D val="0"/>
            <c:extLst>
              <c:ext xmlns:c16="http://schemas.microsoft.com/office/drawing/2014/chart" uri="{C3380CC4-5D6E-409C-BE32-E72D297353CC}">
                <c16:uniqueId val="{00000262-9ED3-4FF8-8DED-3FCA538ED9C7}"/>
              </c:ext>
            </c:extLst>
          </c:dPt>
          <c:dPt>
            <c:idx val="3"/>
            <c:invertIfNegative val="0"/>
            <c:bubble3D val="0"/>
            <c:extLst>
              <c:ext xmlns:c16="http://schemas.microsoft.com/office/drawing/2014/chart" uri="{C3380CC4-5D6E-409C-BE32-E72D297353CC}">
                <c16:uniqueId val="{00000264-9ED3-4FF8-8DED-3FCA538ED9C7}"/>
              </c:ext>
            </c:extLst>
          </c:dPt>
          <c:dPt>
            <c:idx val="4"/>
            <c:invertIfNegative val="0"/>
            <c:bubble3D val="0"/>
            <c:extLst>
              <c:ext xmlns:c16="http://schemas.microsoft.com/office/drawing/2014/chart" uri="{C3380CC4-5D6E-409C-BE32-E72D297353CC}">
                <c16:uniqueId val="{00000266-9ED3-4FF8-8DED-3FCA538ED9C7}"/>
              </c:ext>
            </c:extLst>
          </c:dPt>
          <c:dPt>
            <c:idx val="5"/>
            <c:invertIfNegative val="0"/>
            <c:bubble3D val="0"/>
            <c:extLst>
              <c:ext xmlns:c16="http://schemas.microsoft.com/office/drawing/2014/chart" uri="{C3380CC4-5D6E-409C-BE32-E72D297353CC}">
                <c16:uniqueId val="{00000268-9ED3-4FF8-8DED-3FCA538ED9C7}"/>
              </c:ext>
            </c:extLst>
          </c:dPt>
          <c:dPt>
            <c:idx val="6"/>
            <c:invertIfNegative val="0"/>
            <c:bubble3D val="0"/>
            <c:extLst>
              <c:ext xmlns:c16="http://schemas.microsoft.com/office/drawing/2014/chart" uri="{C3380CC4-5D6E-409C-BE32-E72D297353CC}">
                <c16:uniqueId val="{0000026A-9ED3-4FF8-8DED-3FCA538ED9C7}"/>
              </c:ext>
            </c:extLst>
          </c:dPt>
          <c:dPt>
            <c:idx val="7"/>
            <c:invertIfNegative val="0"/>
            <c:bubble3D val="0"/>
            <c:extLst>
              <c:ext xmlns:c16="http://schemas.microsoft.com/office/drawing/2014/chart" uri="{C3380CC4-5D6E-409C-BE32-E72D297353CC}">
                <c16:uniqueId val="{0000026C-9ED3-4FF8-8DED-3FCA538ED9C7}"/>
              </c:ext>
            </c:extLst>
          </c:dPt>
          <c:dPt>
            <c:idx val="8"/>
            <c:invertIfNegative val="0"/>
            <c:bubble3D val="0"/>
            <c:extLst>
              <c:ext xmlns:c16="http://schemas.microsoft.com/office/drawing/2014/chart" uri="{C3380CC4-5D6E-409C-BE32-E72D297353CC}">
                <c16:uniqueId val="{0000026E-9ED3-4FF8-8DED-3FCA538ED9C7}"/>
              </c:ext>
            </c:extLst>
          </c:dPt>
          <c:dPt>
            <c:idx val="9"/>
            <c:invertIfNegative val="0"/>
            <c:bubble3D val="0"/>
            <c:extLst>
              <c:ext xmlns:c16="http://schemas.microsoft.com/office/drawing/2014/chart" uri="{C3380CC4-5D6E-409C-BE32-E72D297353CC}">
                <c16:uniqueId val="{00000270-9ED3-4FF8-8DED-3FCA538ED9C7}"/>
              </c:ext>
            </c:extLst>
          </c:dPt>
          <c:dPt>
            <c:idx val="10"/>
            <c:invertIfNegative val="0"/>
            <c:bubble3D val="0"/>
            <c:extLst>
              <c:ext xmlns:c16="http://schemas.microsoft.com/office/drawing/2014/chart" uri="{C3380CC4-5D6E-409C-BE32-E72D297353CC}">
                <c16:uniqueId val="{00000272-9ED3-4FF8-8DED-3FCA538ED9C7}"/>
              </c:ext>
            </c:extLst>
          </c:dPt>
          <c:dPt>
            <c:idx val="11"/>
            <c:invertIfNegative val="0"/>
            <c:bubble3D val="0"/>
            <c:extLst>
              <c:ext xmlns:c16="http://schemas.microsoft.com/office/drawing/2014/chart" uri="{C3380CC4-5D6E-409C-BE32-E72D297353CC}">
                <c16:uniqueId val="{00000274-9ED3-4FF8-8DED-3FCA538ED9C7}"/>
              </c:ext>
            </c:extLst>
          </c:dPt>
          <c:dPt>
            <c:idx val="12"/>
            <c:invertIfNegative val="0"/>
            <c:bubble3D val="0"/>
            <c:extLst>
              <c:ext xmlns:c16="http://schemas.microsoft.com/office/drawing/2014/chart" uri="{C3380CC4-5D6E-409C-BE32-E72D297353CC}">
                <c16:uniqueId val="{00000276-9ED3-4FF8-8DED-3FCA538ED9C7}"/>
              </c:ext>
            </c:extLst>
          </c:dPt>
          <c:dPt>
            <c:idx val="13"/>
            <c:invertIfNegative val="0"/>
            <c:bubble3D val="0"/>
            <c:extLst>
              <c:ext xmlns:c16="http://schemas.microsoft.com/office/drawing/2014/chart" uri="{C3380CC4-5D6E-409C-BE32-E72D297353CC}">
                <c16:uniqueId val="{00000278-9ED3-4FF8-8DED-3FCA538ED9C7}"/>
              </c:ext>
            </c:extLst>
          </c:dPt>
          <c:dPt>
            <c:idx val="14"/>
            <c:invertIfNegative val="0"/>
            <c:bubble3D val="0"/>
            <c:extLst>
              <c:ext xmlns:c16="http://schemas.microsoft.com/office/drawing/2014/chart" uri="{C3380CC4-5D6E-409C-BE32-E72D297353CC}">
                <c16:uniqueId val="{0000027A-9ED3-4FF8-8DED-3FCA538ED9C7}"/>
              </c:ext>
            </c:extLst>
          </c:dPt>
          <c:dPt>
            <c:idx val="15"/>
            <c:invertIfNegative val="0"/>
            <c:bubble3D val="0"/>
            <c:extLst>
              <c:ext xmlns:c16="http://schemas.microsoft.com/office/drawing/2014/chart" uri="{C3380CC4-5D6E-409C-BE32-E72D297353CC}">
                <c16:uniqueId val="{0000027C-9ED3-4FF8-8DED-3FCA538ED9C7}"/>
              </c:ext>
            </c:extLst>
          </c:dPt>
          <c:dPt>
            <c:idx val="16"/>
            <c:invertIfNegative val="0"/>
            <c:bubble3D val="0"/>
            <c:extLst>
              <c:ext xmlns:c16="http://schemas.microsoft.com/office/drawing/2014/chart" uri="{C3380CC4-5D6E-409C-BE32-E72D297353CC}">
                <c16:uniqueId val="{0000027E-9ED3-4FF8-8DED-3FCA538ED9C7}"/>
              </c:ext>
            </c:extLst>
          </c:dPt>
          <c:dPt>
            <c:idx val="17"/>
            <c:invertIfNegative val="0"/>
            <c:bubble3D val="0"/>
            <c:extLst>
              <c:ext xmlns:c16="http://schemas.microsoft.com/office/drawing/2014/chart" uri="{C3380CC4-5D6E-409C-BE32-E72D297353CC}">
                <c16:uniqueId val="{00000280-9ED3-4FF8-8DED-3FCA538ED9C7}"/>
              </c:ext>
            </c:extLst>
          </c:dPt>
          <c:dPt>
            <c:idx val="18"/>
            <c:invertIfNegative val="0"/>
            <c:bubble3D val="0"/>
            <c:extLst>
              <c:ext xmlns:c16="http://schemas.microsoft.com/office/drawing/2014/chart" uri="{C3380CC4-5D6E-409C-BE32-E72D297353CC}">
                <c16:uniqueId val="{00000282-9ED3-4FF8-8DED-3FCA538ED9C7}"/>
              </c:ext>
            </c:extLst>
          </c:dPt>
          <c:dPt>
            <c:idx val="19"/>
            <c:invertIfNegative val="0"/>
            <c:bubble3D val="0"/>
            <c:extLst>
              <c:ext xmlns:c16="http://schemas.microsoft.com/office/drawing/2014/chart" uri="{C3380CC4-5D6E-409C-BE32-E72D297353CC}">
                <c16:uniqueId val="{00000284-9ED3-4FF8-8DED-3FCA538ED9C7}"/>
              </c:ext>
            </c:extLst>
          </c:dPt>
          <c:dPt>
            <c:idx val="20"/>
            <c:invertIfNegative val="0"/>
            <c:bubble3D val="0"/>
            <c:extLst>
              <c:ext xmlns:c16="http://schemas.microsoft.com/office/drawing/2014/chart" uri="{C3380CC4-5D6E-409C-BE32-E72D297353CC}">
                <c16:uniqueId val="{00000286-9ED3-4FF8-8DED-3FCA538ED9C7}"/>
              </c:ext>
            </c:extLst>
          </c:dPt>
          <c:dPt>
            <c:idx val="21"/>
            <c:invertIfNegative val="0"/>
            <c:bubble3D val="0"/>
            <c:extLst>
              <c:ext xmlns:c16="http://schemas.microsoft.com/office/drawing/2014/chart" uri="{C3380CC4-5D6E-409C-BE32-E72D297353CC}">
                <c16:uniqueId val="{00000288-9ED3-4FF8-8DED-3FCA538ED9C7}"/>
              </c:ext>
            </c:extLst>
          </c:dPt>
          <c:dPt>
            <c:idx val="22"/>
            <c:invertIfNegative val="0"/>
            <c:bubble3D val="0"/>
            <c:extLst>
              <c:ext xmlns:c16="http://schemas.microsoft.com/office/drawing/2014/chart" uri="{C3380CC4-5D6E-409C-BE32-E72D297353CC}">
                <c16:uniqueId val="{0000028A-9ED3-4FF8-8DED-3FCA538ED9C7}"/>
              </c:ext>
            </c:extLst>
          </c:dPt>
          <c:dPt>
            <c:idx val="23"/>
            <c:invertIfNegative val="0"/>
            <c:bubble3D val="0"/>
            <c:extLst>
              <c:ext xmlns:c16="http://schemas.microsoft.com/office/drawing/2014/chart" uri="{C3380CC4-5D6E-409C-BE32-E72D297353CC}">
                <c16:uniqueId val="{0000028C-9ED3-4FF8-8DED-3FCA538ED9C7}"/>
              </c:ext>
            </c:extLst>
          </c:dPt>
          <c:dPt>
            <c:idx val="24"/>
            <c:invertIfNegative val="0"/>
            <c:bubble3D val="0"/>
            <c:extLst>
              <c:ext xmlns:c16="http://schemas.microsoft.com/office/drawing/2014/chart" uri="{C3380CC4-5D6E-409C-BE32-E72D297353CC}">
                <c16:uniqueId val="{0000028E-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Data'!$C$5:$X$5</c:f>
              <c:numCache>
                <c:formatCode>#,##0_ ;\-#,##0\ </c:formatCode>
                <c:ptCount val="22"/>
                <c:pt idx="0">
                  <c:v>15797.1507984491</c:v>
                </c:pt>
                <c:pt idx="1">
                  <c:v>15840.43066365005</c:v>
                </c:pt>
                <c:pt idx="2">
                  <c:v>15797.150798448931</c:v>
                </c:pt>
                <c:pt idx="3">
                  <c:v>15797.150798448993</c:v>
                </c:pt>
                <c:pt idx="4">
                  <c:v>15797.150798449202</c:v>
                </c:pt>
                <c:pt idx="5">
                  <c:v>15840.430663650352</c:v>
                </c:pt>
                <c:pt idx="6">
                  <c:v>15729.268557402822</c:v>
                </c:pt>
                <c:pt idx="7">
                  <c:v>15797.150798448321</c:v>
                </c:pt>
                <c:pt idx="8">
                  <c:v>15797.150798449609</c:v>
                </c:pt>
                <c:pt idx="9">
                  <c:v>15840.430663650302</c:v>
                </c:pt>
                <c:pt idx="10">
                  <c:v>15797.150798449051</c:v>
                </c:pt>
                <c:pt idx="11">
                  <c:v>15797.150798448878</c:v>
                </c:pt>
                <c:pt idx="12">
                  <c:v>15797.150798448834</c:v>
                </c:pt>
                <c:pt idx="13">
                  <c:v>15840.430663650171</c:v>
                </c:pt>
                <c:pt idx="14">
                  <c:v>15797.150798448962</c:v>
                </c:pt>
                <c:pt idx="15">
                  <c:v>15797.150798448944</c:v>
                </c:pt>
                <c:pt idx="16">
                  <c:v>15797.150798448973</c:v>
                </c:pt>
                <c:pt idx="17">
                  <c:v>15840.430663650051</c:v>
                </c:pt>
                <c:pt idx="18">
                  <c:v>15797.150798449014</c:v>
                </c:pt>
                <c:pt idx="19">
                  <c:v>15797.150798449031</c:v>
                </c:pt>
                <c:pt idx="20">
                  <c:v>15797.150798449073</c:v>
                </c:pt>
                <c:pt idx="21">
                  <c:v>15840.430663650162</c:v>
                </c:pt>
              </c:numCache>
            </c:numRef>
          </c:val>
          <c:extLst>
            <c:ext xmlns:c16="http://schemas.microsoft.com/office/drawing/2014/chart" uri="{C3380CC4-5D6E-409C-BE32-E72D297353CC}">
              <c16:uniqueId val="{0000028F-9ED3-4FF8-8DED-3FCA538ED9C7}"/>
            </c:ext>
          </c:extLst>
        </c:ser>
        <c:ser>
          <c:idx val="3"/>
          <c:order val="3"/>
          <c:tx>
            <c:strRef>
              <c:f>'NEMEnergyGenerated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291-9ED3-4FF8-8DED-3FCA538ED9C7}"/>
              </c:ext>
            </c:extLst>
          </c:dPt>
          <c:dPt>
            <c:idx val="1"/>
            <c:invertIfNegative val="0"/>
            <c:bubble3D val="0"/>
            <c:extLst>
              <c:ext xmlns:c16="http://schemas.microsoft.com/office/drawing/2014/chart" uri="{C3380CC4-5D6E-409C-BE32-E72D297353CC}">
                <c16:uniqueId val="{00000292-9ED3-4FF8-8DED-3FCA538ED9C7}"/>
              </c:ext>
            </c:extLst>
          </c:dPt>
          <c:dPt>
            <c:idx val="2"/>
            <c:invertIfNegative val="0"/>
            <c:bubble3D val="0"/>
            <c:extLst>
              <c:ext xmlns:c16="http://schemas.microsoft.com/office/drawing/2014/chart" uri="{C3380CC4-5D6E-409C-BE32-E72D297353CC}">
                <c16:uniqueId val="{00000293-9ED3-4FF8-8DED-3FCA538ED9C7}"/>
              </c:ext>
            </c:extLst>
          </c:dPt>
          <c:dPt>
            <c:idx val="3"/>
            <c:invertIfNegative val="0"/>
            <c:bubble3D val="0"/>
            <c:extLst>
              <c:ext xmlns:c16="http://schemas.microsoft.com/office/drawing/2014/chart" uri="{C3380CC4-5D6E-409C-BE32-E72D297353CC}">
                <c16:uniqueId val="{00000294-9ED3-4FF8-8DED-3FCA538ED9C7}"/>
              </c:ext>
            </c:extLst>
          </c:dPt>
          <c:dPt>
            <c:idx val="4"/>
            <c:invertIfNegative val="0"/>
            <c:bubble3D val="0"/>
            <c:extLst>
              <c:ext xmlns:c16="http://schemas.microsoft.com/office/drawing/2014/chart" uri="{C3380CC4-5D6E-409C-BE32-E72D297353CC}">
                <c16:uniqueId val="{00000295-9ED3-4FF8-8DED-3FCA538ED9C7}"/>
              </c:ext>
            </c:extLst>
          </c:dPt>
          <c:dPt>
            <c:idx val="5"/>
            <c:invertIfNegative val="0"/>
            <c:bubble3D val="0"/>
            <c:extLst>
              <c:ext xmlns:c16="http://schemas.microsoft.com/office/drawing/2014/chart" uri="{C3380CC4-5D6E-409C-BE32-E72D297353CC}">
                <c16:uniqueId val="{00000296-9ED3-4FF8-8DED-3FCA538ED9C7}"/>
              </c:ext>
            </c:extLst>
          </c:dPt>
          <c:dPt>
            <c:idx val="6"/>
            <c:invertIfNegative val="0"/>
            <c:bubble3D val="0"/>
            <c:extLst>
              <c:ext xmlns:c16="http://schemas.microsoft.com/office/drawing/2014/chart" uri="{C3380CC4-5D6E-409C-BE32-E72D297353CC}">
                <c16:uniqueId val="{00000297-9ED3-4FF8-8DED-3FCA538ED9C7}"/>
              </c:ext>
            </c:extLst>
          </c:dPt>
          <c:dPt>
            <c:idx val="7"/>
            <c:invertIfNegative val="0"/>
            <c:bubble3D val="0"/>
            <c:extLst>
              <c:ext xmlns:c16="http://schemas.microsoft.com/office/drawing/2014/chart" uri="{C3380CC4-5D6E-409C-BE32-E72D297353CC}">
                <c16:uniqueId val="{00000298-9ED3-4FF8-8DED-3FCA538ED9C7}"/>
              </c:ext>
            </c:extLst>
          </c:dPt>
          <c:dPt>
            <c:idx val="8"/>
            <c:invertIfNegative val="0"/>
            <c:bubble3D val="0"/>
            <c:extLst>
              <c:ext xmlns:c16="http://schemas.microsoft.com/office/drawing/2014/chart" uri="{C3380CC4-5D6E-409C-BE32-E72D297353CC}">
                <c16:uniqueId val="{00000299-9ED3-4FF8-8DED-3FCA538ED9C7}"/>
              </c:ext>
            </c:extLst>
          </c:dPt>
          <c:dPt>
            <c:idx val="9"/>
            <c:invertIfNegative val="0"/>
            <c:bubble3D val="0"/>
            <c:extLst>
              <c:ext xmlns:c16="http://schemas.microsoft.com/office/drawing/2014/chart" uri="{C3380CC4-5D6E-409C-BE32-E72D297353CC}">
                <c16:uniqueId val="{0000029A-9ED3-4FF8-8DED-3FCA538ED9C7}"/>
              </c:ext>
            </c:extLst>
          </c:dPt>
          <c:dPt>
            <c:idx val="10"/>
            <c:invertIfNegative val="0"/>
            <c:bubble3D val="0"/>
            <c:extLst>
              <c:ext xmlns:c16="http://schemas.microsoft.com/office/drawing/2014/chart" uri="{C3380CC4-5D6E-409C-BE32-E72D297353CC}">
                <c16:uniqueId val="{0000029B-9ED3-4FF8-8DED-3FCA538ED9C7}"/>
              </c:ext>
            </c:extLst>
          </c:dPt>
          <c:dPt>
            <c:idx val="11"/>
            <c:invertIfNegative val="0"/>
            <c:bubble3D val="0"/>
            <c:extLst>
              <c:ext xmlns:c16="http://schemas.microsoft.com/office/drawing/2014/chart" uri="{C3380CC4-5D6E-409C-BE32-E72D297353CC}">
                <c16:uniqueId val="{0000029C-9ED3-4FF8-8DED-3FCA538ED9C7}"/>
              </c:ext>
            </c:extLst>
          </c:dPt>
          <c:dPt>
            <c:idx val="12"/>
            <c:invertIfNegative val="0"/>
            <c:bubble3D val="0"/>
            <c:extLst>
              <c:ext xmlns:c16="http://schemas.microsoft.com/office/drawing/2014/chart" uri="{C3380CC4-5D6E-409C-BE32-E72D297353CC}">
                <c16:uniqueId val="{0000029D-9ED3-4FF8-8DED-3FCA538ED9C7}"/>
              </c:ext>
            </c:extLst>
          </c:dPt>
          <c:dPt>
            <c:idx val="13"/>
            <c:invertIfNegative val="0"/>
            <c:bubble3D val="0"/>
            <c:extLst>
              <c:ext xmlns:c16="http://schemas.microsoft.com/office/drawing/2014/chart" uri="{C3380CC4-5D6E-409C-BE32-E72D297353CC}">
                <c16:uniqueId val="{0000029E-9ED3-4FF8-8DED-3FCA538ED9C7}"/>
              </c:ext>
            </c:extLst>
          </c:dPt>
          <c:dPt>
            <c:idx val="14"/>
            <c:invertIfNegative val="0"/>
            <c:bubble3D val="0"/>
            <c:extLst>
              <c:ext xmlns:c16="http://schemas.microsoft.com/office/drawing/2014/chart" uri="{C3380CC4-5D6E-409C-BE32-E72D297353CC}">
                <c16:uniqueId val="{0000029F-9ED3-4FF8-8DED-3FCA538ED9C7}"/>
              </c:ext>
            </c:extLst>
          </c:dPt>
          <c:dPt>
            <c:idx val="15"/>
            <c:invertIfNegative val="0"/>
            <c:bubble3D val="0"/>
            <c:extLst>
              <c:ext xmlns:c16="http://schemas.microsoft.com/office/drawing/2014/chart" uri="{C3380CC4-5D6E-409C-BE32-E72D297353CC}">
                <c16:uniqueId val="{000002A0-9ED3-4FF8-8DED-3FCA538ED9C7}"/>
              </c:ext>
            </c:extLst>
          </c:dPt>
          <c:dPt>
            <c:idx val="16"/>
            <c:invertIfNegative val="0"/>
            <c:bubble3D val="0"/>
            <c:extLst>
              <c:ext xmlns:c16="http://schemas.microsoft.com/office/drawing/2014/chart" uri="{C3380CC4-5D6E-409C-BE32-E72D297353CC}">
                <c16:uniqueId val="{000002A1-9ED3-4FF8-8DED-3FCA538ED9C7}"/>
              </c:ext>
            </c:extLst>
          </c:dPt>
          <c:dPt>
            <c:idx val="17"/>
            <c:invertIfNegative val="0"/>
            <c:bubble3D val="0"/>
            <c:extLst>
              <c:ext xmlns:c16="http://schemas.microsoft.com/office/drawing/2014/chart" uri="{C3380CC4-5D6E-409C-BE32-E72D297353CC}">
                <c16:uniqueId val="{000002A2-9ED3-4FF8-8DED-3FCA538ED9C7}"/>
              </c:ext>
            </c:extLst>
          </c:dPt>
          <c:dPt>
            <c:idx val="18"/>
            <c:invertIfNegative val="0"/>
            <c:bubble3D val="0"/>
            <c:extLst>
              <c:ext xmlns:c16="http://schemas.microsoft.com/office/drawing/2014/chart" uri="{C3380CC4-5D6E-409C-BE32-E72D297353CC}">
                <c16:uniqueId val="{000002A3-9ED3-4FF8-8DED-3FCA538ED9C7}"/>
              </c:ext>
            </c:extLst>
          </c:dPt>
          <c:dPt>
            <c:idx val="19"/>
            <c:invertIfNegative val="0"/>
            <c:bubble3D val="0"/>
            <c:extLst>
              <c:ext xmlns:c16="http://schemas.microsoft.com/office/drawing/2014/chart" uri="{C3380CC4-5D6E-409C-BE32-E72D297353CC}">
                <c16:uniqueId val="{000002A4-9ED3-4FF8-8DED-3FCA538ED9C7}"/>
              </c:ext>
            </c:extLst>
          </c:dPt>
          <c:dPt>
            <c:idx val="20"/>
            <c:invertIfNegative val="0"/>
            <c:bubble3D val="0"/>
            <c:extLst>
              <c:ext xmlns:c16="http://schemas.microsoft.com/office/drawing/2014/chart" uri="{C3380CC4-5D6E-409C-BE32-E72D297353CC}">
                <c16:uniqueId val="{000002A5-9ED3-4FF8-8DED-3FCA538ED9C7}"/>
              </c:ext>
            </c:extLst>
          </c:dPt>
          <c:dPt>
            <c:idx val="21"/>
            <c:invertIfNegative val="0"/>
            <c:bubble3D val="0"/>
            <c:extLst>
              <c:ext xmlns:c16="http://schemas.microsoft.com/office/drawing/2014/chart" uri="{C3380CC4-5D6E-409C-BE32-E72D297353CC}">
                <c16:uniqueId val="{000002A6-9ED3-4FF8-8DED-3FCA538ED9C7}"/>
              </c:ext>
            </c:extLst>
          </c:dPt>
          <c:dPt>
            <c:idx val="22"/>
            <c:invertIfNegative val="0"/>
            <c:bubble3D val="0"/>
            <c:extLst>
              <c:ext xmlns:c16="http://schemas.microsoft.com/office/drawing/2014/chart" uri="{C3380CC4-5D6E-409C-BE32-E72D297353CC}">
                <c16:uniqueId val="{000002A7-9ED3-4FF8-8DED-3FCA538ED9C7}"/>
              </c:ext>
            </c:extLst>
          </c:dPt>
          <c:dPt>
            <c:idx val="23"/>
            <c:invertIfNegative val="0"/>
            <c:bubble3D val="0"/>
            <c:extLst>
              <c:ext xmlns:c16="http://schemas.microsoft.com/office/drawing/2014/chart" uri="{C3380CC4-5D6E-409C-BE32-E72D297353CC}">
                <c16:uniqueId val="{000002A8-9ED3-4FF8-8DED-3FCA538ED9C7}"/>
              </c:ext>
            </c:extLst>
          </c:dPt>
          <c:dPt>
            <c:idx val="24"/>
            <c:invertIfNegative val="0"/>
            <c:bubble3D val="0"/>
            <c:extLst>
              <c:ext xmlns:c16="http://schemas.microsoft.com/office/drawing/2014/chart" uri="{C3380CC4-5D6E-409C-BE32-E72D297353CC}">
                <c16:uniqueId val="{000002A9-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Data'!$C$6:$X$6</c:f>
              <c:numCache>
                <c:formatCode>#,##0_ ;\-#,##0\ </c:formatCode>
                <c:ptCount val="22"/>
                <c:pt idx="0">
                  <c:v>16918</c:v>
                </c:pt>
                <c:pt idx="1">
                  <c:v>11341</c:v>
                </c:pt>
                <c:pt idx="2">
                  <c:v>11128</c:v>
                </c:pt>
                <c:pt idx="3">
                  <c:v>8642</c:v>
                </c:pt>
                <c:pt idx="4">
                  <c:v>11162</c:v>
                </c:pt>
                <c:pt idx="5">
                  <c:v>10573</c:v>
                </c:pt>
                <c:pt idx="6">
                  <c:v>5574</c:v>
                </c:pt>
                <c:pt idx="7">
                  <c:v>6047</c:v>
                </c:pt>
                <c:pt idx="8">
                  <c:v>7692</c:v>
                </c:pt>
                <c:pt idx="9">
                  <c:v>6682</c:v>
                </c:pt>
                <c:pt idx="10">
                  <c:v>7714</c:v>
                </c:pt>
                <c:pt idx="11">
                  <c:v>7736</c:v>
                </c:pt>
                <c:pt idx="12">
                  <c:v>6117</c:v>
                </c:pt>
                <c:pt idx="13">
                  <c:v>6124</c:v>
                </c:pt>
                <c:pt idx="14">
                  <c:v>6338</c:v>
                </c:pt>
                <c:pt idx="15">
                  <c:v>6721</c:v>
                </c:pt>
                <c:pt idx="16">
                  <c:v>6944</c:v>
                </c:pt>
                <c:pt idx="17">
                  <c:v>9796</c:v>
                </c:pt>
                <c:pt idx="18">
                  <c:v>10945</c:v>
                </c:pt>
                <c:pt idx="19">
                  <c:v>10338</c:v>
                </c:pt>
                <c:pt idx="20">
                  <c:v>10052</c:v>
                </c:pt>
                <c:pt idx="21">
                  <c:v>8404</c:v>
                </c:pt>
              </c:numCache>
            </c:numRef>
          </c:val>
          <c:extLst>
            <c:ext xmlns:c16="http://schemas.microsoft.com/office/drawing/2014/chart" uri="{C3380CC4-5D6E-409C-BE32-E72D297353CC}">
              <c16:uniqueId val="{000002AA-9ED3-4FF8-8DED-3FCA538ED9C7}"/>
            </c:ext>
          </c:extLst>
        </c:ser>
        <c:ser>
          <c:idx val="4"/>
          <c:order val="4"/>
          <c:tx>
            <c:strRef>
              <c:f>'NEMEnergyGenerated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2AD-9ED3-4FF8-8DED-3FCA538ED9C7}"/>
              </c:ext>
            </c:extLst>
          </c:dPt>
          <c:dPt>
            <c:idx val="1"/>
            <c:invertIfNegative val="0"/>
            <c:bubble3D val="0"/>
            <c:extLst>
              <c:ext xmlns:c16="http://schemas.microsoft.com/office/drawing/2014/chart" uri="{C3380CC4-5D6E-409C-BE32-E72D297353CC}">
                <c16:uniqueId val="{000002AF-9ED3-4FF8-8DED-3FCA538ED9C7}"/>
              </c:ext>
            </c:extLst>
          </c:dPt>
          <c:dPt>
            <c:idx val="2"/>
            <c:invertIfNegative val="0"/>
            <c:bubble3D val="0"/>
            <c:extLst>
              <c:ext xmlns:c16="http://schemas.microsoft.com/office/drawing/2014/chart" uri="{C3380CC4-5D6E-409C-BE32-E72D297353CC}">
                <c16:uniqueId val="{000002B1-9ED3-4FF8-8DED-3FCA538ED9C7}"/>
              </c:ext>
            </c:extLst>
          </c:dPt>
          <c:dPt>
            <c:idx val="3"/>
            <c:invertIfNegative val="0"/>
            <c:bubble3D val="0"/>
            <c:extLst>
              <c:ext xmlns:c16="http://schemas.microsoft.com/office/drawing/2014/chart" uri="{C3380CC4-5D6E-409C-BE32-E72D297353CC}">
                <c16:uniqueId val="{000002B3-9ED3-4FF8-8DED-3FCA538ED9C7}"/>
              </c:ext>
            </c:extLst>
          </c:dPt>
          <c:dPt>
            <c:idx val="4"/>
            <c:invertIfNegative val="0"/>
            <c:bubble3D val="0"/>
            <c:extLst>
              <c:ext xmlns:c16="http://schemas.microsoft.com/office/drawing/2014/chart" uri="{C3380CC4-5D6E-409C-BE32-E72D297353CC}">
                <c16:uniqueId val="{000002B5-9ED3-4FF8-8DED-3FCA538ED9C7}"/>
              </c:ext>
            </c:extLst>
          </c:dPt>
          <c:dPt>
            <c:idx val="5"/>
            <c:invertIfNegative val="0"/>
            <c:bubble3D val="0"/>
            <c:extLst>
              <c:ext xmlns:c16="http://schemas.microsoft.com/office/drawing/2014/chart" uri="{C3380CC4-5D6E-409C-BE32-E72D297353CC}">
                <c16:uniqueId val="{000002B7-9ED3-4FF8-8DED-3FCA538ED9C7}"/>
              </c:ext>
            </c:extLst>
          </c:dPt>
          <c:dPt>
            <c:idx val="6"/>
            <c:invertIfNegative val="0"/>
            <c:bubble3D val="0"/>
            <c:extLst>
              <c:ext xmlns:c16="http://schemas.microsoft.com/office/drawing/2014/chart" uri="{C3380CC4-5D6E-409C-BE32-E72D297353CC}">
                <c16:uniqueId val="{000002B9-9ED3-4FF8-8DED-3FCA538ED9C7}"/>
              </c:ext>
            </c:extLst>
          </c:dPt>
          <c:dPt>
            <c:idx val="7"/>
            <c:invertIfNegative val="0"/>
            <c:bubble3D val="0"/>
            <c:extLst>
              <c:ext xmlns:c16="http://schemas.microsoft.com/office/drawing/2014/chart" uri="{C3380CC4-5D6E-409C-BE32-E72D297353CC}">
                <c16:uniqueId val="{000002BB-9ED3-4FF8-8DED-3FCA538ED9C7}"/>
              </c:ext>
            </c:extLst>
          </c:dPt>
          <c:dPt>
            <c:idx val="8"/>
            <c:invertIfNegative val="0"/>
            <c:bubble3D val="0"/>
            <c:extLst>
              <c:ext xmlns:c16="http://schemas.microsoft.com/office/drawing/2014/chart" uri="{C3380CC4-5D6E-409C-BE32-E72D297353CC}">
                <c16:uniqueId val="{000002BD-9ED3-4FF8-8DED-3FCA538ED9C7}"/>
              </c:ext>
            </c:extLst>
          </c:dPt>
          <c:dPt>
            <c:idx val="9"/>
            <c:invertIfNegative val="0"/>
            <c:bubble3D val="0"/>
            <c:extLst>
              <c:ext xmlns:c16="http://schemas.microsoft.com/office/drawing/2014/chart" uri="{C3380CC4-5D6E-409C-BE32-E72D297353CC}">
                <c16:uniqueId val="{000002BF-9ED3-4FF8-8DED-3FCA538ED9C7}"/>
              </c:ext>
            </c:extLst>
          </c:dPt>
          <c:dPt>
            <c:idx val="10"/>
            <c:invertIfNegative val="0"/>
            <c:bubble3D val="0"/>
            <c:extLst>
              <c:ext xmlns:c16="http://schemas.microsoft.com/office/drawing/2014/chart" uri="{C3380CC4-5D6E-409C-BE32-E72D297353CC}">
                <c16:uniqueId val="{000002C1-9ED3-4FF8-8DED-3FCA538ED9C7}"/>
              </c:ext>
            </c:extLst>
          </c:dPt>
          <c:dPt>
            <c:idx val="11"/>
            <c:invertIfNegative val="0"/>
            <c:bubble3D val="0"/>
            <c:extLst>
              <c:ext xmlns:c16="http://schemas.microsoft.com/office/drawing/2014/chart" uri="{C3380CC4-5D6E-409C-BE32-E72D297353CC}">
                <c16:uniqueId val="{000002C3-9ED3-4FF8-8DED-3FCA538ED9C7}"/>
              </c:ext>
            </c:extLst>
          </c:dPt>
          <c:dPt>
            <c:idx val="12"/>
            <c:invertIfNegative val="0"/>
            <c:bubble3D val="0"/>
            <c:extLst>
              <c:ext xmlns:c16="http://schemas.microsoft.com/office/drawing/2014/chart" uri="{C3380CC4-5D6E-409C-BE32-E72D297353CC}">
                <c16:uniqueId val="{000002C5-9ED3-4FF8-8DED-3FCA538ED9C7}"/>
              </c:ext>
            </c:extLst>
          </c:dPt>
          <c:dPt>
            <c:idx val="13"/>
            <c:invertIfNegative val="0"/>
            <c:bubble3D val="0"/>
            <c:extLst>
              <c:ext xmlns:c16="http://schemas.microsoft.com/office/drawing/2014/chart" uri="{C3380CC4-5D6E-409C-BE32-E72D297353CC}">
                <c16:uniqueId val="{000002C7-9ED3-4FF8-8DED-3FCA538ED9C7}"/>
              </c:ext>
            </c:extLst>
          </c:dPt>
          <c:dPt>
            <c:idx val="14"/>
            <c:invertIfNegative val="0"/>
            <c:bubble3D val="0"/>
            <c:extLst>
              <c:ext xmlns:c16="http://schemas.microsoft.com/office/drawing/2014/chart" uri="{C3380CC4-5D6E-409C-BE32-E72D297353CC}">
                <c16:uniqueId val="{000002C9-9ED3-4FF8-8DED-3FCA538ED9C7}"/>
              </c:ext>
            </c:extLst>
          </c:dPt>
          <c:dPt>
            <c:idx val="15"/>
            <c:invertIfNegative val="0"/>
            <c:bubble3D val="0"/>
            <c:extLst>
              <c:ext xmlns:c16="http://schemas.microsoft.com/office/drawing/2014/chart" uri="{C3380CC4-5D6E-409C-BE32-E72D297353CC}">
                <c16:uniqueId val="{000002CB-9ED3-4FF8-8DED-3FCA538ED9C7}"/>
              </c:ext>
            </c:extLst>
          </c:dPt>
          <c:dPt>
            <c:idx val="16"/>
            <c:invertIfNegative val="0"/>
            <c:bubble3D val="0"/>
            <c:extLst>
              <c:ext xmlns:c16="http://schemas.microsoft.com/office/drawing/2014/chart" uri="{C3380CC4-5D6E-409C-BE32-E72D297353CC}">
                <c16:uniqueId val="{000002CD-9ED3-4FF8-8DED-3FCA538ED9C7}"/>
              </c:ext>
            </c:extLst>
          </c:dPt>
          <c:dPt>
            <c:idx val="17"/>
            <c:invertIfNegative val="0"/>
            <c:bubble3D val="0"/>
            <c:extLst>
              <c:ext xmlns:c16="http://schemas.microsoft.com/office/drawing/2014/chart" uri="{C3380CC4-5D6E-409C-BE32-E72D297353CC}">
                <c16:uniqueId val="{000002CF-9ED3-4FF8-8DED-3FCA538ED9C7}"/>
              </c:ext>
            </c:extLst>
          </c:dPt>
          <c:dPt>
            <c:idx val="18"/>
            <c:invertIfNegative val="0"/>
            <c:bubble3D val="0"/>
            <c:extLst>
              <c:ext xmlns:c16="http://schemas.microsoft.com/office/drawing/2014/chart" uri="{C3380CC4-5D6E-409C-BE32-E72D297353CC}">
                <c16:uniqueId val="{000002D1-9ED3-4FF8-8DED-3FCA538ED9C7}"/>
              </c:ext>
            </c:extLst>
          </c:dPt>
          <c:dPt>
            <c:idx val="19"/>
            <c:invertIfNegative val="0"/>
            <c:bubble3D val="0"/>
            <c:extLst>
              <c:ext xmlns:c16="http://schemas.microsoft.com/office/drawing/2014/chart" uri="{C3380CC4-5D6E-409C-BE32-E72D297353CC}">
                <c16:uniqueId val="{000002D3-9ED3-4FF8-8DED-3FCA538ED9C7}"/>
              </c:ext>
            </c:extLst>
          </c:dPt>
          <c:dPt>
            <c:idx val="20"/>
            <c:invertIfNegative val="0"/>
            <c:bubble3D val="0"/>
            <c:extLst>
              <c:ext xmlns:c16="http://schemas.microsoft.com/office/drawing/2014/chart" uri="{C3380CC4-5D6E-409C-BE32-E72D297353CC}">
                <c16:uniqueId val="{000002D5-9ED3-4FF8-8DED-3FCA538ED9C7}"/>
              </c:ext>
            </c:extLst>
          </c:dPt>
          <c:dPt>
            <c:idx val="21"/>
            <c:invertIfNegative val="0"/>
            <c:bubble3D val="0"/>
            <c:extLst>
              <c:ext xmlns:c16="http://schemas.microsoft.com/office/drawing/2014/chart" uri="{C3380CC4-5D6E-409C-BE32-E72D297353CC}">
                <c16:uniqueId val="{000002D7-9ED3-4FF8-8DED-3FCA538ED9C7}"/>
              </c:ext>
            </c:extLst>
          </c:dPt>
          <c:dPt>
            <c:idx val="22"/>
            <c:invertIfNegative val="0"/>
            <c:bubble3D val="0"/>
            <c:extLst>
              <c:ext xmlns:c16="http://schemas.microsoft.com/office/drawing/2014/chart" uri="{C3380CC4-5D6E-409C-BE32-E72D297353CC}">
                <c16:uniqueId val="{000002D9-9ED3-4FF8-8DED-3FCA538ED9C7}"/>
              </c:ext>
            </c:extLst>
          </c:dPt>
          <c:dPt>
            <c:idx val="23"/>
            <c:invertIfNegative val="0"/>
            <c:bubble3D val="0"/>
            <c:extLst>
              <c:ext xmlns:c16="http://schemas.microsoft.com/office/drawing/2014/chart" uri="{C3380CC4-5D6E-409C-BE32-E72D297353CC}">
                <c16:uniqueId val="{000002DB-9ED3-4FF8-8DED-3FCA538ED9C7}"/>
              </c:ext>
            </c:extLst>
          </c:dPt>
          <c:dPt>
            <c:idx val="24"/>
            <c:invertIfNegative val="0"/>
            <c:bubble3D val="0"/>
            <c:extLst>
              <c:ext xmlns:c16="http://schemas.microsoft.com/office/drawing/2014/chart" uri="{C3380CC4-5D6E-409C-BE32-E72D297353CC}">
                <c16:uniqueId val="{000002DD-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Data'!$C$7:$X$7</c:f>
              <c:numCache>
                <c:formatCode>#,##0_ ;\-#,##0\ </c:formatCode>
                <c:ptCount val="22"/>
                <c:pt idx="0">
                  <c:v>2147</c:v>
                </c:pt>
                <c:pt idx="1">
                  <c:v>559</c:v>
                </c:pt>
                <c:pt idx="2">
                  <c:v>523</c:v>
                </c:pt>
                <c:pt idx="3">
                  <c:v>233</c:v>
                </c:pt>
                <c:pt idx="4">
                  <c:v>729</c:v>
                </c:pt>
                <c:pt idx="5">
                  <c:v>627</c:v>
                </c:pt>
                <c:pt idx="6">
                  <c:v>600</c:v>
                </c:pt>
                <c:pt idx="7">
                  <c:v>827</c:v>
                </c:pt>
                <c:pt idx="8">
                  <c:v>1442</c:v>
                </c:pt>
                <c:pt idx="9">
                  <c:v>865</c:v>
                </c:pt>
                <c:pt idx="10">
                  <c:v>1065</c:v>
                </c:pt>
                <c:pt idx="11">
                  <c:v>1235</c:v>
                </c:pt>
                <c:pt idx="12">
                  <c:v>495</c:v>
                </c:pt>
                <c:pt idx="13">
                  <c:v>549</c:v>
                </c:pt>
                <c:pt idx="14">
                  <c:v>1863</c:v>
                </c:pt>
                <c:pt idx="15">
                  <c:v>1288</c:v>
                </c:pt>
                <c:pt idx="16">
                  <c:v>3293</c:v>
                </c:pt>
                <c:pt idx="17">
                  <c:v>5911</c:v>
                </c:pt>
                <c:pt idx="18">
                  <c:v>7412</c:v>
                </c:pt>
                <c:pt idx="19">
                  <c:v>6470</c:v>
                </c:pt>
                <c:pt idx="20">
                  <c:v>6427</c:v>
                </c:pt>
                <c:pt idx="21">
                  <c:v>3822</c:v>
                </c:pt>
              </c:numCache>
            </c:numRef>
          </c:val>
          <c:extLst>
            <c:ext xmlns:c16="http://schemas.microsoft.com/office/drawing/2014/chart" uri="{C3380CC4-5D6E-409C-BE32-E72D297353CC}">
              <c16:uniqueId val="{000002DE-9ED3-4FF8-8DED-3FCA538ED9C7}"/>
            </c:ext>
          </c:extLst>
        </c:ser>
        <c:ser>
          <c:idx val="5"/>
          <c:order val="5"/>
          <c:tx>
            <c:strRef>
              <c:f>'NEMEnergyGenerated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2E0-9ED3-4FF8-8DED-3FCA538ED9C7}"/>
              </c:ext>
            </c:extLst>
          </c:dPt>
          <c:dPt>
            <c:idx val="1"/>
            <c:invertIfNegative val="0"/>
            <c:bubble3D val="0"/>
            <c:extLst>
              <c:ext xmlns:c16="http://schemas.microsoft.com/office/drawing/2014/chart" uri="{C3380CC4-5D6E-409C-BE32-E72D297353CC}">
                <c16:uniqueId val="{000002E1-9ED3-4FF8-8DED-3FCA538ED9C7}"/>
              </c:ext>
            </c:extLst>
          </c:dPt>
          <c:dPt>
            <c:idx val="2"/>
            <c:invertIfNegative val="0"/>
            <c:bubble3D val="0"/>
            <c:extLst>
              <c:ext xmlns:c16="http://schemas.microsoft.com/office/drawing/2014/chart" uri="{C3380CC4-5D6E-409C-BE32-E72D297353CC}">
                <c16:uniqueId val="{000002E2-9ED3-4FF8-8DED-3FCA538ED9C7}"/>
              </c:ext>
            </c:extLst>
          </c:dPt>
          <c:dPt>
            <c:idx val="3"/>
            <c:invertIfNegative val="0"/>
            <c:bubble3D val="0"/>
            <c:extLst>
              <c:ext xmlns:c16="http://schemas.microsoft.com/office/drawing/2014/chart" uri="{C3380CC4-5D6E-409C-BE32-E72D297353CC}">
                <c16:uniqueId val="{000002E3-9ED3-4FF8-8DED-3FCA538ED9C7}"/>
              </c:ext>
            </c:extLst>
          </c:dPt>
          <c:dPt>
            <c:idx val="4"/>
            <c:invertIfNegative val="0"/>
            <c:bubble3D val="0"/>
            <c:extLst>
              <c:ext xmlns:c16="http://schemas.microsoft.com/office/drawing/2014/chart" uri="{C3380CC4-5D6E-409C-BE32-E72D297353CC}">
                <c16:uniqueId val="{000002E4-9ED3-4FF8-8DED-3FCA538ED9C7}"/>
              </c:ext>
            </c:extLst>
          </c:dPt>
          <c:dPt>
            <c:idx val="5"/>
            <c:invertIfNegative val="0"/>
            <c:bubble3D val="0"/>
            <c:extLst>
              <c:ext xmlns:c16="http://schemas.microsoft.com/office/drawing/2014/chart" uri="{C3380CC4-5D6E-409C-BE32-E72D297353CC}">
                <c16:uniqueId val="{000002E5-9ED3-4FF8-8DED-3FCA538ED9C7}"/>
              </c:ext>
            </c:extLst>
          </c:dPt>
          <c:dPt>
            <c:idx val="6"/>
            <c:invertIfNegative val="0"/>
            <c:bubble3D val="0"/>
            <c:extLst>
              <c:ext xmlns:c16="http://schemas.microsoft.com/office/drawing/2014/chart" uri="{C3380CC4-5D6E-409C-BE32-E72D297353CC}">
                <c16:uniqueId val="{000002E6-9ED3-4FF8-8DED-3FCA538ED9C7}"/>
              </c:ext>
            </c:extLst>
          </c:dPt>
          <c:dPt>
            <c:idx val="7"/>
            <c:invertIfNegative val="0"/>
            <c:bubble3D val="0"/>
            <c:extLst>
              <c:ext xmlns:c16="http://schemas.microsoft.com/office/drawing/2014/chart" uri="{C3380CC4-5D6E-409C-BE32-E72D297353CC}">
                <c16:uniqueId val="{000002E7-9ED3-4FF8-8DED-3FCA538ED9C7}"/>
              </c:ext>
            </c:extLst>
          </c:dPt>
          <c:dPt>
            <c:idx val="8"/>
            <c:invertIfNegative val="0"/>
            <c:bubble3D val="0"/>
            <c:extLst>
              <c:ext xmlns:c16="http://schemas.microsoft.com/office/drawing/2014/chart" uri="{C3380CC4-5D6E-409C-BE32-E72D297353CC}">
                <c16:uniqueId val="{000002E8-9ED3-4FF8-8DED-3FCA538ED9C7}"/>
              </c:ext>
            </c:extLst>
          </c:dPt>
          <c:dPt>
            <c:idx val="9"/>
            <c:invertIfNegative val="0"/>
            <c:bubble3D val="0"/>
            <c:extLst>
              <c:ext xmlns:c16="http://schemas.microsoft.com/office/drawing/2014/chart" uri="{C3380CC4-5D6E-409C-BE32-E72D297353CC}">
                <c16:uniqueId val="{000002E9-9ED3-4FF8-8DED-3FCA538ED9C7}"/>
              </c:ext>
            </c:extLst>
          </c:dPt>
          <c:dPt>
            <c:idx val="10"/>
            <c:invertIfNegative val="0"/>
            <c:bubble3D val="0"/>
            <c:extLst>
              <c:ext xmlns:c16="http://schemas.microsoft.com/office/drawing/2014/chart" uri="{C3380CC4-5D6E-409C-BE32-E72D297353CC}">
                <c16:uniqueId val="{000002EA-9ED3-4FF8-8DED-3FCA538ED9C7}"/>
              </c:ext>
            </c:extLst>
          </c:dPt>
          <c:dPt>
            <c:idx val="11"/>
            <c:invertIfNegative val="0"/>
            <c:bubble3D val="0"/>
            <c:extLst>
              <c:ext xmlns:c16="http://schemas.microsoft.com/office/drawing/2014/chart" uri="{C3380CC4-5D6E-409C-BE32-E72D297353CC}">
                <c16:uniqueId val="{000002EB-9ED3-4FF8-8DED-3FCA538ED9C7}"/>
              </c:ext>
            </c:extLst>
          </c:dPt>
          <c:dPt>
            <c:idx val="12"/>
            <c:invertIfNegative val="0"/>
            <c:bubble3D val="0"/>
            <c:extLst>
              <c:ext xmlns:c16="http://schemas.microsoft.com/office/drawing/2014/chart" uri="{C3380CC4-5D6E-409C-BE32-E72D297353CC}">
                <c16:uniqueId val="{000002EC-9ED3-4FF8-8DED-3FCA538ED9C7}"/>
              </c:ext>
            </c:extLst>
          </c:dPt>
          <c:dPt>
            <c:idx val="13"/>
            <c:invertIfNegative val="0"/>
            <c:bubble3D val="0"/>
            <c:extLst>
              <c:ext xmlns:c16="http://schemas.microsoft.com/office/drawing/2014/chart" uri="{C3380CC4-5D6E-409C-BE32-E72D297353CC}">
                <c16:uniqueId val="{000002ED-9ED3-4FF8-8DED-3FCA538ED9C7}"/>
              </c:ext>
            </c:extLst>
          </c:dPt>
          <c:dPt>
            <c:idx val="14"/>
            <c:invertIfNegative val="0"/>
            <c:bubble3D val="0"/>
            <c:extLst>
              <c:ext xmlns:c16="http://schemas.microsoft.com/office/drawing/2014/chart" uri="{C3380CC4-5D6E-409C-BE32-E72D297353CC}">
                <c16:uniqueId val="{000002EE-9ED3-4FF8-8DED-3FCA538ED9C7}"/>
              </c:ext>
            </c:extLst>
          </c:dPt>
          <c:dPt>
            <c:idx val="15"/>
            <c:invertIfNegative val="0"/>
            <c:bubble3D val="0"/>
            <c:extLst>
              <c:ext xmlns:c16="http://schemas.microsoft.com/office/drawing/2014/chart" uri="{C3380CC4-5D6E-409C-BE32-E72D297353CC}">
                <c16:uniqueId val="{000002EF-9ED3-4FF8-8DED-3FCA538ED9C7}"/>
              </c:ext>
            </c:extLst>
          </c:dPt>
          <c:dPt>
            <c:idx val="16"/>
            <c:invertIfNegative val="0"/>
            <c:bubble3D val="0"/>
            <c:extLst>
              <c:ext xmlns:c16="http://schemas.microsoft.com/office/drawing/2014/chart" uri="{C3380CC4-5D6E-409C-BE32-E72D297353CC}">
                <c16:uniqueId val="{000002F0-9ED3-4FF8-8DED-3FCA538ED9C7}"/>
              </c:ext>
            </c:extLst>
          </c:dPt>
          <c:dPt>
            <c:idx val="17"/>
            <c:invertIfNegative val="0"/>
            <c:bubble3D val="0"/>
            <c:extLst>
              <c:ext xmlns:c16="http://schemas.microsoft.com/office/drawing/2014/chart" uri="{C3380CC4-5D6E-409C-BE32-E72D297353CC}">
                <c16:uniqueId val="{000002F1-9ED3-4FF8-8DED-3FCA538ED9C7}"/>
              </c:ext>
            </c:extLst>
          </c:dPt>
          <c:dPt>
            <c:idx val="18"/>
            <c:invertIfNegative val="0"/>
            <c:bubble3D val="0"/>
            <c:extLst>
              <c:ext xmlns:c16="http://schemas.microsoft.com/office/drawing/2014/chart" uri="{C3380CC4-5D6E-409C-BE32-E72D297353CC}">
                <c16:uniqueId val="{000002F2-9ED3-4FF8-8DED-3FCA538ED9C7}"/>
              </c:ext>
            </c:extLst>
          </c:dPt>
          <c:dPt>
            <c:idx val="19"/>
            <c:invertIfNegative val="0"/>
            <c:bubble3D val="0"/>
            <c:extLst>
              <c:ext xmlns:c16="http://schemas.microsoft.com/office/drawing/2014/chart" uri="{C3380CC4-5D6E-409C-BE32-E72D297353CC}">
                <c16:uniqueId val="{000002F3-9ED3-4FF8-8DED-3FCA538ED9C7}"/>
              </c:ext>
            </c:extLst>
          </c:dPt>
          <c:dPt>
            <c:idx val="20"/>
            <c:invertIfNegative val="0"/>
            <c:bubble3D val="0"/>
            <c:extLst>
              <c:ext xmlns:c16="http://schemas.microsoft.com/office/drawing/2014/chart" uri="{C3380CC4-5D6E-409C-BE32-E72D297353CC}">
                <c16:uniqueId val="{000002F4-9ED3-4FF8-8DED-3FCA538ED9C7}"/>
              </c:ext>
            </c:extLst>
          </c:dPt>
          <c:dPt>
            <c:idx val="21"/>
            <c:invertIfNegative val="0"/>
            <c:bubble3D val="0"/>
            <c:extLst>
              <c:ext xmlns:c16="http://schemas.microsoft.com/office/drawing/2014/chart" uri="{C3380CC4-5D6E-409C-BE32-E72D297353CC}">
                <c16:uniqueId val="{000002F5-9ED3-4FF8-8DED-3FCA538ED9C7}"/>
              </c:ext>
            </c:extLst>
          </c:dPt>
          <c:dPt>
            <c:idx val="22"/>
            <c:invertIfNegative val="0"/>
            <c:bubble3D val="0"/>
            <c:extLst>
              <c:ext xmlns:c16="http://schemas.microsoft.com/office/drawing/2014/chart" uri="{C3380CC4-5D6E-409C-BE32-E72D297353CC}">
                <c16:uniqueId val="{000002F6-9ED3-4FF8-8DED-3FCA538ED9C7}"/>
              </c:ext>
            </c:extLst>
          </c:dPt>
          <c:dPt>
            <c:idx val="23"/>
            <c:invertIfNegative val="0"/>
            <c:bubble3D val="0"/>
            <c:extLst>
              <c:ext xmlns:c16="http://schemas.microsoft.com/office/drawing/2014/chart" uri="{C3380CC4-5D6E-409C-BE32-E72D297353CC}">
                <c16:uniqueId val="{000002F7-9ED3-4FF8-8DED-3FCA538ED9C7}"/>
              </c:ext>
            </c:extLst>
          </c:dPt>
          <c:dPt>
            <c:idx val="24"/>
            <c:invertIfNegative val="0"/>
            <c:bubble3D val="0"/>
            <c:extLst>
              <c:ext xmlns:c16="http://schemas.microsoft.com/office/drawing/2014/chart" uri="{C3380CC4-5D6E-409C-BE32-E72D297353CC}">
                <c16:uniqueId val="{000002F8-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Data'!$C$8:$X$8</c:f>
              <c:numCache>
                <c:formatCode>#,##0_ ;\-#,##0\ </c:formatCode>
                <c:ptCount val="22"/>
                <c:pt idx="0">
                  <c:v>18200.050799190656</c:v>
                </c:pt>
                <c:pt idx="1">
                  <c:v>26420.871599276532</c:v>
                </c:pt>
                <c:pt idx="2">
                  <c:v>27074.716046898408</c:v>
                </c:pt>
                <c:pt idx="3">
                  <c:v>28169.170135650747</c:v>
                </c:pt>
                <c:pt idx="4">
                  <c:v>29810.220457429914</c:v>
                </c:pt>
                <c:pt idx="5">
                  <c:v>33868.48445051664</c:v>
                </c:pt>
                <c:pt idx="6">
                  <c:v>35235.835876371595</c:v>
                </c:pt>
                <c:pt idx="7">
                  <c:v>35329.190648932607</c:v>
                </c:pt>
                <c:pt idx="8">
                  <c:v>37392.681458980544</c:v>
                </c:pt>
                <c:pt idx="9">
                  <c:v>38174.306770672898</c:v>
                </c:pt>
                <c:pt idx="10">
                  <c:v>40909.869340863508</c:v>
                </c:pt>
                <c:pt idx="11">
                  <c:v>42645.827785394518</c:v>
                </c:pt>
                <c:pt idx="12">
                  <c:v>43991.817203734099</c:v>
                </c:pt>
                <c:pt idx="13">
                  <c:v>45285.148718316748</c:v>
                </c:pt>
                <c:pt idx="14">
                  <c:v>45813.759020819663</c:v>
                </c:pt>
                <c:pt idx="15">
                  <c:v>47077.40236250317</c:v>
                </c:pt>
                <c:pt idx="16">
                  <c:v>47458.803724911006</c:v>
                </c:pt>
                <c:pt idx="17">
                  <c:v>51691.468840249683</c:v>
                </c:pt>
                <c:pt idx="18">
                  <c:v>53866.304441184206</c:v>
                </c:pt>
                <c:pt idx="19">
                  <c:v>53753.1234329832</c:v>
                </c:pt>
                <c:pt idx="20">
                  <c:v>54567.858311796597</c:v>
                </c:pt>
                <c:pt idx="21">
                  <c:v>55759.349559837756</c:v>
                </c:pt>
              </c:numCache>
            </c:numRef>
          </c:val>
          <c:extLst>
            <c:ext xmlns:c16="http://schemas.microsoft.com/office/drawing/2014/chart" uri="{C3380CC4-5D6E-409C-BE32-E72D297353CC}">
              <c16:uniqueId val="{000002F9-9ED3-4FF8-8DED-3FCA538ED9C7}"/>
            </c:ext>
          </c:extLst>
        </c:ser>
        <c:ser>
          <c:idx val="8"/>
          <c:order val="6"/>
          <c:tx>
            <c:strRef>
              <c:f>'NEMEnergyGenerated Data'!$B$12</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398-9ED3-4FF8-8DED-3FCA538ED9C7}"/>
              </c:ext>
            </c:extLst>
          </c:dPt>
          <c:dPt>
            <c:idx val="1"/>
            <c:invertIfNegative val="0"/>
            <c:bubble3D val="0"/>
            <c:extLst>
              <c:ext xmlns:c16="http://schemas.microsoft.com/office/drawing/2014/chart" uri="{C3380CC4-5D6E-409C-BE32-E72D297353CC}">
                <c16:uniqueId val="{0000039A-9ED3-4FF8-8DED-3FCA538ED9C7}"/>
              </c:ext>
            </c:extLst>
          </c:dPt>
          <c:dPt>
            <c:idx val="2"/>
            <c:invertIfNegative val="0"/>
            <c:bubble3D val="0"/>
            <c:extLst>
              <c:ext xmlns:c16="http://schemas.microsoft.com/office/drawing/2014/chart" uri="{C3380CC4-5D6E-409C-BE32-E72D297353CC}">
                <c16:uniqueId val="{0000039C-9ED3-4FF8-8DED-3FCA538ED9C7}"/>
              </c:ext>
            </c:extLst>
          </c:dPt>
          <c:dPt>
            <c:idx val="3"/>
            <c:invertIfNegative val="0"/>
            <c:bubble3D val="0"/>
            <c:extLst>
              <c:ext xmlns:c16="http://schemas.microsoft.com/office/drawing/2014/chart" uri="{C3380CC4-5D6E-409C-BE32-E72D297353CC}">
                <c16:uniqueId val="{0000039E-9ED3-4FF8-8DED-3FCA538ED9C7}"/>
              </c:ext>
            </c:extLst>
          </c:dPt>
          <c:dPt>
            <c:idx val="4"/>
            <c:invertIfNegative val="0"/>
            <c:bubble3D val="0"/>
            <c:extLst>
              <c:ext xmlns:c16="http://schemas.microsoft.com/office/drawing/2014/chart" uri="{C3380CC4-5D6E-409C-BE32-E72D297353CC}">
                <c16:uniqueId val="{000003A0-9ED3-4FF8-8DED-3FCA538ED9C7}"/>
              </c:ext>
            </c:extLst>
          </c:dPt>
          <c:dPt>
            <c:idx val="5"/>
            <c:invertIfNegative val="0"/>
            <c:bubble3D val="0"/>
            <c:extLst>
              <c:ext xmlns:c16="http://schemas.microsoft.com/office/drawing/2014/chart" uri="{C3380CC4-5D6E-409C-BE32-E72D297353CC}">
                <c16:uniqueId val="{000003A2-9ED3-4FF8-8DED-3FCA538ED9C7}"/>
              </c:ext>
            </c:extLst>
          </c:dPt>
          <c:dPt>
            <c:idx val="6"/>
            <c:invertIfNegative val="0"/>
            <c:bubble3D val="0"/>
            <c:extLst>
              <c:ext xmlns:c16="http://schemas.microsoft.com/office/drawing/2014/chart" uri="{C3380CC4-5D6E-409C-BE32-E72D297353CC}">
                <c16:uniqueId val="{000003A4-9ED3-4FF8-8DED-3FCA538ED9C7}"/>
              </c:ext>
            </c:extLst>
          </c:dPt>
          <c:dPt>
            <c:idx val="7"/>
            <c:invertIfNegative val="0"/>
            <c:bubble3D val="0"/>
            <c:extLst>
              <c:ext xmlns:c16="http://schemas.microsoft.com/office/drawing/2014/chart" uri="{C3380CC4-5D6E-409C-BE32-E72D297353CC}">
                <c16:uniqueId val="{000003A6-9ED3-4FF8-8DED-3FCA538ED9C7}"/>
              </c:ext>
            </c:extLst>
          </c:dPt>
          <c:dPt>
            <c:idx val="8"/>
            <c:invertIfNegative val="0"/>
            <c:bubble3D val="0"/>
            <c:extLst>
              <c:ext xmlns:c16="http://schemas.microsoft.com/office/drawing/2014/chart" uri="{C3380CC4-5D6E-409C-BE32-E72D297353CC}">
                <c16:uniqueId val="{000003A8-9ED3-4FF8-8DED-3FCA538ED9C7}"/>
              </c:ext>
            </c:extLst>
          </c:dPt>
          <c:dPt>
            <c:idx val="9"/>
            <c:invertIfNegative val="0"/>
            <c:bubble3D val="0"/>
            <c:extLst>
              <c:ext xmlns:c16="http://schemas.microsoft.com/office/drawing/2014/chart" uri="{C3380CC4-5D6E-409C-BE32-E72D297353CC}">
                <c16:uniqueId val="{000003AA-9ED3-4FF8-8DED-3FCA538ED9C7}"/>
              </c:ext>
            </c:extLst>
          </c:dPt>
          <c:dPt>
            <c:idx val="10"/>
            <c:invertIfNegative val="0"/>
            <c:bubble3D val="0"/>
            <c:extLst>
              <c:ext xmlns:c16="http://schemas.microsoft.com/office/drawing/2014/chart" uri="{C3380CC4-5D6E-409C-BE32-E72D297353CC}">
                <c16:uniqueId val="{000003AC-9ED3-4FF8-8DED-3FCA538ED9C7}"/>
              </c:ext>
            </c:extLst>
          </c:dPt>
          <c:dPt>
            <c:idx val="11"/>
            <c:invertIfNegative val="0"/>
            <c:bubble3D val="0"/>
            <c:extLst>
              <c:ext xmlns:c16="http://schemas.microsoft.com/office/drawing/2014/chart" uri="{C3380CC4-5D6E-409C-BE32-E72D297353CC}">
                <c16:uniqueId val="{000003AE-9ED3-4FF8-8DED-3FCA538ED9C7}"/>
              </c:ext>
            </c:extLst>
          </c:dPt>
          <c:dPt>
            <c:idx val="12"/>
            <c:invertIfNegative val="0"/>
            <c:bubble3D val="0"/>
            <c:extLst>
              <c:ext xmlns:c16="http://schemas.microsoft.com/office/drawing/2014/chart" uri="{C3380CC4-5D6E-409C-BE32-E72D297353CC}">
                <c16:uniqueId val="{000003B0-9ED3-4FF8-8DED-3FCA538ED9C7}"/>
              </c:ext>
            </c:extLst>
          </c:dPt>
          <c:dPt>
            <c:idx val="13"/>
            <c:invertIfNegative val="0"/>
            <c:bubble3D val="0"/>
            <c:extLst>
              <c:ext xmlns:c16="http://schemas.microsoft.com/office/drawing/2014/chart" uri="{C3380CC4-5D6E-409C-BE32-E72D297353CC}">
                <c16:uniqueId val="{000003B2-9ED3-4FF8-8DED-3FCA538ED9C7}"/>
              </c:ext>
            </c:extLst>
          </c:dPt>
          <c:dPt>
            <c:idx val="14"/>
            <c:invertIfNegative val="0"/>
            <c:bubble3D val="0"/>
            <c:extLst>
              <c:ext xmlns:c16="http://schemas.microsoft.com/office/drawing/2014/chart" uri="{C3380CC4-5D6E-409C-BE32-E72D297353CC}">
                <c16:uniqueId val="{000003B4-9ED3-4FF8-8DED-3FCA538ED9C7}"/>
              </c:ext>
            </c:extLst>
          </c:dPt>
          <c:dPt>
            <c:idx val="15"/>
            <c:invertIfNegative val="0"/>
            <c:bubble3D val="0"/>
            <c:extLst>
              <c:ext xmlns:c16="http://schemas.microsoft.com/office/drawing/2014/chart" uri="{C3380CC4-5D6E-409C-BE32-E72D297353CC}">
                <c16:uniqueId val="{000003B6-9ED3-4FF8-8DED-3FCA538ED9C7}"/>
              </c:ext>
            </c:extLst>
          </c:dPt>
          <c:dPt>
            <c:idx val="16"/>
            <c:invertIfNegative val="0"/>
            <c:bubble3D val="0"/>
            <c:extLst>
              <c:ext xmlns:c16="http://schemas.microsoft.com/office/drawing/2014/chart" uri="{C3380CC4-5D6E-409C-BE32-E72D297353CC}">
                <c16:uniqueId val="{000003B8-9ED3-4FF8-8DED-3FCA538ED9C7}"/>
              </c:ext>
            </c:extLst>
          </c:dPt>
          <c:dPt>
            <c:idx val="17"/>
            <c:invertIfNegative val="0"/>
            <c:bubble3D val="0"/>
            <c:extLst>
              <c:ext xmlns:c16="http://schemas.microsoft.com/office/drawing/2014/chart" uri="{C3380CC4-5D6E-409C-BE32-E72D297353CC}">
                <c16:uniqueId val="{000003BA-9ED3-4FF8-8DED-3FCA538ED9C7}"/>
              </c:ext>
            </c:extLst>
          </c:dPt>
          <c:dPt>
            <c:idx val="18"/>
            <c:invertIfNegative val="0"/>
            <c:bubble3D val="0"/>
            <c:extLst>
              <c:ext xmlns:c16="http://schemas.microsoft.com/office/drawing/2014/chart" uri="{C3380CC4-5D6E-409C-BE32-E72D297353CC}">
                <c16:uniqueId val="{000003BC-9ED3-4FF8-8DED-3FCA538ED9C7}"/>
              </c:ext>
            </c:extLst>
          </c:dPt>
          <c:dPt>
            <c:idx val="19"/>
            <c:invertIfNegative val="0"/>
            <c:bubble3D val="0"/>
            <c:extLst>
              <c:ext xmlns:c16="http://schemas.microsoft.com/office/drawing/2014/chart" uri="{C3380CC4-5D6E-409C-BE32-E72D297353CC}">
                <c16:uniqueId val="{000003BE-9ED3-4FF8-8DED-3FCA538ED9C7}"/>
              </c:ext>
            </c:extLst>
          </c:dPt>
          <c:dPt>
            <c:idx val="20"/>
            <c:invertIfNegative val="0"/>
            <c:bubble3D val="0"/>
            <c:extLst>
              <c:ext xmlns:c16="http://schemas.microsoft.com/office/drawing/2014/chart" uri="{C3380CC4-5D6E-409C-BE32-E72D297353CC}">
                <c16:uniqueId val="{000003C0-9ED3-4FF8-8DED-3FCA538ED9C7}"/>
              </c:ext>
            </c:extLst>
          </c:dPt>
          <c:dPt>
            <c:idx val="21"/>
            <c:invertIfNegative val="0"/>
            <c:bubble3D val="0"/>
            <c:extLst>
              <c:ext xmlns:c16="http://schemas.microsoft.com/office/drawing/2014/chart" uri="{C3380CC4-5D6E-409C-BE32-E72D297353CC}">
                <c16:uniqueId val="{000003C2-9ED3-4FF8-8DED-3FCA538ED9C7}"/>
              </c:ext>
            </c:extLst>
          </c:dPt>
          <c:dPt>
            <c:idx val="22"/>
            <c:invertIfNegative val="0"/>
            <c:bubble3D val="0"/>
            <c:extLst>
              <c:ext xmlns:c16="http://schemas.microsoft.com/office/drawing/2014/chart" uri="{C3380CC4-5D6E-409C-BE32-E72D297353CC}">
                <c16:uniqueId val="{000003C4-9ED3-4FF8-8DED-3FCA538ED9C7}"/>
              </c:ext>
            </c:extLst>
          </c:dPt>
          <c:dPt>
            <c:idx val="23"/>
            <c:invertIfNegative val="0"/>
            <c:bubble3D val="0"/>
            <c:extLst>
              <c:ext xmlns:c16="http://schemas.microsoft.com/office/drawing/2014/chart" uri="{C3380CC4-5D6E-409C-BE32-E72D297353CC}">
                <c16:uniqueId val="{000003C6-9ED3-4FF8-8DED-3FCA538ED9C7}"/>
              </c:ext>
            </c:extLst>
          </c:dPt>
          <c:dPt>
            <c:idx val="24"/>
            <c:invertIfNegative val="0"/>
            <c:bubble3D val="0"/>
            <c:extLst>
              <c:ext xmlns:c16="http://schemas.microsoft.com/office/drawing/2014/chart" uri="{C3380CC4-5D6E-409C-BE32-E72D297353CC}">
                <c16:uniqueId val="{000003C8-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Data'!$C$12:$X$12</c:f>
              <c:numCache>
                <c:formatCode>#,##0_ ;\-#,##0\ </c:formatCode>
                <c:ptCount val="22"/>
                <c:pt idx="0">
                  <c:v>0</c:v>
                </c:pt>
                <c:pt idx="1">
                  <c:v>0</c:v>
                </c:pt>
                <c:pt idx="2">
                  <c:v>0</c:v>
                </c:pt>
                <c:pt idx="3">
                  <c:v>0</c:v>
                </c:pt>
                <c:pt idx="4">
                  <c:v>0</c:v>
                </c:pt>
                <c:pt idx="5">
                  <c:v>0</c:v>
                </c:pt>
                <c:pt idx="6">
                  <c:v>0</c:v>
                </c:pt>
                <c:pt idx="7">
                  <c:v>0</c:v>
                </c:pt>
                <c:pt idx="8">
                  <c:v>0</c:v>
                </c:pt>
                <c:pt idx="9">
                  <c:v>0</c:v>
                </c:pt>
                <c:pt idx="10">
                  <c:v>751.46535224851004</c:v>
                </c:pt>
                <c:pt idx="11">
                  <c:v>876</c:v>
                </c:pt>
                <c:pt idx="12">
                  <c:v>876.00000000001899</c:v>
                </c:pt>
                <c:pt idx="13">
                  <c:v>878.40000000004898</c:v>
                </c:pt>
                <c:pt idx="14">
                  <c:v>875.99999999999795</c:v>
                </c:pt>
                <c:pt idx="15">
                  <c:v>875.99999999999898</c:v>
                </c:pt>
                <c:pt idx="16">
                  <c:v>1314.0000000000068</c:v>
                </c:pt>
                <c:pt idx="17">
                  <c:v>1317.6000000000072</c:v>
                </c:pt>
                <c:pt idx="18">
                  <c:v>1314.0000000000068</c:v>
                </c:pt>
                <c:pt idx="19">
                  <c:v>1711.0747571389379</c:v>
                </c:pt>
                <c:pt idx="20">
                  <c:v>1725.8922849755072</c:v>
                </c:pt>
                <c:pt idx="21">
                  <c:v>1730.6207569894859</c:v>
                </c:pt>
              </c:numCache>
            </c:numRef>
          </c:val>
          <c:extLst>
            <c:ext xmlns:c16="http://schemas.microsoft.com/office/drawing/2014/chart" uri="{C3380CC4-5D6E-409C-BE32-E72D297353CC}">
              <c16:uniqueId val="{000003C9-9ED3-4FF8-8DED-3FCA538ED9C7}"/>
            </c:ext>
          </c:extLst>
        </c:ser>
        <c:ser>
          <c:idx val="6"/>
          <c:order val="7"/>
          <c:tx>
            <c:strRef>
              <c:f>'NEMEnergyGenerated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FC-9ED3-4FF8-8DED-3FCA538ED9C7}"/>
              </c:ext>
            </c:extLst>
          </c:dPt>
          <c:dPt>
            <c:idx val="1"/>
            <c:invertIfNegative val="0"/>
            <c:bubble3D val="0"/>
            <c:extLst>
              <c:ext xmlns:c16="http://schemas.microsoft.com/office/drawing/2014/chart" uri="{C3380CC4-5D6E-409C-BE32-E72D297353CC}">
                <c16:uniqueId val="{000002FE-9ED3-4FF8-8DED-3FCA538ED9C7}"/>
              </c:ext>
            </c:extLst>
          </c:dPt>
          <c:dPt>
            <c:idx val="2"/>
            <c:invertIfNegative val="0"/>
            <c:bubble3D val="0"/>
            <c:extLst>
              <c:ext xmlns:c16="http://schemas.microsoft.com/office/drawing/2014/chart" uri="{C3380CC4-5D6E-409C-BE32-E72D297353CC}">
                <c16:uniqueId val="{00000300-9ED3-4FF8-8DED-3FCA538ED9C7}"/>
              </c:ext>
            </c:extLst>
          </c:dPt>
          <c:dPt>
            <c:idx val="3"/>
            <c:invertIfNegative val="0"/>
            <c:bubble3D val="0"/>
            <c:extLst>
              <c:ext xmlns:c16="http://schemas.microsoft.com/office/drawing/2014/chart" uri="{C3380CC4-5D6E-409C-BE32-E72D297353CC}">
                <c16:uniqueId val="{00000302-9ED3-4FF8-8DED-3FCA538ED9C7}"/>
              </c:ext>
            </c:extLst>
          </c:dPt>
          <c:dPt>
            <c:idx val="4"/>
            <c:invertIfNegative val="0"/>
            <c:bubble3D val="0"/>
            <c:extLst>
              <c:ext xmlns:c16="http://schemas.microsoft.com/office/drawing/2014/chart" uri="{C3380CC4-5D6E-409C-BE32-E72D297353CC}">
                <c16:uniqueId val="{00000304-9ED3-4FF8-8DED-3FCA538ED9C7}"/>
              </c:ext>
            </c:extLst>
          </c:dPt>
          <c:dPt>
            <c:idx val="5"/>
            <c:invertIfNegative val="0"/>
            <c:bubble3D val="0"/>
            <c:extLst>
              <c:ext xmlns:c16="http://schemas.microsoft.com/office/drawing/2014/chart" uri="{C3380CC4-5D6E-409C-BE32-E72D297353CC}">
                <c16:uniqueId val="{00000306-9ED3-4FF8-8DED-3FCA538ED9C7}"/>
              </c:ext>
            </c:extLst>
          </c:dPt>
          <c:dPt>
            <c:idx val="6"/>
            <c:invertIfNegative val="0"/>
            <c:bubble3D val="0"/>
            <c:extLst>
              <c:ext xmlns:c16="http://schemas.microsoft.com/office/drawing/2014/chart" uri="{C3380CC4-5D6E-409C-BE32-E72D297353CC}">
                <c16:uniqueId val="{00000308-9ED3-4FF8-8DED-3FCA538ED9C7}"/>
              </c:ext>
            </c:extLst>
          </c:dPt>
          <c:dPt>
            <c:idx val="7"/>
            <c:invertIfNegative val="0"/>
            <c:bubble3D val="0"/>
            <c:extLst>
              <c:ext xmlns:c16="http://schemas.microsoft.com/office/drawing/2014/chart" uri="{C3380CC4-5D6E-409C-BE32-E72D297353CC}">
                <c16:uniqueId val="{0000030A-9ED3-4FF8-8DED-3FCA538ED9C7}"/>
              </c:ext>
            </c:extLst>
          </c:dPt>
          <c:dPt>
            <c:idx val="8"/>
            <c:invertIfNegative val="0"/>
            <c:bubble3D val="0"/>
            <c:extLst>
              <c:ext xmlns:c16="http://schemas.microsoft.com/office/drawing/2014/chart" uri="{C3380CC4-5D6E-409C-BE32-E72D297353CC}">
                <c16:uniqueId val="{0000030C-9ED3-4FF8-8DED-3FCA538ED9C7}"/>
              </c:ext>
            </c:extLst>
          </c:dPt>
          <c:dPt>
            <c:idx val="9"/>
            <c:invertIfNegative val="0"/>
            <c:bubble3D val="0"/>
            <c:extLst>
              <c:ext xmlns:c16="http://schemas.microsoft.com/office/drawing/2014/chart" uri="{C3380CC4-5D6E-409C-BE32-E72D297353CC}">
                <c16:uniqueId val="{0000030E-9ED3-4FF8-8DED-3FCA538ED9C7}"/>
              </c:ext>
            </c:extLst>
          </c:dPt>
          <c:dPt>
            <c:idx val="10"/>
            <c:invertIfNegative val="0"/>
            <c:bubble3D val="0"/>
            <c:extLst>
              <c:ext xmlns:c16="http://schemas.microsoft.com/office/drawing/2014/chart" uri="{C3380CC4-5D6E-409C-BE32-E72D297353CC}">
                <c16:uniqueId val="{00000310-9ED3-4FF8-8DED-3FCA538ED9C7}"/>
              </c:ext>
            </c:extLst>
          </c:dPt>
          <c:dPt>
            <c:idx val="11"/>
            <c:invertIfNegative val="0"/>
            <c:bubble3D val="0"/>
            <c:extLst>
              <c:ext xmlns:c16="http://schemas.microsoft.com/office/drawing/2014/chart" uri="{C3380CC4-5D6E-409C-BE32-E72D297353CC}">
                <c16:uniqueId val="{00000312-9ED3-4FF8-8DED-3FCA538ED9C7}"/>
              </c:ext>
            </c:extLst>
          </c:dPt>
          <c:dPt>
            <c:idx val="12"/>
            <c:invertIfNegative val="0"/>
            <c:bubble3D val="0"/>
            <c:extLst>
              <c:ext xmlns:c16="http://schemas.microsoft.com/office/drawing/2014/chart" uri="{C3380CC4-5D6E-409C-BE32-E72D297353CC}">
                <c16:uniqueId val="{00000314-9ED3-4FF8-8DED-3FCA538ED9C7}"/>
              </c:ext>
            </c:extLst>
          </c:dPt>
          <c:dPt>
            <c:idx val="13"/>
            <c:invertIfNegative val="0"/>
            <c:bubble3D val="0"/>
            <c:extLst>
              <c:ext xmlns:c16="http://schemas.microsoft.com/office/drawing/2014/chart" uri="{C3380CC4-5D6E-409C-BE32-E72D297353CC}">
                <c16:uniqueId val="{00000316-9ED3-4FF8-8DED-3FCA538ED9C7}"/>
              </c:ext>
            </c:extLst>
          </c:dPt>
          <c:dPt>
            <c:idx val="14"/>
            <c:invertIfNegative val="0"/>
            <c:bubble3D val="0"/>
            <c:extLst>
              <c:ext xmlns:c16="http://schemas.microsoft.com/office/drawing/2014/chart" uri="{C3380CC4-5D6E-409C-BE32-E72D297353CC}">
                <c16:uniqueId val="{00000318-9ED3-4FF8-8DED-3FCA538ED9C7}"/>
              </c:ext>
            </c:extLst>
          </c:dPt>
          <c:dPt>
            <c:idx val="15"/>
            <c:invertIfNegative val="0"/>
            <c:bubble3D val="0"/>
            <c:extLst>
              <c:ext xmlns:c16="http://schemas.microsoft.com/office/drawing/2014/chart" uri="{C3380CC4-5D6E-409C-BE32-E72D297353CC}">
                <c16:uniqueId val="{0000031A-9ED3-4FF8-8DED-3FCA538ED9C7}"/>
              </c:ext>
            </c:extLst>
          </c:dPt>
          <c:dPt>
            <c:idx val="16"/>
            <c:invertIfNegative val="0"/>
            <c:bubble3D val="0"/>
            <c:extLst>
              <c:ext xmlns:c16="http://schemas.microsoft.com/office/drawing/2014/chart" uri="{C3380CC4-5D6E-409C-BE32-E72D297353CC}">
                <c16:uniqueId val="{0000031C-9ED3-4FF8-8DED-3FCA538ED9C7}"/>
              </c:ext>
            </c:extLst>
          </c:dPt>
          <c:dPt>
            <c:idx val="17"/>
            <c:invertIfNegative val="0"/>
            <c:bubble3D val="0"/>
            <c:extLst>
              <c:ext xmlns:c16="http://schemas.microsoft.com/office/drawing/2014/chart" uri="{C3380CC4-5D6E-409C-BE32-E72D297353CC}">
                <c16:uniqueId val="{0000031E-9ED3-4FF8-8DED-3FCA538ED9C7}"/>
              </c:ext>
            </c:extLst>
          </c:dPt>
          <c:dPt>
            <c:idx val="18"/>
            <c:invertIfNegative val="0"/>
            <c:bubble3D val="0"/>
            <c:extLst>
              <c:ext xmlns:c16="http://schemas.microsoft.com/office/drawing/2014/chart" uri="{C3380CC4-5D6E-409C-BE32-E72D297353CC}">
                <c16:uniqueId val="{00000320-9ED3-4FF8-8DED-3FCA538ED9C7}"/>
              </c:ext>
            </c:extLst>
          </c:dPt>
          <c:dPt>
            <c:idx val="19"/>
            <c:invertIfNegative val="0"/>
            <c:bubble3D val="0"/>
            <c:extLst>
              <c:ext xmlns:c16="http://schemas.microsoft.com/office/drawing/2014/chart" uri="{C3380CC4-5D6E-409C-BE32-E72D297353CC}">
                <c16:uniqueId val="{00000322-9ED3-4FF8-8DED-3FCA538ED9C7}"/>
              </c:ext>
            </c:extLst>
          </c:dPt>
          <c:dPt>
            <c:idx val="20"/>
            <c:invertIfNegative val="0"/>
            <c:bubble3D val="0"/>
            <c:extLst>
              <c:ext xmlns:c16="http://schemas.microsoft.com/office/drawing/2014/chart" uri="{C3380CC4-5D6E-409C-BE32-E72D297353CC}">
                <c16:uniqueId val="{00000324-9ED3-4FF8-8DED-3FCA538ED9C7}"/>
              </c:ext>
            </c:extLst>
          </c:dPt>
          <c:dPt>
            <c:idx val="21"/>
            <c:invertIfNegative val="0"/>
            <c:bubble3D val="0"/>
            <c:extLst>
              <c:ext xmlns:c16="http://schemas.microsoft.com/office/drawing/2014/chart" uri="{C3380CC4-5D6E-409C-BE32-E72D297353CC}">
                <c16:uniqueId val="{00000326-9ED3-4FF8-8DED-3FCA538ED9C7}"/>
              </c:ext>
            </c:extLst>
          </c:dPt>
          <c:dPt>
            <c:idx val="22"/>
            <c:invertIfNegative val="0"/>
            <c:bubble3D val="0"/>
            <c:extLst>
              <c:ext xmlns:c16="http://schemas.microsoft.com/office/drawing/2014/chart" uri="{C3380CC4-5D6E-409C-BE32-E72D297353CC}">
                <c16:uniqueId val="{00000328-9ED3-4FF8-8DED-3FCA538ED9C7}"/>
              </c:ext>
            </c:extLst>
          </c:dPt>
          <c:dPt>
            <c:idx val="23"/>
            <c:invertIfNegative val="0"/>
            <c:bubble3D val="0"/>
            <c:extLst>
              <c:ext xmlns:c16="http://schemas.microsoft.com/office/drawing/2014/chart" uri="{C3380CC4-5D6E-409C-BE32-E72D297353CC}">
                <c16:uniqueId val="{0000032A-9ED3-4FF8-8DED-3FCA538ED9C7}"/>
              </c:ext>
            </c:extLst>
          </c:dPt>
          <c:dPt>
            <c:idx val="24"/>
            <c:invertIfNegative val="0"/>
            <c:bubble3D val="0"/>
            <c:extLst>
              <c:ext xmlns:c16="http://schemas.microsoft.com/office/drawing/2014/chart" uri="{C3380CC4-5D6E-409C-BE32-E72D297353CC}">
                <c16:uniqueId val="{0000032C-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Data'!$C$9:$X$9</c:f>
              <c:numCache>
                <c:formatCode>#,##0_ ;\-#,##0\ </c:formatCode>
                <c:ptCount val="22"/>
                <c:pt idx="0">
                  <c:v>4830.3847271585801</c:v>
                </c:pt>
                <c:pt idx="1">
                  <c:v>8018.8767549546492</c:v>
                </c:pt>
                <c:pt idx="2">
                  <c:v>7987.3457829014696</c:v>
                </c:pt>
                <c:pt idx="3">
                  <c:v>8226.21707622959</c:v>
                </c:pt>
                <c:pt idx="4">
                  <c:v>12972.00785127897</c:v>
                </c:pt>
                <c:pt idx="5">
                  <c:v>15860.778894985428</c:v>
                </c:pt>
                <c:pt idx="6">
                  <c:v>22651.257281149487</c:v>
                </c:pt>
                <c:pt idx="7">
                  <c:v>30423.183298237636</c:v>
                </c:pt>
                <c:pt idx="8">
                  <c:v>36248.145131862853</c:v>
                </c:pt>
                <c:pt idx="9">
                  <c:v>42496.621972782144</c:v>
                </c:pt>
                <c:pt idx="10">
                  <c:v>45429.908717736929</c:v>
                </c:pt>
                <c:pt idx="11">
                  <c:v>51439.356568609044</c:v>
                </c:pt>
                <c:pt idx="12">
                  <c:v>58072.170542048756</c:v>
                </c:pt>
                <c:pt idx="13">
                  <c:v>64219.869983975273</c:v>
                </c:pt>
                <c:pt idx="14">
                  <c:v>67428.986407038319</c:v>
                </c:pt>
                <c:pt idx="15">
                  <c:v>71596.864232957814</c:v>
                </c:pt>
                <c:pt idx="16">
                  <c:v>81407.214220580048</c:v>
                </c:pt>
                <c:pt idx="17">
                  <c:v>87739.021581780151</c:v>
                </c:pt>
                <c:pt idx="18">
                  <c:v>94303.790358055281</c:v>
                </c:pt>
                <c:pt idx="19">
                  <c:v>94565.068354333867</c:v>
                </c:pt>
                <c:pt idx="20">
                  <c:v>94430.095237664485</c:v>
                </c:pt>
                <c:pt idx="21">
                  <c:v>94644.853582702854</c:v>
                </c:pt>
              </c:numCache>
            </c:numRef>
          </c:val>
          <c:extLst>
            <c:ext xmlns:c16="http://schemas.microsoft.com/office/drawing/2014/chart" uri="{C3380CC4-5D6E-409C-BE32-E72D297353CC}">
              <c16:uniqueId val="{0000032D-9ED3-4FF8-8DED-3FCA538ED9C7}"/>
            </c:ext>
          </c:extLst>
        </c:ser>
        <c:ser>
          <c:idx val="9"/>
          <c:order val="8"/>
          <c:tx>
            <c:strRef>
              <c:f>'NEMEnergyGenerated Data'!$B$11</c:f>
              <c:strCache>
                <c:ptCount val="1"/>
                <c:pt idx="0">
                  <c:v>Utility storage generation</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364-9ED3-4FF8-8DED-3FCA538ED9C7}"/>
              </c:ext>
            </c:extLst>
          </c:dPt>
          <c:dPt>
            <c:idx val="1"/>
            <c:invertIfNegative val="0"/>
            <c:bubble3D val="0"/>
            <c:extLst>
              <c:ext xmlns:c16="http://schemas.microsoft.com/office/drawing/2014/chart" uri="{C3380CC4-5D6E-409C-BE32-E72D297353CC}">
                <c16:uniqueId val="{00000366-9ED3-4FF8-8DED-3FCA538ED9C7}"/>
              </c:ext>
            </c:extLst>
          </c:dPt>
          <c:dPt>
            <c:idx val="2"/>
            <c:invertIfNegative val="0"/>
            <c:bubble3D val="0"/>
            <c:extLst>
              <c:ext xmlns:c16="http://schemas.microsoft.com/office/drawing/2014/chart" uri="{C3380CC4-5D6E-409C-BE32-E72D297353CC}">
                <c16:uniqueId val="{00000368-9ED3-4FF8-8DED-3FCA538ED9C7}"/>
              </c:ext>
            </c:extLst>
          </c:dPt>
          <c:dPt>
            <c:idx val="3"/>
            <c:invertIfNegative val="0"/>
            <c:bubble3D val="0"/>
            <c:extLst>
              <c:ext xmlns:c16="http://schemas.microsoft.com/office/drawing/2014/chart" uri="{C3380CC4-5D6E-409C-BE32-E72D297353CC}">
                <c16:uniqueId val="{0000036A-9ED3-4FF8-8DED-3FCA538ED9C7}"/>
              </c:ext>
            </c:extLst>
          </c:dPt>
          <c:dPt>
            <c:idx val="4"/>
            <c:invertIfNegative val="0"/>
            <c:bubble3D val="0"/>
            <c:extLst>
              <c:ext xmlns:c16="http://schemas.microsoft.com/office/drawing/2014/chart" uri="{C3380CC4-5D6E-409C-BE32-E72D297353CC}">
                <c16:uniqueId val="{0000036C-9ED3-4FF8-8DED-3FCA538ED9C7}"/>
              </c:ext>
            </c:extLst>
          </c:dPt>
          <c:dPt>
            <c:idx val="5"/>
            <c:invertIfNegative val="0"/>
            <c:bubble3D val="0"/>
            <c:extLst>
              <c:ext xmlns:c16="http://schemas.microsoft.com/office/drawing/2014/chart" uri="{C3380CC4-5D6E-409C-BE32-E72D297353CC}">
                <c16:uniqueId val="{0000036E-9ED3-4FF8-8DED-3FCA538ED9C7}"/>
              </c:ext>
            </c:extLst>
          </c:dPt>
          <c:dPt>
            <c:idx val="6"/>
            <c:invertIfNegative val="0"/>
            <c:bubble3D val="0"/>
            <c:extLst>
              <c:ext xmlns:c16="http://schemas.microsoft.com/office/drawing/2014/chart" uri="{C3380CC4-5D6E-409C-BE32-E72D297353CC}">
                <c16:uniqueId val="{00000370-9ED3-4FF8-8DED-3FCA538ED9C7}"/>
              </c:ext>
            </c:extLst>
          </c:dPt>
          <c:dPt>
            <c:idx val="7"/>
            <c:invertIfNegative val="0"/>
            <c:bubble3D val="0"/>
            <c:extLst>
              <c:ext xmlns:c16="http://schemas.microsoft.com/office/drawing/2014/chart" uri="{C3380CC4-5D6E-409C-BE32-E72D297353CC}">
                <c16:uniqueId val="{00000372-9ED3-4FF8-8DED-3FCA538ED9C7}"/>
              </c:ext>
            </c:extLst>
          </c:dPt>
          <c:dPt>
            <c:idx val="8"/>
            <c:invertIfNegative val="0"/>
            <c:bubble3D val="0"/>
            <c:extLst>
              <c:ext xmlns:c16="http://schemas.microsoft.com/office/drawing/2014/chart" uri="{C3380CC4-5D6E-409C-BE32-E72D297353CC}">
                <c16:uniqueId val="{00000374-9ED3-4FF8-8DED-3FCA538ED9C7}"/>
              </c:ext>
            </c:extLst>
          </c:dPt>
          <c:dPt>
            <c:idx val="9"/>
            <c:invertIfNegative val="0"/>
            <c:bubble3D val="0"/>
            <c:extLst>
              <c:ext xmlns:c16="http://schemas.microsoft.com/office/drawing/2014/chart" uri="{C3380CC4-5D6E-409C-BE32-E72D297353CC}">
                <c16:uniqueId val="{00000376-9ED3-4FF8-8DED-3FCA538ED9C7}"/>
              </c:ext>
            </c:extLst>
          </c:dPt>
          <c:dPt>
            <c:idx val="10"/>
            <c:invertIfNegative val="0"/>
            <c:bubble3D val="0"/>
            <c:extLst>
              <c:ext xmlns:c16="http://schemas.microsoft.com/office/drawing/2014/chart" uri="{C3380CC4-5D6E-409C-BE32-E72D297353CC}">
                <c16:uniqueId val="{00000378-9ED3-4FF8-8DED-3FCA538ED9C7}"/>
              </c:ext>
            </c:extLst>
          </c:dPt>
          <c:dPt>
            <c:idx val="11"/>
            <c:invertIfNegative val="0"/>
            <c:bubble3D val="0"/>
            <c:extLst>
              <c:ext xmlns:c16="http://schemas.microsoft.com/office/drawing/2014/chart" uri="{C3380CC4-5D6E-409C-BE32-E72D297353CC}">
                <c16:uniqueId val="{0000037A-9ED3-4FF8-8DED-3FCA538ED9C7}"/>
              </c:ext>
            </c:extLst>
          </c:dPt>
          <c:dPt>
            <c:idx val="12"/>
            <c:invertIfNegative val="0"/>
            <c:bubble3D val="0"/>
            <c:extLst>
              <c:ext xmlns:c16="http://schemas.microsoft.com/office/drawing/2014/chart" uri="{C3380CC4-5D6E-409C-BE32-E72D297353CC}">
                <c16:uniqueId val="{0000037C-9ED3-4FF8-8DED-3FCA538ED9C7}"/>
              </c:ext>
            </c:extLst>
          </c:dPt>
          <c:dPt>
            <c:idx val="13"/>
            <c:invertIfNegative val="0"/>
            <c:bubble3D val="0"/>
            <c:extLst>
              <c:ext xmlns:c16="http://schemas.microsoft.com/office/drawing/2014/chart" uri="{C3380CC4-5D6E-409C-BE32-E72D297353CC}">
                <c16:uniqueId val="{0000037E-9ED3-4FF8-8DED-3FCA538ED9C7}"/>
              </c:ext>
            </c:extLst>
          </c:dPt>
          <c:dPt>
            <c:idx val="14"/>
            <c:invertIfNegative val="0"/>
            <c:bubble3D val="0"/>
            <c:extLst>
              <c:ext xmlns:c16="http://schemas.microsoft.com/office/drawing/2014/chart" uri="{C3380CC4-5D6E-409C-BE32-E72D297353CC}">
                <c16:uniqueId val="{00000380-9ED3-4FF8-8DED-3FCA538ED9C7}"/>
              </c:ext>
            </c:extLst>
          </c:dPt>
          <c:dPt>
            <c:idx val="15"/>
            <c:invertIfNegative val="0"/>
            <c:bubble3D val="0"/>
            <c:extLst>
              <c:ext xmlns:c16="http://schemas.microsoft.com/office/drawing/2014/chart" uri="{C3380CC4-5D6E-409C-BE32-E72D297353CC}">
                <c16:uniqueId val="{00000382-9ED3-4FF8-8DED-3FCA538ED9C7}"/>
              </c:ext>
            </c:extLst>
          </c:dPt>
          <c:dPt>
            <c:idx val="16"/>
            <c:invertIfNegative val="0"/>
            <c:bubble3D val="0"/>
            <c:extLst>
              <c:ext xmlns:c16="http://schemas.microsoft.com/office/drawing/2014/chart" uri="{C3380CC4-5D6E-409C-BE32-E72D297353CC}">
                <c16:uniqueId val="{00000384-9ED3-4FF8-8DED-3FCA538ED9C7}"/>
              </c:ext>
            </c:extLst>
          </c:dPt>
          <c:dPt>
            <c:idx val="17"/>
            <c:invertIfNegative val="0"/>
            <c:bubble3D val="0"/>
            <c:extLst>
              <c:ext xmlns:c16="http://schemas.microsoft.com/office/drawing/2014/chart" uri="{C3380CC4-5D6E-409C-BE32-E72D297353CC}">
                <c16:uniqueId val="{00000386-9ED3-4FF8-8DED-3FCA538ED9C7}"/>
              </c:ext>
            </c:extLst>
          </c:dPt>
          <c:dPt>
            <c:idx val="18"/>
            <c:invertIfNegative val="0"/>
            <c:bubble3D val="0"/>
            <c:extLst>
              <c:ext xmlns:c16="http://schemas.microsoft.com/office/drawing/2014/chart" uri="{C3380CC4-5D6E-409C-BE32-E72D297353CC}">
                <c16:uniqueId val="{00000388-9ED3-4FF8-8DED-3FCA538ED9C7}"/>
              </c:ext>
            </c:extLst>
          </c:dPt>
          <c:dPt>
            <c:idx val="19"/>
            <c:invertIfNegative val="0"/>
            <c:bubble3D val="0"/>
            <c:extLst>
              <c:ext xmlns:c16="http://schemas.microsoft.com/office/drawing/2014/chart" uri="{C3380CC4-5D6E-409C-BE32-E72D297353CC}">
                <c16:uniqueId val="{0000038A-9ED3-4FF8-8DED-3FCA538ED9C7}"/>
              </c:ext>
            </c:extLst>
          </c:dPt>
          <c:dPt>
            <c:idx val="20"/>
            <c:invertIfNegative val="0"/>
            <c:bubble3D val="0"/>
            <c:extLst>
              <c:ext xmlns:c16="http://schemas.microsoft.com/office/drawing/2014/chart" uri="{C3380CC4-5D6E-409C-BE32-E72D297353CC}">
                <c16:uniqueId val="{0000038C-9ED3-4FF8-8DED-3FCA538ED9C7}"/>
              </c:ext>
            </c:extLst>
          </c:dPt>
          <c:dPt>
            <c:idx val="21"/>
            <c:invertIfNegative val="0"/>
            <c:bubble3D val="0"/>
            <c:extLst>
              <c:ext xmlns:c16="http://schemas.microsoft.com/office/drawing/2014/chart" uri="{C3380CC4-5D6E-409C-BE32-E72D297353CC}">
                <c16:uniqueId val="{0000038E-9ED3-4FF8-8DED-3FCA538ED9C7}"/>
              </c:ext>
            </c:extLst>
          </c:dPt>
          <c:dPt>
            <c:idx val="22"/>
            <c:invertIfNegative val="0"/>
            <c:bubble3D val="0"/>
            <c:extLst>
              <c:ext xmlns:c16="http://schemas.microsoft.com/office/drawing/2014/chart" uri="{C3380CC4-5D6E-409C-BE32-E72D297353CC}">
                <c16:uniqueId val="{00000390-9ED3-4FF8-8DED-3FCA538ED9C7}"/>
              </c:ext>
            </c:extLst>
          </c:dPt>
          <c:dPt>
            <c:idx val="23"/>
            <c:invertIfNegative val="0"/>
            <c:bubble3D val="0"/>
            <c:extLst>
              <c:ext xmlns:c16="http://schemas.microsoft.com/office/drawing/2014/chart" uri="{C3380CC4-5D6E-409C-BE32-E72D297353CC}">
                <c16:uniqueId val="{00000392-9ED3-4FF8-8DED-3FCA538ED9C7}"/>
              </c:ext>
            </c:extLst>
          </c:dPt>
          <c:dPt>
            <c:idx val="24"/>
            <c:invertIfNegative val="0"/>
            <c:bubble3D val="0"/>
            <c:extLst>
              <c:ext xmlns:c16="http://schemas.microsoft.com/office/drawing/2014/chart" uri="{C3380CC4-5D6E-409C-BE32-E72D297353CC}">
                <c16:uniqueId val="{00000394-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Data'!$C$11:$X$11</c:f>
              <c:numCache>
                <c:formatCode>#,##0_ ;\-#,##0\ </c:formatCode>
                <c:ptCount val="22"/>
                <c:pt idx="0">
                  <c:v>1080.0859680045503</c:v>
                </c:pt>
                <c:pt idx="1">
                  <c:v>205.31619274281991</c:v>
                </c:pt>
                <c:pt idx="2">
                  <c:v>160.70462405702995</c:v>
                </c:pt>
                <c:pt idx="3">
                  <c:v>580.09916390043054</c:v>
                </c:pt>
                <c:pt idx="4">
                  <c:v>1232.1694446610011</c:v>
                </c:pt>
                <c:pt idx="5">
                  <c:v>1096.2158381215304</c:v>
                </c:pt>
                <c:pt idx="6">
                  <c:v>2007.6960974993108</c:v>
                </c:pt>
                <c:pt idx="7">
                  <c:v>3130.4576291007224</c:v>
                </c:pt>
                <c:pt idx="8">
                  <c:v>4975.5755405679165</c:v>
                </c:pt>
                <c:pt idx="9">
                  <c:v>6503.1775854365023</c:v>
                </c:pt>
                <c:pt idx="10">
                  <c:v>8327.3927755026507</c:v>
                </c:pt>
                <c:pt idx="11">
                  <c:v>12571.26253748318</c:v>
                </c:pt>
                <c:pt idx="12">
                  <c:v>15455.797475907892</c:v>
                </c:pt>
                <c:pt idx="13">
                  <c:v>19705.219610815577</c:v>
                </c:pt>
                <c:pt idx="14">
                  <c:v>23670.148674131397</c:v>
                </c:pt>
                <c:pt idx="15">
                  <c:v>26430.833327213073</c:v>
                </c:pt>
                <c:pt idx="16">
                  <c:v>32030.326166925021</c:v>
                </c:pt>
                <c:pt idx="17">
                  <c:v>36153.896085650296</c:v>
                </c:pt>
                <c:pt idx="18">
                  <c:v>40375.144288939518</c:v>
                </c:pt>
                <c:pt idx="19">
                  <c:v>41219.567975020727</c:v>
                </c:pt>
                <c:pt idx="20">
                  <c:v>41136.569626304445</c:v>
                </c:pt>
                <c:pt idx="21">
                  <c:v>42176.807400514415</c:v>
                </c:pt>
              </c:numCache>
            </c:numRef>
          </c:val>
          <c:extLst>
            <c:ext xmlns:c16="http://schemas.microsoft.com/office/drawing/2014/chart" uri="{C3380CC4-5D6E-409C-BE32-E72D297353CC}">
              <c16:uniqueId val="{00000395-9ED3-4FF8-8DED-3FCA538ED9C7}"/>
            </c:ext>
          </c:extLst>
        </c:ser>
        <c:ser>
          <c:idx val="11"/>
          <c:order val="9"/>
          <c:tx>
            <c:strRef>
              <c:f>'NEMEnergyGenerated Data'!$B$14</c:f>
              <c:strCache>
                <c:ptCount val="1"/>
                <c:pt idx="0">
                  <c:v>Distributed storage generation</c:v>
                </c:pt>
              </c:strCache>
            </c:strRef>
          </c:tx>
          <c:spPr>
            <a:solidFill>
              <a:srgbClr val="92D050"/>
            </a:solidFill>
            <a:ln>
              <a:noFill/>
            </a:ln>
          </c:spPr>
          <c:invertIfNegative val="0"/>
          <c:dPt>
            <c:idx val="0"/>
            <c:invertIfNegative val="0"/>
            <c:bubble3D val="0"/>
            <c:spPr>
              <a:solidFill>
                <a:srgbClr val="92D050"/>
              </a:solidFill>
              <a:ln w="3175" cmpd="sng">
                <a:noFill/>
                <a:prstDash val="solid"/>
              </a:ln>
            </c:spPr>
            <c:extLst>
              <c:ext xmlns:c16="http://schemas.microsoft.com/office/drawing/2014/chart" uri="{C3380CC4-5D6E-409C-BE32-E72D297353CC}">
                <c16:uniqueId val="{000003E2-9ED3-4FF8-8DED-3FCA538ED9C7}"/>
              </c:ext>
            </c:extLst>
          </c:dPt>
          <c:dPt>
            <c:idx val="1"/>
            <c:invertIfNegative val="0"/>
            <c:bubble3D val="0"/>
            <c:spPr>
              <a:solidFill>
                <a:srgbClr val="92D050"/>
              </a:solidFill>
              <a:ln w="3175" cmpd="sng">
                <a:noFill/>
                <a:prstDash val="solid"/>
              </a:ln>
            </c:spPr>
            <c:extLst>
              <c:ext xmlns:c16="http://schemas.microsoft.com/office/drawing/2014/chart" uri="{C3380CC4-5D6E-409C-BE32-E72D297353CC}">
                <c16:uniqueId val="{000003E3-9ED3-4FF8-8DED-3FCA538ED9C7}"/>
              </c:ext>
            </c:extLst>
          </c:dPt>
          <c:dPt>
            <c:idx val="2"/>
            <c:invertIfNegative val="0"/>
            <c:bubble3D val="0"/>
            <c:spPr>
              <a:solidFill>
                <a:srgbClr val="92D050"/>
              </a:solidFill>
              <a:ln w="3175" cmpd="sng">
                <a:noFill/>
                <a:prstDash val="solid"/>
              </a:ln>
            </c:spPr>
            <c:extLst>
              <c:ext xmlns:c16="http://schemas.microsoft.com/office/drawing/2014/chart" uri="{C3380CC4-5D6E-409C-BE32-E72D297353CC}">
                <c16:uniqueId val="{000003E4-9ED3-4FF8-8DED-3FCA538ED9C7}"/>
              </c:ext>
            </c:extLst>
          </c:dPt>
          <c:dPt>
            <c:idx val="3"/>
            <c:invertIfNegative val="0"/>
            <c:bubble3D val="0"/>
            <c:spPr>
              <a:solidFill>
                <a:srgbClr val="92D050"/>
              </a:solidFill>
              <a:ln w="3175" cmpd="sng">
                <a:noFill/>
                <a:prstDash val="solid"/>
              </a:ln>
            </c:spPr>
            <c:extLst>
              <c:ext xmlns:c16="http://schemas.microsoft.com/office/drawing/2014/chart" uri="{C3380CC4-5D6E-409C-BE32-E72D297353CC}">
                <c16:uniqueId val="{000003E5-9ED3-4FF8-8DED-3FCA538ED9C7}"/>
              </c:ext>
            </c:extLst>
          </c:dPt>
          <c:dPt>
            <c:idx val="4"/>
            <c:invertIfNegative val="0"/>
            <c:bubble3D val="0"/>
            <c:spPr>
              <a:solidFill>
                <a:srgbClr val="92D050"/>
              </a:solidFill>
              <a:ln w="3175" cmpd="sng">
                <a:noFill/>
                <a:prstDash val="solid"/>
              </a:ln>
            </c:spPr>
            <c:extLst>
              <c:ext xmlns:c16="http://schemas.microsoft.com/office/drawing/2014/chart" uri="{C3380CC4-5D6E-409C-BE32-E72D297353CC}">
                <c16:uniqueId val="{000003E6-9ED3-4FF8-8DED-3FCA538ED9C7}"/>
              </c:ext>
            </c:extLst>
          </c:dPt>
          <c:dPt>
            <c:idx val="5"/>
            <c:invertIfNegative val="0"/>
            <c:bubble3D val="0"/>
            <c:spPr>
              <a:solidFill>
                <a:srgbClr val="92D050"/>
              </a:solidFill>
              <a:ln w="3175" cmpd="sng">
                <a:noFill/>
                <a:prstDash val="solid"/>
              </a:ln>
            </c:spPr>
            <c:extLst>
              <c:ext xmlns:c16="http://schemas.microsoft.com/office/drawing/2014/chart" uri="{C3380CC4-5D6E-409C-BE32-E72D297353CC}">
                <c16:uniqueId val="{000003E7-9ED3-4FF8-8DED-3FCA538ED9C7}"/>
              </c:ext>
            </c:extLst>
          </c:dPt>
          <c:dPt>
            <c:idx val="6"/>
            <c:invertIfNegative val="0"/>
            <c:bubble3D val="0"/>
            <c:spPr>
              <a:solidFill>
                <a:srgbClr val="92D050"/>
              </a:solidFill>
              <a:ln w="3175" cmpd="sng">
                <a:noFill/>
                <a:prstDash val="solid"/>
              </a:ln>
            </c:spPr>
            <c:extLst>
              <c:ext xmlns:c16="http://schemas.microsoft.com/office/drawing/2014/chart" uri="{C3380CC4-5D6E-409C-BE32-E72D297353CC}">
                <c16:uniqueId val="{000003E8-9ED3-4FF8-8DED-3FCA538ED9C7}"/>
              </c:ext>
            </c:extLst>
          </c:dPt>
          <c:dPt>
            <c:idx val="7"/>
            <c:invertIfNegative val="0"/>
            <c:bubble3D val="0"/>
            <c:spPr>
              <a:solidFill>
                <a:srgbClr val="92D050"/>
              </a:solidFill>
              <a:ln w="3175" cmpd="sng">
                <a:noFill/>
                <a:prstDash val="solid"/>
              </a:ln>
            </c:spPr>
            <c:extLst>
              <c:ext xmlns:c16="http://schemas.microsoft.com/office/drawing/2014/chart" uri="{C3380CC4-5D6E-409C-BE32-E72D297353CC}">
                <c16:uniqueId val="{000003E9-9ED3-4FF8-8DED-3FCA538ED9C7}"/>
              </c:ext>
            </c:extLst>
          </c:dPt>
          <c:dPt>
            <c:idx val="8"/>
            <c:invertIfNegative val="0"/>
            <c:bubble3D val="0"/>
            <c:spPr>
              <a:solidFill>
                <a:srgbClr val="92D050"/>
              </a:solidFill>
              <a:ln w="3175" cmpd="sng">
                <a:noFill/>
                <a:prstDash val="solid"/>
              </a:ln>
            </c:spPr>
            <c:extLst>
              <c:ext xmlns:c16="http://schemas.microsoft.com/office/drawing/2014/chart" uri="{C3380CC4-5D6E-409C-BE32-E72D297353CC}">
                <c16:uniqueId val="{000003EA-9ED3-4FF8-8DED-3FCA538ED9C7}"/>
              </c:ext>
            </c:extLst>
          </c:dPt>
          <c:dPt>
            <c:idx val="9"/>
            <c:invertIfNegative val="0"/>
            <c:bubble3D val="0"/>
            <c:spPr>
              <a:solidFill>
                <a:srgbClr val="92D050"/>
              </a:solidFill>
              <a:ln w="3175" cmpd="sng">
                <a:noFill/>
                <a:prstDash val="solid"/>
              </a:ln>
            </c:spPr>
            <c:extLst>
              <c:ext xmlns:c16="http://schemas.microsoft.com/office/drawing/2014/chart" uri="{C3380CC4-5D6E-409C-BE32-E72D297353CC}">
                <c16:uniqueId val="{000003EB-9ED3-4FF8-8DED-3FCA538ED9C7}"/>
              </c:ext>
            </c:extLst>
          </c:dPt>
          <c:dPt>
            <c:idx val="10"/>
            <c:invertIfNegative val="0"/>
            <c:bubble3D val="0"/>
            <c:spPr>
              <a:solidFill>
                <a:srgbClr val="92D050"/>
              </a:solidFill>
              <a:ln w="3175" cmpd="sng">
                <a:noFill/>
                <a:prstDash val="solid"/>
              </a:ln>
            </c:spPr>
            <c:extLst>
              <c:ext xmlns:c16="http://schemas.microsoft.com/office/drawing/2014/chart" uri="{C3380CC4-5D6E-409C-BE32-E72D297353CC}">
                <c16:uniqueId val="{000003EC-9ED3-4FF8-8DED-3FCA538ED9C7}"/>
              </c:ext>
            </c:extLst>
          </c:dPt>
          <c:dPt>
            <c:idx val="11"/>
            <c:invertIfNegative val="0"/>
            <c:bubble3D val="0"/>
            <c:spPr>
              <a:solidFill>
                <a:srgbClr val="92D050"/>
              </a:solidFill>
              <a:ln w="3175" cmpd="sng">
                <a:noFill/>
                <a:prstDash val="solid"/>
              </a:ln>
            </c:spPr>
            <c:extLst>
              <c:ext xmlns:c16="http://schemas.microsoft.com/office/drawing/2014/chart" uri="{C3380CC4-5D6E-409C-BE32-E72D297353CC}">
                <c16:uniqueId val="{000003ED-9ED3-4FF8-8DED-3FCA538ED9C7}"/>
              </c:ext>
            </c:extLst>
          </c:dPt>
          <c:dPt>
            <c:idx val="12"/>
            <c:invertIfNegative val="0"/>
            <c:bubble3D val="0"/>
            <c:spPr>
              <a:solidFill>
                <a:srgbClr val="92D050"/>
              </a:solidFill>
              <a:ln w="3175" cmpd="sng">
                <a:noFill/>
                <a:prstDash val="solid"/>
              </a:ln>
            </c:spPr>
            <c:extLst>
              <c:ext xmlns:c16="http://schemas.microsoft.com/office/drawing/2014/chart" uri="{C3380CC4-5D6E-409C-BE32-E72D297353CC}">
                <c16:uniqueId val="{000003EE-9ED3-4FF8-8DED-3FCA538ED9C7}"/>
              </c:ext>
            </c:extLst>
          </c:dPt>
          <c:dPt>
            <c:idx val="13"/>
            <c:invertIfNegative val="0"/>
            <c:bubble3D val="0"/>
            <c:spPr>
              <a:solidFill>
                <a:srgbClr val="92D050"/>
              </a:solidFill>
              <a:ln w="3175" cmpd="sng">
                <a:noFill/>
                <a:prstDash val="solid"/>
              </a:ln>
            </c:spPr>
            <c:extLst>
              <c:ext xmlns:c16="http://schemas.microsoft.com/office/drawing/2014/chart" uri="{C3380CC4-5D6E-409C-BE32-E72D297353CC}">
                <c16:uniqueId val="{000003EF-9ED3-4FF8-8DED-3FCA538ED9C7}"/>
              </c:ext>
            </c:extLst>
          </c:dPt>
          <c:dPt>
            <c:idx val="14"/>
            <c:invertIfNegative val="0"/>
            <c:bubble3D val="0"/>
            <c:spPr>
              <a:solidFill>
                <a:srgbClr val="92D050"/>
              </a:solidFill>
              <a:ln w="3175" cmpd="sng">
                <a:noFill/>
                <a:prstDash val="solid"/>
              </a:ln>
            </c:spPr>
            <c:extLst>
              <c:ext xmlns:c16="http://schemas.microsoft.com/office/drawing/2014/chart" uri="{C3380CC4-5D6E-409C-BE32-E72D297353CC}">
                <c16:uniqueId val="{000003F0-9ED3-4FF8-8DED-3FCA538ED9C7}"/>
              </c:ext>
            </c:extLst>
          </c:dPt>
          <c:dPt>
            <c:idx val="15"/>
            <c:invertIfNegative val="0"/>
            <c:bubble3D val="0"/>
            <c:spPr>
              <a:solidFill>
                <a:srgbClr val="92D050"/>
              </a:solidFill>
              <a:ln w="3175" cmpd="sng">
                <a:noFill/>
                <a:prstDash val="solid"/>
              </a:ln>
            </c:spPr>
            <c:extLst>
              <c:ext xmlns:c16="http://schemas.microsoft.com/office/drawing/2014/chart" uri="{C3380CC4-5D6E-409C-BE32-E72D297353CC}">
                <c16:uniqueId val="{000003F1-9ED3-4FF8-8DED-3FCA538ED9C7}"/>
              </c:ext>
            </c:extLst>
          </c:dPt>
          <c:dPt>
            <c:idx val="16"/>
            <c:invertIfNegative val="0"/>
            <c:bubble3D val="0"/>
            <c:spPr>
              <a:solidFill>
                <a:srgbClr val="92D050"/>
              </a:solidFill>
              <a:ln w="3175" cmpd="sng">
                <a:noFill/>
                <a:prstDash val="solid"/>
              </a:ln>
            </c:spPr>
            <c:extLst>
              <c:ext xmlns:c16="http://schemas.microsoft.com/office/drawing/2014/chart" uri="{C3380CC4-5D6E-409C-BE32-E72D297353CC}">
                <c16:uniqueId val="{000003F2-9ED3-4FF8-8DED-3FCA538ED9C7}"/>
              </c:ext>
            </c:extLst>
          </c:dPt>
          <c:dPt>
            <c:idx val="17"/>
            <c:invertIfNegative val="0"/>
            <c:bubble3D val="0"/>
            <c:spPr>
              <a:solidFill>
                <a:srgbClr val="92D050"/>
              </a:solidFill>
              <a:ln w="3175" cmpd="sng">
                <a:noFill/>
                <a:prstDash val="solid"/>
              </a:ln>
            </c:spPr>
            <c:extLst>
              <c:ext xmlns:c16="http://schemas.microsoft.com/office/drawing/2014/chart" uri="{C3380CC4-5D6E-409C-BE32-E72D297353CC}">
                <c16:uniqueId val="{000003F3-9ED3-4FF8-8DED-3FCA538ED9C7}"/>
              </c:ext>
            </c:extLst>
          </c:dPt>
          <c:dPt>
            <c:idx val="18"/>
            <c:invertIfNegative val="0"/>
            <c:bubble3D val="0"/>
            <c:spPr>
              <a:solidFill>
                <a:srgbClr val="92D050"/>
              </a:solidFill>
              <a:ln w="3175" cmpd="sng">
                <a:noFill/>
                <a:prstDash val="solid"/>
              </a:ln>
            </c:spPr>
            <c:extLst>
              <c:ext xmlns:c16="http://schemas.microsoft.com/office/drawing/2014/chart" uri="{C3380CC4-5D6E-409C-BE32-E72D297353CC}">
                <c16:uniqueId val="{000003F4-9ED3-4FF8-8DED-3FCA538ED9C7}"/>
              </c:ext>
            </c:extLst>
          </c:dPt>
          <c:dPt>
            <c:idx val="19"/>
            <c:invertIfNegative val="0"/>
            <c:bubble3D val="0"/>
            <c:spPr>
              <a:solidFill>
                <a:srgbClr val="92D050"/>
              </a:solidFill>
              <a:ln w="3175" cmpd="sng">
                <a:noFill/>
                <a:prstDash val="solid"/>
              </a:ln>
            </c:spPr>
            <c:extLst>
              <c:ext xmlns:c16="http://schemas.microsoft.com/office/drawing/2014/chart" uri="{C3380CC4-5D6E-409C-BE32-E72D297353CC}">
                <c16:uniqueId val="{000003F5-9ED3-4FF8-8DED-3FCA538ED9C7}"/>
              </c:ext>
            </c:extLst>
          </c:dPt>
          <c:dPt>
            <c:idx val="20"/>
            <c:invertIfNegative val="0"/>
            <c:bubble3D val="0"/>
            <c:spPr>
              <a:solidFill>
                <a:srgbClr val="92D050"/>
              </a:solidFill>
              <a:ln w="3175" cmpd="sng">
                <a:noFill/>
                <a:prstDash val="solid"/>
              </a:ln>
            </c:spPr>
            <c:extLst>
              <c:ext xmlns:c16="http://schemas.microsoft.com/office/drawing/2014/chart" uri="{C3380CC4-5D6E-409C-BE32-E72D297353CC}">
                <c16:uniqueId val="{000003F6-9ED3-4FF8-8DED-3FCA538ED9C7}"/>
              </c:ext>
            </c:extLst>
          </c:dPt>
          <c:dPt>
            <c:idx val="21"/>
            <c:invertIfNegative val="0"/>
            <c:bubble3D val="0"/>
            <c:spPr>
              <a:solidFill>
                <a:srgbClr val="92D050"/>
              </a:solidFill>
              <a:ln w="3175" cmpd="sng">
                <a:noFill/>
                <a:prstDash val="solid"/>
              </a:ln>
            </c:spPr>
            <c:extLst>
              <c:ext xmlns:c16="http://schemas.microsoft.com/office/drawing/2014/chart" uri="{C3380CC4-5D6E-409C-BE32-E72D297353CC}">
                <c16:uniqueId val="{000003F7-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Data'!$C$14:$X$14</c:f>
              <c:numCache>
                <c:formatCode>#,##0_ ;\-#,##0\ </c:formatCode>
                <c:ptCount val="22"/>
                <c:pt idx="0">
                  <c:v>111.62783239999999</c:v>
                </c:pt>
                <c:pt idx="1">
                  <c:v>217.48870800723</c:v>
                </c:pt>
                <c:pt idx="2">
                  <c:v>349.79036823654997</c:v>
                </c:pt>
                <c:pt idx="3">
                  <c:v>489.86480526699989</c:v>
                </c:pt>
                <c:pt idx="4">
                  <c:v>617.86171869032989</c:v>
                </c:pt>
                <c:pt idx="5">
                  <c:v>737.36821184898054</c:v>
                </c:pt>
                <c:pt idx="6">
                  <c:v>858.31367773192983</c:v>
                </c:pt>
                <c:pt idx="7">
                  <c:v>973.32069065407995</c:v>
                </c:pt>
                <c:pt idx="8">
                  <c:v>1086.0906545450398</c:v>
                </c:pt>
                <c:pt idx="9">
                  <c:v>1197.4136980977905</c:v>
                </c:pt>
                <c:pt idx="10">
                  <c:v>1306.6337029859596</c:v>
                </c:pt>
                <c:pt idx="11">
                  <c:v>1415.4530940265004</c:v>
                </c:pt>
                <c:pt idx="12">
                  <c:v>1518.60540962968</c:v>
                </c:pt>
                <c:pt idx="13">
                  <c:v>1611.5494453005304</c:v>
                </c:pt>
                <c:pt idx="14">
                  <c:v>1700.2162224650901</c:v>
                </c:pt>
                <c:pt idx="15">
                  <c:v>1786.47799525966</c:v>
                </c:pt>
                <c:pt idx="16">
                  <c:v>1869.9364272389098</c:v>
                </c:pt>
                <c:pt idx="17">
                  <c:v>1953.7988134857098</c:v>
                </c:pt>
                <c:pt idx="18">
                  <c:v>2031.7653043998289</c:v>
                </c:pt>
                <c:pt idx="19">
                  <c:v>2108.4276600708995</c:v>
                </c:pt>
                <c:pt idx="20">
                  <c:v>2164.8775940000014</c:v>
                </c:pt>
                <c:pt idx="21">
                  <c:v>2239.2723049349693</c:v>
                </c:pt>
              </c:numCache>
            </c:numRef>
          </c:val>
          <c:extLst>
            <c:ext xmlns:c16="http://schemas.microsoft.com/office/drawing/2014/chart" uri="{C3380CC4-5D6E-409C-BE32-E72D297353CC}">
              <c16:uniqueId val="{000003E1-9ED3-4FF8-8DED-3FCA538ED9C7}"/>
            </c:ext>
          </c:extLst>
        </c:ser>
        <c:ser>
          <c:idx val="12"/>
          <c:order val="10"/>
          <c:tx>
            <c:strRef>
              <c:f>'NEMEnergyGenerated Data'!$B$15</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3F9-9ED3-4FF8-8DED-3FCA538ED9C7}"/>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3FA-9ED3-4FF8-8DED-3FCA538ED9C7}"/>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3FB-9ED3-4FF8-8DED-3FCA538ED9C7}"/>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3FC-9ED3-4FF8-8DED-3FCA538ED9C7}"/>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3FD-9ED3-4FF8-8DED-3FCA538ED9C7}"/>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3FE-9ED3-4FF8-8DED-3FCA538ED9C7}"/>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3FF-9ED3-4FF8-8DED-3FCA538ED9C7}"/>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400-9ED3-4FF8-8DED-3FCA538ED9C7}"/>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401-9ED3-4FF8-8DED-3FCA538ED9C7}"/>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402-9ED3-4FF8-8DED-3FCA538ED9C7}"/>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403-9ED3-4FF8-8DED-3FCA538ED9C7}"/>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404-9ED3-4FF8-8DED-3FCA538ED9C7}"/>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405-9ED3-4FF8-8DED-3FCA538ED9C7}"/>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406-9ED3-4FF8-8DED-3FCA538ED9C7}"/>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407-9ED3-4FF8-8DED-3FCA538ED9C7}"/>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408-9ED3-4FF8-8DED-3FCA538ED9C7}"/>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409-9ED3-4FF8-8DED-3FCA538ED9C7}"/>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40A-9ED3-4FF8-8DED-3FCA538ED9C7}"/>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40B-9ED3-4FF8-8DED-3FCA538ED9C7}"/>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40C-9ED3-4FF8-8DED-3FCA538ED9C7}"/>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40D-9ED3-4FF8-8DED-3FCA538ED9C7}"/>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40E-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Data'!$C$15:$X$15</c:f>
              <c:numCache>
                <c:formatCode>#,##0_ ;\-#,##0\ </c:formatCode>
                <c:ptCount val="22"/>
                <c:pt idx="0">
                  <c:v>9475</c:v>
                </c:pt>
                <c:pt idx="1">
                  <c:v>10796</c:v>
                </c:pt>
                <c:pt idx="2">
                  <c:v>12167</c:v>
                </c:pt>
                <c:pt idx="3">
                  <c:v>13376</c:v>
                </c:pt>
                <c:pt idx="4">
                  <c:v>14355</c:v>
                </c:pt>
                <c:pt idx="5">
                  <c:v>16163</c:v>
                </c:pt>
                <c:pt idx="6">
                  <c:v>17452</c:v>
                </c:pt>
                <c:pt idx="7">
                  <c:v>18649</c:v>
                </c:pt>
                <c:pt idx="8">
                  <c:v>19832</c:v>
                </c:pt>
                <c:pt idx="9">
                  <c:v>21164</c:v>
                </c:pt>
                <c:pt idx="10">
                  <c:v>22247</c:v>
                </c:pt>
                <c:pt idx="11">
                  <c:v>23373</c:v>
                </c:pt>
                <c:pt idx="12">
                  <c:v>24371</c:v>
                </c:pt>
                <c:pt idx="13">
                  <c:v>25416</c:v>
                </c:pt>
                <c:pt idx="14">
                  <c:v>26359</c:v>
                </c:pt>
                <c:pt idx="15">
                  <c:v>27143</c:v>
                </c:pt>
                <c:pt idx="16">
                  <c:v>27900</c:v>
                </c:pt>
                <c:pt idx="17">
                  <c:v>28674</c:v>
                </c:pt>
                <c:pt idx="18">
                  <c:v>29301</c:v>
                </c:pt>
                <c:pt idx="19">
                  <c:v>29864</c:v>
                </c:pt>
                <c:pt idx="20">
                  <c:v>30469</c:v>
                </c:pt>
                <c:pt idx="21">
                  <c:v>31010</c:v>
                </c:pt>
              </c:numCache>
            </c:numRef>
          </c:val>
          <c:extLst>
            <c:ext xmlns:c16="http://schemas.microsoft.com/office/drawing/2014/chart" uri="{C3380CC4-5D6E-409C-BE32-E72D297353CC}">
              <c16:uniqueId val="{000003F8-9ED3-4FF8-8DED-3FCA538ED9C7}"/>
            </c:ext>
          </c:extLst>
        </c:ser>
        <c:ser>
          <c:idx val="10"/>
          <c:order val="11"/>
          <c:tx>
            <c:strRef>
              <c:f>'NEMEnergyGenerated Data'!$B$13</c:f>
              <c:strCache>
                <c:ptCount val="1"/>
                <c:pt idx="0">
                  <c:v>Utility storage load</c:v>
                </c:pt>
              </c:strCache>
            </c:strRef>
          </c:tx>
          <c:spPr>
            <a:solidFill>
              <a:srgbClr val="E1A8E9"/>
            </a:solidFill>
            <a:ln>
              <a:noFill/>
            </a:ln>
          </c:spPr>
          <c:invertIfNegative val="0"/>
          <c:dPt>
            <c:idx val="0"/>
            <c:invertIfNegative val="0"/>
            <c:bubble3D val="0"/>
            <c:spPr>
              <a:solidFill>
                <a:srgbClr val="E1A8E9"/>
              </a:solidFill>
              <a:ln w="3175" cmpd="sng">
                <a:noFill/>
                <a:prstDash val="solid"/>
              </a:ln>
            </c:spPr>
            <c:extLst>
              <c:ext xmlns:c16="http://schemas.microsoft.com/office/drawing/2014/chart" uri="{C3380CC4-5D6E-409C-BE32-E72D297353CC}">
                <c16:uniqueId val="{000003CB-9ED3-4FF8-8DED-3FCA538ED9C7}"/>
              </c:ext>
            </c:extLst>
          </c:dPt>
          <c:dPt>
            <c:idx val="1"/>
            <c:invertIfNegative val="0"/>
            <c:bubble3D val="0"/>
            <c:spPr>
              <a:solidFill>
                <a:srgbClr val="E1A8E9"/>
              </a:solidFill>
              <a:ln w="3175" cmpd="sng">
                <a:noFill/>
                <a:prstDash val="solid"/>
              </a:ln>
            </c:spPr>
            <c:extLst>
              <c:ext xmlns:c16="http://schemas.microsoft.com/office/drawing/2014/chart" uri="{C3380CC4-5D6E-409C-BE32-E72D297353CC}">
                <c16:uniqueId val="{000003CC-9ED3-4FF8-8DED-3FCA538ED9C7}"/>
              </c:ext>
            </c:extLst>
          </c:dPt>
          <c:dPt>
            <c:idx val="2"/>
            <c:invertIfNegative val="0"/>
            <c:bubble3D val="0"/>
            <c:spPr>
              <a:solidFill>
                <a:srgbClr val="E1A8E9"/>
              </a:solidFill>
              <a:ln w="3175" cmpd="sng">
                <a:noFill/>
                <a:prstDash val="solid"/>
              </a:ln>
            </c:spPr>
            <c:extLst>
              <c:ext xmlns:c16="http://schemas.microsoft.com/office/drawing/2014/chart" uri="{C3380CC4-5D6E-409C-BE32-E72D297353CC}">
                <c16:uniqueId val="{000003CD-9ED3-4FF8-8DED-3FCA538ED9C7}"/>
              </c:ext>
            </c:extLst>
          </c:dPt>
          <c:dPt>
            <c:idx val="3"/>
            <c:invertIfNegative val="0"/>
            <c:bubble3D val="0"/>
            <c:spPr>
              <a:solidFill>
                <a:srgbClr val="E1A8E9"/>
              </a:solidFill>
              <a:ln w="3175" cmpd="sng">
                <a:noFill/>
                <a:prstDash val="solid"/>
              </a:ln>
            </c:spPr>
            <c:extLst>
              <c:ext xmlns:c16="http://schemas.microsoft.com/office/drawing/2014/chart" uri="{C3380CC4-5D6E-409C-BE32-E72D297353CC}">
                <c16:uniqueId val="{000003CE-9ED3-4FF8-8DED-3FCA538ED9C7}"/>
              </c:ext>
            </c:extLst>
          </c:dPt>
          <c:dPt>
            <c:idx val="4"/>
            <c:invertIfNegative val="0"/>
            <c:bubble3D val="0"/>
            <c:spPr>
              <a:solidFill>
                <a:srgbClr val="E1A8E9"/>
              </a:solidFill>
              <a:ln w="3175" cmpd="sng">
                <a:noFill/>
                <a:prstDash val="solid"/>
              </a:ln>
            </c:spPr>
            <c:extLst>
              <c:ext xmlns:c16="http://schemas.microsoft.com/office/drawing/2014/chart" uri="{C3380CC4-5D6E-409C-BE32-E72D297353CC}">
                <c16:uniqueId val="{000003CF-9ED3-4FF8-8DED-3FCA538ED9C7}"/>
              </c:ext>
            </c:extLst>
          </c:dPt>
          <c:dPt>
            <c:idx val="5"/>
            <c:invertIfNegative val="0"/>
            <c:bubble3D val="0"/>
            <c:spPr>
              <a:solidFill>
                <a:srgbClr val="E1A8E9"/>
              </a:solidFill>
              <a:ln w="3175" cmpd="sng">
                <a:noFill/>
                <a:prstDash val="solid"/>
              </a:ln>
            </c:spPr>
            <c:extLst>
              <c:ext xmlns:c16="http://schemas.microsoft.com/office/drawing/2014/chart" uri="{C3380CC4-5D6E-409C-BE32-E72D297353CC}">
                <c16:uniqueId val="{000003D0-9ED3-4FF8-8DED-3FCA538ED9C7}"/>
              </c:ext>
            </c:extLst>
          </c:dPt>
          <c:dPt>
            <c:idx val="6"/>
            <c:invertIfNegative val="0"/>
            <c:bubble3D val="0"/>
            <c:spPr>
              <a:solidFill>
                <a:srgbClr val="E1A8E9"/>
              </a:solidFill>
              <a:ln w="3175" cmpd="sng">
                <a:noFill/>
                <a:prstDash val="solid"/>
              </a:ln>
            </c:spPr>
            <c:extLst>
              <c:ext xmlns:c16="http://schemas.microsoft.com/office/drawing/2014/chart" uri="{C3380CC4-5D6E-409C-BE32-E72D297353CC}">
                <c16:uniqueId val="{000003D1-9ED3-4FF8-8DED-3FCA538ED9C7}"/>
              </c:ext>
            </c:extLst>
          </c:dPt>
          <c:dPt>
            <c:idx val="7"/>
            <c:invertIfNegative val="0"/>
            <c:bubble3D val="0"/>
            <c:spPr>
              <a:solidFill>
                <a:srgbClr val="E1A8E9"/>
              </a:solidFill>
              <a:ln w="3175" cmpd="sng">
                <a:noFill/>
                <a:prstDash val="solid"/>
              </a:ln>
            </c:spPr>
            <c:extLst>
              <c:ext xmlns:c16="http://schemas.microsoft.com/office/drawing/2014/chart" uri="{C3380CC4-5D6E-409C-BE32-E72D297353CC}">
                <c16:uniqueId val="{000003D2-9ED3-4FF8-8DED-3FCA538ED9C7}"/>
              </c:ext>
            </c:extLst>
          </c:dPt>
          <c:dPt>
            <c:idx val="8"/>
            <c:invertIfNegative val="0"/>
            <c:bubble3D val="0"/>
            <c:spPr>
              <a:solidFill>
                <a:srgbClr val="E1A8E9"/>
              </a:solidFill>
              <a:ln w="3175" cmpd="sng">
                <a:noFill/>
                <a:prstDash val="solid"/>
              </a:ln>
            </c:spPr>
            <c:extLst>
              <c:ext xmlns:c16="http://schemas.microsoft.com/office/drawing/2014/chart" uri="{C3380CC4-5D6E-409C-BE32-E72D297353CC}">
                <c16:uniqueId val="{000003D3-9ED3-4FF8-8DED-3FCA538ED9C7}"/>
              </c:ext>
            </c:extLst>
          </c:dPt>
          <c:dPt>
            <c:idx val="9"/>
            <c:invertIfNegative val="0"/>
            <c:bubble3D val="0"/>
            <c:spPr>
              <a:solidFill>
                <a:srgbClr val="E1A8E9"/>
              </a:solidFill>
              <a:ln w="3175" cmpd="sng">
                <a:noFill/>
                <a:prstDash val="solid"/>
              </a:ln>
            </c:spPr>
            <c:extLst>
              <c:ext xmlns:c16="http://schemas.microsoft.com/office/drawing/2014/chart" uri="{C3380CC4-5D6E-409C-BE32-E72D297353CC}">
                <c16:uniqueId val="{000003D4-9ED3-4FF8-8DED-3FCA538ED9C7}"/>
              </c:ext>
            </c:extLst>
          </c:dPt>
          <c:dPt>
            <c:idx val="10"/>
            <c:invertIfNegative val="0"/>
            <c:bubble3D val="0"/>
            <c:spPr>
              <a:solidFill>
                <a:srgbClr val="E1A8E9"/>
              </a:solidFill>
              <a:ln w="3175" cmpd="sng">
                <a:noFill/>
                <a:prstDash val="solid"/>
              </a:ln>
            </c:spPr>
            <c:extLst>
              <c:ext xmlns:c16="http://schemas.microsoft.com/office/drawing/2014/chart" uri="{C3380CC4-5D6E-409C-BE32-E72D297353CC}">
                <c16:uniqueId val="{000003D5-9ED3-4FF8-8DED-3FCA538ED9C7}"/>
              </c:ext>
            </c:extLst>
          </c:dPt>
          <c:dPt>
            <c:idx val="11"/>
            <c:invertIfNegative val="0"/>
            <c:bubble3D val="0"/>
            <c:spPr>
              <a:solidFill>
                <a:srgbClr val="E1A8E9"/>
              </a:solidFill>
              <a:ln w="3175" cmpd="sng">
                <a:noFill/>
                <a:prstDash val="solid"/>
              </a:ln>
            </c:spPr>
            <c:extLst>
              <c:ext xmlns:c16="http://schemas.microsoft.com/office/drawing/2014/chart" uri="{C3380CC4-5D6E-409C-BE32-E72D297353CC}">
                <c16:uniqueId val="{000003D6-9ED3-4FF8-8DED-3FCA538ED9C7}"/>
              </c:ext>
            </c:extLst>
          </c:dPt>
          <c:dPt>
            <c:idx val="12"/>
            <c:invertIfNegative val="0"/>
            <c:bubble3D val="0"/>
            <c:spPr>
              <a:solidFill>
                <a:srgbClr val="E1A8E9"/>
              </a:solidFill>
              <a:ln w="3175" cmpd="sng">
                <a:noFill/>
                <a:prstDash val="solid"/>
              </a:ln>
            </c:spPr>
            <c:extLst>
              <c:ext xmlns:c16="http://schemas.microsoft.com/office/drawing/2014/chart" uri="{C3380CC4-5D6E-409C-BE32-E72D297353CC}">
                <c16:uniqueId val="{000003D7-9ED3-4FF8-8DED-3FCA538ED9C7}"/>
              </c:ext>
            </c:extLst>
          </c:dPt>
          <c:dPt>
            <c:idx val="13"/>
            <c:invertIfNegative val="0"/>
            <c:bubble3D val="0"/>
            <c:spPr>
              <a:solidFill>
                <a:srgbClr val="E1A8E9"/>
              </a:solidFill>
              <a:ln w="3175" cmpd="sng">
                <a:noFill/>
                <a:prstDash val="solid"/>
              </a:ln>
            </c:spPr>
            <c:extLst>
              <c:ext xmlns:c16="http://schemas.microsoft.com/office/drawing/2014/chart" uri="{C3380CC4-5D6E-409C-BE32-E72D297353CC}">
                <c16:uniqueId val="{000003D8-9ED3-4FF8-8DED-3FCA538ED9C7}"/>
              </c:ext>
            </c:extLst>
          </c:dPt>
          <c:dPt>
            <c:idx val="14"/>
            <c:invertIfNegative val="0"/>
            <c:bubble3D val="0"/>
            <c:spPr>
              <a:solidFill>
                <a:srgbClr val="E1A8E9"/>
              </a:solidFill>
              <a:ln w="3175" cmpd="sng">
                <a:noFill/>
                <a:prstDash val="solid"/>
              </a:ln>
            </c:spPr>
            <c:extLst>
              <c:ext xmlns:c16="http://schemas.microsoft.com/office/drawing/2014/chart" uri="{C3380CC4-5D6E-409C-BE32-E72D297353CC}">
                <c16:uniqueId val="{000003D9-9ED3-4FF8-8DED-3FCA538ED9C7}"/>
              </c:ext>
            </c:extLst>
          </c:dPt>
          <c:dPt>
            <c:idx val="15"/>
            <c:invertIfNegative val="0"/>
            <c:bubble3D val="0"/>
            <c:spPr>
              <a:solidFill>
                <a:srgbClr val="E1A8E9"/>
              </a:solidFill>
              <a:ln w="3175" cmpd="sng">
                <a:noFill/>
                <a:prstDash val="solid"/>
              </a:ln>
            </c:spPr>
            <c:extLst>
              <c:ext xmlns:c16="http://schemas.microsoft.com/office/drawing/2014/chart" uri="{C3380CC4-5D6E-409C-BE32-E72D297353CC}">
                <c16:uniqueId val="{000003DA-9ED3-4FF8-8DED-3FCA538ED9C7}"/>
              </c:ext>
            </c:extLst>
          </c:dPt>
          <c:dPt>
            <c:idx val="16"/>
            <c:invertIfNegative val="0"/>
            <c:bubble3D val="0"/>
            <c:spPr>
              <a:solidFill>
                <a:srgbClr val="E1A8E9"/>
              </a:solidFill>
              <a:ln w="3175" cmpd="sng">
                <a:noFill/>
                <a:prstDash val="solid"/>
              </a:ln>
            </c:spPr>
            <c:extLst>
              <c:ext xmlns:c16="http://schemas.microsoft.com/office/drawing/2014/chart" uri="{C3380CC4-5D6E-409C-BE32-E72D297353CC}">
                <c16:uniqueId val="{000003DB-9ED3-4FF8-8DED-3FCA538ED9C7}"/>
              </c:ext>
            </c:extLst>
          </c:dPt>
          <c:dPt>
            <c:idx val="17"/>
            <c:invertIfNegative val="0"/>
            <c:bubble3D val="0"/>
            <c:spPr>
              <a:solidFill>
                <a:srgbClr val="E1A8E9"/>
              </a:solidFill>
              <a:ln w="3175" cmpd="sng">
                <a:noFill/>
                <a:prstDash val="solid"/>
              </a:ln>
            </c:spPr>
            <c:extLst>
              <c:ext xmlns:c16="http://schemas.microsoft.com/office/drawing/2014/chart" uri="{C3380CC4-5D6E-409C-BE32-E72D297353CC}">
                <c16:uniqueId val="{000003DC-9ED3-4FF8-8DED-3FCA538ED9C7}"/>
              </c:ext>
            </c:extLst>
          </c:dPt>
          <c:dPt>
            <c:idx val="18"/>
            <c:invertIfNegative val="0"/>
            <c:bubble3D val="0"/>
            <c:spPr>
              <a:solidFill>
                <a:srgbClr val="E1A8E9"/>
              </a:solidFill>
              <a:ln w="3175" cmpd="sng">
                <a:noFill/>
                <a:prstDash val="solid"/>
              </a:ln>
            </c:spPr>
            <c:extLst>
              <c:ext xmlns:c16="http://schemas.microsoft.com/office/drawing/2014/chart" uri="{C3380CC4-5D6E-409C-BE32-E72D297353CC}">
                <c16:uniqueId val="{000003DD-9ED3-4FF8-8DED-3FCA538ED9C7}"/>
              </c:ext>
            </c:extLst>
          </c:dPt>
          <c:dPt>
            <c:idx val="19"/>
            <c:invertIfNegative val="0"/>
            <c:bubble3D val="0"/>
            <c:spPr>
              <a:solidFill>
                <a:srgbClr val="E1A8E9"/>
              </a:solidFill>
              <a:ln w="3175" cmpd="sng">
                <a:noFill/>
                <a:prstDash val="solid"/>
              </a:ln>
            </c:spPr>
            <c:extLst>
              <c:ext xmlns:c16="http://schemas.microsoft.com/office/drawing/2014/chart" uri="{C3380CC4-5D6E-409C-BE32-E72D297353CC}">
                <c16:uniqueId val="{000003DE-9ED3-4FF8-8DED-3FCA538ED9C7}"/>
              </c:ext>
            </c:extLst>
          </c:dPt>
          <c:dPt>
            <c:idx val="20"/>
            <c:invertIfNegative val="0"/>
            <c:bubble3D val="0"/>
            <c:spPr>
              <a:solidFill>
                <a:srgbClr val="E1A8E9"/>
              </a:solidFill>
              <a:ln w="3175" cmpd="sng">
                <a:noFill/>
                <a:prstDash val="solid"/>
              </a:ln>
            </c:spPr>
            <c:extLst>
              <c:ext xmlns:c16="http://schemas.microsoft.com/office/drawing/2014/chart" uri="{C3380CC4-5D6E-409C-BE32-E72D297353CC}">
                <c16:uniqueId val="{000003DF-9ED3-4FF8-8DED-3FCA538ED9C7}"/>
              </c:ext>
            </c:extLst>
          </c:dPt>
          <c:dPt>
            <c:idx val="21"/>
            <c:invertIfNegative val="0"/>
            <c:bubble3D val="0"/>
            <c:spPr>
              <a:solidFill>
                <a:srgbClr val="E1A8E9"/>
              </a:solidFill>
              <a:ln w="3175" cmpd="sng">
                <a:noFill/>
                <a:prstDash val="solid"/>
              </a:ln>
            </c:spPr>
            <c:extLst>
              <c:ext xmlns:c16="http://schemas.microsoft.com/office/drawing/2014/chart" uri="{C3380CC4-5D6E-409C-BE32-E72D297353CC}">
                <c16:uniqueId val="{000003E0-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Data'!$C$13:$X$13</c:f>
              <c:numCache>
                <c:formatCode>#,##0_ ;\-#,##0\ </c:formatCode>
                <c:ptCount val="22"/>
                <c:pt idx="0">
                  <c:v>-1350.1074600056877</c:v>
                </c:pt>
                <c:pt idx="1">
                  <c:v>-256.64524092852486</c:v>
                </c:pt>
                <c:pt idx="2">
                  <c:v>-200.88078007128743</c:v>
                </c:pt>
                <c:pt idx="3">
                  <c:v>-725.12395487553817</c:v>
                </c:pt>
                <c:pt idx="4">
                  <c:v>-1540.2118058262513</c:v>
                </c:pt>
                <c:pt idx="5">
                  <c:v>-1370.269797651913</c:v>
                </c:pt>
                <c:pt idx="6">
                  <c:v>-2509.6201218741385</c:v>
                </c:pt>
                <c:pt idx="7">
                  <c:v>-3913.0720363759028</c:v>
                </c:pt>
                <c:pt idx="8">
                  <c:v>-6219.4694257098954</c:v>
                </c:pt>
                <c:pt idx="9">
                  <c:v>-8128.9719817956275</c:v>
                </c:pt>
                <c:pt idx="10">
                  <c:v>-10409.240969378312</c:v>
                </c:pt>
                <c:pt idx="11">
                  <c:v>-15714.078171853975</c:v>
                </c:pt>
                <c:pt idx="12">
                  <c:v>-19319.746844884863</c:v>
                </c:pt>
                <c:pt idx="13">
                  <c:v>-24631.524513519471</c:v>
                </c:pt>
                <c:pt idx="14">
                  <c:v>-29587.685842664243</c:v>
                </c:pt>
                <c:pt idx="15">
                  <c:v>-33038.541659016337</c:v>
                </c:pt>
                <c:pt idx="16">
                  <c:v>-40037.907708656276</c:v>
                </c:pt>
                <c:pt idx="17">
                  <c:v>-45192.370107062867</c:v>
                </c:pt>
                <c:pt idx="18">
                  <c:v>-50468.930361174396</c:v>
                </c:pt>
                <c:pt idx="19">
                  <c:v>-51524.459968775904</c:v>
                </c:pt>
                <c:pt idx="20">
                  <c:v>-51420.712032880554</c:v>
                </c:pt>
                <c:pt idx="21">
                  <c:v>-52721.009250643016</c:v>
                </c:pt>
              </c:numCache>
            </c:numRef>
          </c:val>
          <c:extLst>
            <c:ext xmlns:c16="http://schemas.microsoft.com/office/drawing/2014/chart" uri="{C3380CC4-5D6E-409C-BE32-E72D297353CC}">
              <c16:uniqueId val="{000003CA-9ED3-4FF8-8DED-3FCA538ED9C7}"/>
            </c:ext>
          </c:extLst>
        </c:ser>
        <c:ser>
          <c:idx val="7"/>
          <c:order val="12"/>
          <c:tx>
            <c:strRef>
              <c:f>'NEMEnergyGenerated Data'!$B$10</c:f>
              <c:strCache>
                <c:ptCount val="1"/>
                <c:pt idx="0">
                  <c:v>Distributed storage load</c:v>
                </c:pt>
              </c:strCache>
            </c:strRef>
          </c:tx>
          <c:spPr>
            <a:solidFill>
              <a:srgbClr val="89FF89"/>
            </a:solidFill>
            <a:ln>
              <a:noFill/>
            </a:ln>
            <a:effectLst/>
          </c:spPr>
          <c:invertIfNegative val="0"/>
          <c:dPt>
            <c:idx val="0"/>
            <c:invertIfNegative val="0"/>
            <c:bubble3D val="0"/>
            <c:extLst>
              <c:ext xmlns:c16="http://schemas.microsoft.com/office/drawing/2014/chart" uri="{C3380CC4-5D6E-409C-BE32-E72D297353CC}">
                <c16:uniqueId val="{00000330-9ED3-4FF8-8DED-3FCA538ED9C7}"/>
              </c:ext>
            </c:extLst>
          </c:dPt>
          <c:dPt>
            <c:idx val="1"/>
            <c:invertIfNegative val="0"/>
            <c:bubble3D val="0"/>
            <c:extLst>
              <c:ext xmlns:c16="http://schemas.microsoft.com/office/drawing/2014/chart" uri="{C3380CC4-5D6E-409C-BE32-E72D297353CC}">
                <c16:uniqueId val="{00000332-9ED3-4FF8-8DED-3FCA538ED9C7}"/>
              </c:ext>
            </c:extLst>
          </c:dPt>
          <c:dPt>
            <c:idx val="2"/>
            <c:invertIfNegative val="0"/>
            <c:bubble3D val="0"/>
            <c:extLst>
              <c:ext xmlns:c16="http://schemas.microsoft.com/office/drawing/2014/chart" uri="{C3380CC4-5D6E-409C-BE32-E72D297353CC}">
                <c16:uniqueId val="{00000334-9ED3-4FF8-8DED-3FCA538ED9C7}"/>
              </c:ext>
            </c:extLst>
          </c:dPt>
          <c:dPt>
            <c:idx val="3"/>
            <c:invertIfNegative val="0"/>
            <c:bubble3D val="0"/>
            <c:extLst>
              <c:ext xmlns:c16="http://schemas.microsoft.com/office/drawing/2014/chart" uri="{C3380CC4-5D6E-409C-BE32-E72D297353CC}">
                <c16:uniqueId val="{00000336-9ED3-4FF8-8DED-3FCA538ED9C7}"/>
              </c:ext>
            </c:extLst>
          </c:dPt>
          <c:dPt>
            <c:idx val="4"/>
            <c:invertIfNegative val="0"/>
            <c:bubble3D val="0"/>
            <c:extLst>
              <c:ext xmlns:c16="http://schemas.microsoft.com/office/drawing/2014/chart" uri="{C3380CC4-5D6E-409C-BE32-E72D297353CC}">
                <c16:uniqueId val="{00000338-9ED3-4FF8-8DED-3FCA538ED9C7}"/>
              </c:ext>
            </c:extLst>
          </c:dPt>
          <c:dPt>
            <c:idx val="5"/>
            <c:invertIfNegative val="0"/>
            <c:bubble3D val="0"/>
            <c:extLst>
              <c:ext xmlns:c16="http://schemas.microsoft.com/office/drawing/2014/chart" uri="{C3380CC4-5D6E-409C-BE32-E72D297353CC}">
                <c16:uniqueId val="{0000033A-9ED3-4FF8-8DED-3FCA538ED9C7}"/>
              </c:ext>
            </c:extLst>
          </c:dPt>
          <c:dPt>
            <c:idx val="6"/>
            <c:invertIfNegative val="0"/>
            <c:bubble3D val="0"/>
            <c:extLst>
              <c:ext xmlns:c16="http://schemas.microsoft.com/office/drawing/2014/chart" uri="{C3380CC4-5D6E-409C-BE32-E72D297353CC}">
                <c16:uniqueId val="{0000033C-9ED3-4FF8-8DED-3FCA538ED9C7}"/>
              </c:ext>
            </c:extLst>
          </c:dPt>
          <c:dPt>
            <c:idx val="7"/>
            <c:invertIfNegative val="0"/>
            <c:bubble3D val="0"/>
            <c:extLst>
              <c:ext xmlns:c16="http://schemas.microsoft.com/office/drawing/2014/chart" uri="{C3380CC4-5D6E-409C-BE32-E72D297353CC}">
                <c16:uniqueId val="{0000033E-9ED3-4FF8-8DED-3FCA538ED9C7}"/>
              </c:ext>
            </c:extLst>
          </c:dPt>
          <c:dPt>
            <c:idx val="8"/>
            <c:invertIfNegative val="0"/>
            <c:bubble3D val="0"/>
            <c:extLst>
              <c:ext xmlns:c16="http://schemas.microsoft.com/office/drawing/2014/chart" uri="{C3380CC4-5D6E-409C-BE32-E72D297353CC}">
                <c16:uniqueId val="{00000340-9ED3-4FF8-8DED-3FCA538ED9C7}"/>
              </c:ext>
            </c:extLst>
          </c:dPt>
          <c:dPt>
            <c:idx val="9"/>
            <c:invertIfNegative val="0"/>
            <c:bubble3D val="0"/>
            <c:extLst>
              <c:ext xmlns:c16="http://schemas.microsoft.com/office/drawing/2014/chart" uri="{C3380CC4-5D6E-409C-BE32-E72D297353CC}">
                <c16:uniqueId val="{00000342-9ED3-4FF8-8DED-3FCA538ED9C7}"/>
              </c:ext>
            </c:extLst>
          </c:dPt>
          <c:dPt>
            <c:idx val="10"/>
            <c:invertIfNegative val="0"/>
            <c:bubble3D val="0"/>
            <c:extLst>
              <c:ext xmlns:c16="http://schemas.microsoft.com/office/drawing/2014/chart" uri="{C3380CC4-5D6E-409C-BE32-E72D297353CC}">
                <c16:uniqueId val="{00000344-9ED3-4FF8-8DED-3FCA538ED9C7}"/>
              </c:ext>
            </c:extLst>
          </c:dPt>
          <c:dPt>
            <c:idx val="11"/>
            <c:invertIfNegative val="0"/>
            <c:bubble3D val="0"/>
            <c:extLst>
              <c:ext xmlns:c16="http://schemas.microsoft.com/office/drawing/2014/chart" uri="{C3380CC4-5D6E-409C-BE32-E72D297353CC}">
                <c16:uniqueId val="{00000346-9ED3-4FF8-8DED-3FCA538ED9C7}"/>
              </c:ext>
            </c:extLst>
          </c:dPt>
          <c:dPt>
            <c:idx val="12"/>
            <c:invertIfNegative val="0"/>
            <c:bubble3D val="0"/>
            <c:extLst>
              <c:ext xmlns:c16="http://schemas.microsoft.com/office/drawing/2014/chart" uri="{C3380CC4-5D6E-409C-BE32-E72D297353CC}">
                <c16:uniqueId val="{00000348-9ED3-4FF8-8DED-3FCA538ED9C7}"/>
              </c:ext>
            </c:extLst>
          </c:dPt>
          <c:dPt>
            <c:idx val="13"/>
            <c:invertIfNegative val="0"/>
            <c:bubble3D val="0"/>
            <c:extLst>
              <c:ext xmlns:c16="http://schemas.microsoft.com/office/drawing/2014/chart" uri="{C3380CC4-5D6E-409C-BE32-E72D297353CC}">
                <c16:uniqueId val="{0000034A-9ED3-4FF8-8DED-3FCA538ED9C7}"/>
              </c:ext>
            </c:extLst>
          </c:dPt>
          <c:dPt>
            <c:idx val="14"/>
            <c:invertIfNegative val="0"/>
            <c:bubble3D val="0"/>
            <c:extLst>
              <c:ext xmlns:c16="http://schemas.microsoft.com/office/drawing/2014/chart" uri="{C3380CC4-5D6E-409C-BE32-E72D297353CC}">
                <c16:uniqueId val="{0000034C-9ED3-4FF8-8DED-3FCA538ED9C7}"/>
              </c:ext>
            </c:extLst>
          </c:dPt>
          <c:dPt>
            <c:idx val="15"/>
            <c:invertIfNegative val="0"/>
            <c:bubble3D val="0"/>
            <c:extLst>
              <c:ext xmlns:c16="http://schemas.microsoft.com/office/drawing/2014/chart" uri="{C3380CC4-5D6E-409C-BE32-E72D297353CC}">
                <c16:uniqueId val="{0000034E-9ED3-4FF8-8DED-3FCA538ED9C7}"/>
              </c:ext>
            </c:extLst>
          </c:dPt>
          <c:dPt>
            <c:idx val="16"/>
            <c:invertIfNegative val="0"/>
            <c:bubble3D val="0"/>
            <c:extLst>
              <c:ext xmlns:c16="http://schemas.microsoft.com/office/drawing/2014/chart" uri="{C3380CC4-5D6E-409C-BE32-E72D297353CC}">
                <c16:uniqueId val="{00000350-9ED3-4FF8-8DED-3FCA538ED9C7}"/>
              </c:ext>
            </c:extLst>
          </c:dPt>
          <c:dPt>
            <c:idx val="17"/>
            <c:invertIfNegative val="0"/>
            <c:bubble3D val="0"/>
            <c:extLst>
              <c:ext xmlns:c16="http://schemas.microsoft.com/office/drawing/2014/chart" uri="{C3380CC4-5D6E-409C-BE32-E72D297353CC}">
                <c16:uniqueId val="{00000352-9ED3-4FF8-8DED-3FCA538ED9C7}"/>
              </c:ext>
            </c:extLst>
          </c:dPt>
          <c:dPt>
            <c:idx val="18"/>
            <c:invertIfNegative val="0"/>
            <c:bubble3D val="0"/>
            <c:extLst>
              <c:ext xmlns:c16="http://schemas.microsoft.com/office/drawing/2014/chart" uri="{C3380CC4-5D6E-409C-BE32-E72D297353CC}">
                <c16:uniqueId val="{00000354-9ED3-4FF8-8DED-3FCA538ED9C7}"/>
              </c:ext>
            </c:extLst>
          </c:dPt>
          <c:dPt>
            <c:idx val="19"/>
            <c:invertIfNegative val="0"/>
            <c:bubble3D val="0"/>
            <c:extLst>
              <c:ext xmlns:c16="http://schemas.microsoft.com/office/drawing/2014/chart" uri="{C3380CC4-5D6E-409C-BE32-E72D297353CC}">
                <c16:uniqueId val="{00000356-9ED3-4FF8-8DED-3FCA538ED9C7}"/>
              </c:ext>
            </c:extLst>
          </c:dPt>
          <c:dPt>
            <c:idx val="20"/>
            <c:invertIfNegative val="0"/>
            <c:bubble3D val="0"/>
            <c:extLst>
              <c:ext xmlns:c16="http://schemas.microsoft.com/office/drawing/2014/chart" uri="{C3380CC4-5D6E-409C-BE32-E72D297353CC}">
                <c16:uniqueId val="{00000358-9ED3-4FF8-8DED-3FCA538ED9C7}"/>
              </c:ext>
            </c:extLst>
          </c:dPt>
          <c:dPt>
            <c:idx val="21"/>
            <c:invertIfNegative val="0"/>
            <c:bubble3D val="0"/>
            <c:extLst>
              <c:ext xmlns:c16="http://schemas.microsoft.com/office/drawing/2014/chart" uri="{C3380CC4-5D6E-409C-BE32-E72D297353CC}">
                <c16:uniqueId val="{0000035A-9ED3-4FF8-8DED-3FCA538ED9C7}"/>
              </c:ext>
            </c:extLst>
          </c:dPt>
          <c:dPt>
            <c:idx val="22"/>
            <c:invertIfNegative val="0"/>
            <c:bubble3D val="0"/>
            <c:extLst>
              <c:ext xmlns:c16="http://schemas.microsoft.com/office/drawing/2014/chart" uri="{C3380CC4-5D6E-409C-BE32-E72D297353CC}">
                <c16:uniqueId val="{0000035C-9ED3-4FF8-8DED-3FCA538ED9C7}"/>
              </c:ext>
            </c:extLst>
          </c:dPt>
          <c:dPt>
            <c:idx val="23"/>
            <c:invertIfNegative val="0"/>
            <c:bubble3D val="0"/>
            <c:extLst>
              <c:ext xmlns:c16="http://schemas.microsoft.com/office/drawing/2014/chart" uri="{C3380CC4-5D6E-409C-BE32-E72D297353CC}">
                <c16:uniqueId val="{0000035E-9ED3-4FF8-8DED-3FCA538ED9C7}"/>
              </c:ext>
            </c:extLst>
          </c:dPt>
          <c:dPt>
            <c:idx val="24"/>
            <c:invertIfNegative val="0"/>
            <c:bubble3D val="0"/>
            <c:extLst>
              <c:ext xmlns:c16="http://schemas.microsoft.com/office/drawing/2014/chart" uri="{C3380CC4-5D6E-409C-BE32-E72D297353CC}">
                <c16:uniqueId val="{00000360-9ED3-4FF8-8DED-3FCA538ED9C7}"/>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Data'!$C$10:$X$10</c:f>
              <c:numCache>
                <c:formatCode>#,##0_ ;\-#,##0\ </c:formatCode>
                <c:ptCount val="22"/>
                <c:pt idx="0">
                  <c:v>-124.03092488888888</c:v>
                </c:pt>
                <c:pt idx="1">
                  <c:v>-241.65412000803332</c:v>
                </c:pt>
                <c:pt idx="2">
                  <c:v>-388.65596470727775</c:v>
                </c:pt>
                <c:pt idx="3">
                  <c:v>-544.29422807444428</c:v>
                </c:pt>
                <c:pt idx="4">
                  <c:v>-686.51302076703325</c:v>
                </c:pt>
                <c:pt idx="5">
                  <c:v>-819.29801316553392</c:v>
                </c:pt>
                <c:pt idx="6">
                  <c:v>-953.68186414658862</c:v>
                </c:pt>
                <c:pt idx="7">
                  <c:v>-1081.4674340600889</c:v>
                </c:pt>
                <c:pt idx="8">
                  <c:v>-1206.7673939389331</c:v>
                </c:pt>
                <c:pt idx="9">
                  <c:v>-1330.4596645531005</c:v>
                </c:pt>
                <c:pt idx="10">
                  <c:v>-1451.8152255399552</c:v>
                </c:pt>
                <c:pt idx="11">
                  <c:v>-1572.7256600294447</c:v>
                </c:pt>
                <c:pt idx="12">
                  <c:v>-1687.3393440329778</c:v>
                </c:pt>
                <c:pt idx="13">
                  <c:v>-1790.610494778367</c:v>
                </c:pt>
                <c:pt idx="14">
                  <c:v>-1889.1291360723224</c:v>
                </c:pt>
                <c:pt idx="15">
                  <c:v>-1984.9755502885112</c:v>
                </c:pt>
                <c:pt idx="16">
                  <c:v>-2077.7071413765666</c:v>
                </c:pt>
                <c:pt idx="17">
                  <c:v>-2170.8875705396777</c:v>
                </c:pt>
                <c:pt idx="18">
                  <c:v>-2257.5170048886989</c:v>
                </c:pt>
                <c:pt idx="19">
                  <c:v>-2342.6974000787773</c:v>
                </c:pt>
                <c:pt idx="20">
                  <c:v>-2405.4195488888904</c:v>
                </c:pt>
                <c:pt idx="21">
                  <c:v>-2488.0803388166323</c:v>
                </c:pt>
              </c:numCache>
            </c:numRef>
          </c:val>
          <c:extLst>
            <c:ext xmlns:c16="http://schemas.microsoft.com/office/drawing/2014/chart" uri="{C3380CC4-5D6E-409C-BE32-E72D297353CC}">
              <c16:uniqueId val="{00000361-9ED3-4FF8-8DED-3FCA538ED9C7}"/>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8322709635219802"/>
              <c:y val="0.74525694399438258"/>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Energy Generated (GWh)</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6.4604715849622019E-2"/>
          <c:y val="0.80836030207477083"/>
          <c:w val="0.87297990120331437"/>
          <c:h val="0.15018997401582546"/>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3526772857308464"/>
          <c:y val="3.2648402413411041E-2"/>
          <c:w val="0.84059724936764346"/>
          <c:h val="0.62071273542431116"/>
        </c:manualLayout>
      </c:layout>
      <c:barChart>
        <c:barDir val="col"/>
        <c:grouping val="stacked"/>
        <c:varyColors val="0"/>
        <c:ser>
          <c:idx val="0"/>
          <c:order val="0"/>
          <c:tx>
            <c:strRef>
              <c:f>'NewAndRetiredCapacity Data'!$A$3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001-42C2-4511-9769-BFD15C129682}"/>
              </c:ext>
            </c:extLst>
          </c:dPt>
          <c:dPt>
            <c:idx val="1"/>
            <c:invertIfNegative val="0"/>
            <c:bubble3D val="0"/>
            <c:extLst>
              <c:ext xmlns:c16="http://schemas.microsoft.com/office/drawing/2014/chart" uri="{C3380CC4-5D6E-409C-BE32-E72D297353CC}">
                <c16:uniqueId val="{00000002-42C2-4511-9769-BFD15C129682}"/>
              </c:ext>
            </c:extLst>
          </c:dPt>
          <c:dPt>
            <c:idx val="2"/>
            <c:invertIfNegative val="0"/>
            <c:bubble3D val="0"/>
            <c:extLst>
              <c:ext xmlns:c16="http://schemas.microsoft.com/office/drawing/2014/chart" uri="{C3380CC4-5D6E-409C-BE32-E72D297353CC}">
                <c16:uniqueId val="{00000003-42C2-4511-9769-BFD15C129682}"/>
              </c:ext>
            </c:extLst>
          </c:dPt>
          <c:dPt>
            <c:idx val="3"/>
            <c:invertIfNegative val="0"/>
            <c:bubble3D val="0"/>
            <c:extLst>
              <c:ext xmlns:c16="http://schemas.microsoft.com/office/drawing/2014/chart" uri="{C3380CC4-5D6E-409C-BE32-E72D297353CC}">
                <c16:uniqueId val="{00000004-42C2-4511-9769-BFD15C129682}"/>
              </c:ext>
            </c:extLst>
          </c:dPt>
          <c:dPt>
            <c:idx val="4"/>
            <c:invertIfNegative val="0"/>
            <c:bubble3D val="0"/>
            <c:extLst>
              <c:ext xmlns:c16="http://schemas.microsoft.com/office/drawing/2014/chart" uri="{C3380CC4-5D6E-409C-BE32-E72D297353CC}">
                <c16:uniqueId val="{00000005-42C2-4511-9769-BFD15C129682}"/>
              </c:ext>
            </c:extLst>
          </c:dPt>
          <c:dPt>
            <c:idx val="5"/>
            <c:invertIfNegative val="0"/>
            <c:bubble3D val="0"/>
            <c:extLst>
              <c:ext xmlns:c16="http://schemas.microsoft.com/office/drawing/2014/chart" uri="{C3380CC4-5D6E-409C-BE32-E72D297353CC}">
                <c16:uniqueId val="{00000006-42C2-4511-9769-BFD15C129682}"/>
              </c:ext>
            </c:extLst>
          </c:dPt>
          <c:dPt>
            <c:idx val="6"/>
            <c:invertIfNegative val="0"/>
            <c:bubble3D val="0"/>
            <c:extLst>
              <c:ext xmlns:c16="http://schemas.microsoft.com/office/drawing/2014/chart" uri="{C3380CC4-5D6E-409C-BE32-E72D297353CC}">
                <c16:uniqueId val="{00000007-42C2-4511-9769-BFD15C129682}"/>
              </c:ext>
            </c:extLst>
          </c:dPt>
          <c:dPt>
            <c:idx val="7"/>
            <c:invertIfNegative val="0"/>
            <c:bubble3D val="0"/>
            <c:extLst>
              <c:ext xmlns:c16="http://schemas.microsoft.com/office/drawing/2014/chart" uri="{C3380CC4-5D6E-409C-BE32-E72D297353CC}">
                <c16:uniqueId val="{00000008-42C2-4511-9769-BFD15C129682}"/>
              </c:ext>
            </c:extLst>
          </c:dPt>
          <c:dPt>
            <c:idx val="8"/>
            <c:invertIfNegative val="0"/>
            <c:bubble3D val="0"/>
            <c:extLst>
              <c:ext xmlns:c16="http://schemas.microsoft.com/office/drawing/2014/chart" uri="{C3380CC4-5D6E-409C-BE32-E72D297353CC}">
                <c16:uniqueId val="{00000009-42C2-4511-9769-BFD15C129682}"/>
              </c:ext>
            </c:extLst>
          </c:dPt>
          <c:dPt>
            <c:idx val="9"/>
            <c:invertIfNegative val="0"/>
            <c:bubble3D val="0"/>
            <c:extLst>
              <c:ext xmlns:c16="http://schemas.microsoft.com/office/drawing/2014/chart" uri="{C3380CC4-5D6E-409C-BE32-E72D297353CC}">
                <c16:uniqueId val="{0000000A-42C2-4511-9769-BFD15C129682}"/>
              </c:ext>
            </c:extLst>
          </c:dPt>
          <c:dPt>
            <c:idx val="10"/>
            <c:invertIfNegative val="0"/>
            <c:bubble3D val="0"/>
            <c:extLst>
              <c:ext xmlns:c16="http://schemas.microsoft.com/office/drawing/2014/chart" uri="{C3380CC4-5D6E-409C-BE32-E72D297353CC}">
                <c16:uniqueId val="{0000000B-42C2-4511-9769-BFD15C129682}"/>
              </c:ext>
            </c:extLst>
          </c:dPt>
          <c:dPt>
            <c:idx val="11"/>
            <c:invertIfNegative val="0"/>
            <c:bubble3D val="0"/>
            <c:extLst>
              <c:ext xmlns:c16="http://schemas.microsoft.com/office/drawing/2014/chart" uri="{C3380CC4-5D6E-409C-BE32-E72D297353CC}">
                <c16:uniqueId val="{0000000C-42C2-4511-9769-BFD15C129682}"/>
              </c:ext>
            </c:extLst>
          </c:dPt>
          <c:dPt>
            <c:idx val="12"/>
            <c:invertIfNegative val="0"/>
            <c:bubble3D val="0"/>
            <c:extLst>
              <c:ext xmlns:c16="http://schemas.microsoft.com/office/drawing/2014/chart" uri="{C3380CC4-5D6E-409C-BE32-E72D297353CC}">
                <c16:uniqueId val="{0000000D-42C2-4511-9769-BFD15C129682}"/>
              </c:ext>
            </c:extLst>
          </c:dPt>
          <c:dPt>
            <c:idx val="13"/>
            <c:invertIfNegative val="0"/>
            <c:bubble3D val="0"/>
            <c:extLst>
              <c:ext xmlns:c16="http://schemas.microsoft.com/office/drawing/2014/chart" uri="{C3380CC4-5D6E-409C-BE32-E72D297353CC}">
                <c16:uniqueId val="{0000000E-42C2-4511-9769-BFD15C129682}"/>
              </c:ext>
            </c:extLst>
          </c:dPt>
          <c:dPt>
            <c:idx val="14"/>
            <c:invertIfNegative val="0"/>
            <c:bubble3D val="0"/>
            <c:extLst>
              <c:ext xmlns:c16="http://schemas.microsoft.com/office/drawing/2014/chart" uri="{C3380CC4-5D6E-409C-BE32-E72D297353CC}">
                <c16:uniqueId val="{0000000F-42C2-4511-9769-BFD15C129682}"/>
              </c:ext>
            </c:extLst>
          </c:dPt>
          <c:dPt>
            <c:idx val="15"/>
            <c:invertIfNegative val="0"/>
            <c:bubble3D val="0"/>
            <c:extLst>
              <c:ext xmlns:c16="http://schemas.microsoft.com/office/drawing/2014/chart" uri="{C3380CC4-5D6E-409C-BE32-E72D297353CC}">
                <c16:uniqueId val="{00000010-42C2-4511-9769-BFD15C129682}"/>
              </c:ext>
            </c:extLst>
          </c:dPt>
          <c:dPt>
            <c:idx val="16"/>
            <c:invertIfNegative val="0"/>
            <c:bubble3D val="0"/>
            <c:extLst>
              <c:ext xmlns:c16="http://schemas.microsoft.com/office/drawing/2014/chart" uri="{C3380CC4-5D6E-409C-BE32-E72D297353CC}">
                <c16:uniqueId val="{00000011-42C2-4511-9769-BFD15C129682}"/>
              </c:ext>
            </c:extLst>
          </c:dPt>
          <c:dPt>
            <c:idx val="17"/>
            <c:invertIfNegative val="0"/>
            <c:bubble3D val="0"/>
            <c:extLst>
              <c:ext xmlns:c16="http://schemas.microsoft.com/office/drawing/2014/chart" uri="{C3380CC4-5D6E-409C-BE32-E72D297353CC}">
                <c16:uniqueId val="{00000012-42C2-4511-9769-BFD15C129682}"/>
              </c:ext>
            </c:extLst>
          </c:dPt>
          <c:dPt>
            <c:idx val="18"/>
            <c:invertIfNegative val="0"/>
            <c:bubble3D val="0"/>
            <c:extLst>
              <c:ext xmlns:c16="http://schemas.microsoft.com/office/drawing/2014/chart" uri="{C3380CC4-5D6E-409C-BE32-E72D297353CC}">
                <c16:uniqueId val="{00000013-42C2-4511-9769-BFD15C129682}"/>
              </c:ext>
            </c:extLst>
          </c:dPt>
          <c:dPt>
            <c:idx val="19"/>
            <c:invertIfNegative val="0"/>
            <c:bubble3D val="0"/>
            <c:extLst>
              <c:ext xmlns:c16="http://schemas.microsoft.com/office/drawing/2014/chart" uri="{C3380CC4-5D6E-409C-BE32-E72D297353CC}">
                <c16:uniqueId val="{00000014-42C2-4511-9769-BFD15C129682}"/>
              </c:ext>
            </c:extLst>
          </c:dPt>
          <c:dPt>
            <c:idx val="20"/>
            <c:invertIfNegative val="0"/>
            <c:bubble3D val="0"/>
            <c:extLst>
              <c:ext xmlns:c16="http://schemas.microsoft.com/office/drawing/2014/chart" uri="{C3380CC4-5D6E-409C-BE32-E72D297353CC}">
                <c16:uniqueId val="{00000015-42C2-4511-9769-BFD15C129682}"/>
              </c:ext>
            </c:extLst>
          </c:dPt>
          <c:dPt>
            <c:idx val="21"/>
            <c:invertIfNegative val="0"/>
            <c:bubble3D val="0"/>
            <c:extLst>
              <c:ext xmlns:c16="http://schemas.microsoft.com/office/drawing/2014/chart" uri="{C3380CC4-5D6E-409C-BE32-E72D297353CC}">
                <c16:uniqueId val="{00000016-42C2-4511-9769-BFD15C129682}"/>
              </c:ext>
            </c:extLst>
          </c:dPt>
          <c:dPt>
            <c:idx val="22"/>
            <c:invertIfNegative val="0"/>
            <c:bubble3D val="0"/>
            <c:extLst>
              <c:ext xmlns:c16="http://schemas.microsoft.com/office/drawing/2014/chart" uri="{C3380CC4-5D6E-409C-BE32-E72D297353CC}">
                <c16:uniqueId val="{00000017-42C2-4511-9769-BFD15C129682}"/>
              </c:ext>
            </c:extLst>
          </c:dPt>
          <c:dPt>
            <c:idx val="23"/>
            <c:invertIfNegative val="0"/>
            <c:bubble3D val="0"/>
            <c:extLst>
              <c:ext xmlns:c16="http://schemas.microsoft.com/office/drawing/2014/chart" uri="{C3380CC4-5D6E-409C-BE32-E72D297353CC}">
                <c16:uniqueId val="{00000018-42C2-4511-9769-BFD15C129682}"/>
              </c:ext>
            </c:extLst>
          </c:dPt>
          <c:dPt>
            <c:idx val="24"/>
            <c:invertIfNegative val="0"/>
            <c:bubble3D val="0"/>
            <c:extLst>
              <c:ext xmlns:c16="http://schemas.microsoft.com/office/drawing/2014/chart" uri="{C3380CC4-5D6E-409C-BE32-E72D297353CC}">
                <c16:uniqueId val="{00000019-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Data'!$B$3:$W$3</c:f>
              <c:numCache>
                <c:formatCode>#,##0_ ;\-#,##0\ </c:formatCode>
                <c:ptCount val="22"/>
                <c:pt idx="0">
                  <c:v>0</c:v>
                </c:pt>
                <c:pt idx="1">
                  <c:v>0</c:v>
                </c:pt>
                <c:pt idx="2">
                  <c:v>0</c:v>
                </c:pt>
                <c:pt idx="3">
                  <c:v>0</c:v>
                </c:pt>
                <c:pt idx="4">
                  <c:v>-1800</c:v>
                </c:pt>
                <c:pt idx="5">
                  <c:v>-1800</c:v>
                </c:pt>
                <c:pt idx="6">
                  <c:v>-1800</c:v>
                </c:pt>
                <c:pt idx="7">
                  <c:v>-1800</c:v>
                </c:pt>
                <c:pt idx="8">
                  <c:v>-2530</c:v>
                </c:pt>
                <c:pt idx="9">
                  <c:v>-2530</c:v>
                </c:pt>
                <c:pt idx="10">
                  <c:v>-3850</c:v>
                </c:pt>
                <c:pt idx="11">
                  <c:v>-5530</c:v>
                </c:pt>
                <c:pt idx="12">
                  <c:v>-5530</c:v>
                </c:pt>
                <c:pt idx="13">
                  <c:v>-5530</c:v>
                </c:pt>
                <c:pt idx="14">
                  <c:v>-5530</c:v>
                </c:pt>
                <c:pt idx="15">
                  <c:v>-5530</c:v>
                </c:pt>
                <c:pt idx="16">
                  <c:v>-8410</c:v>
                </c:pt>
                <c:pt idx="17">
                  <c:v>-11050</c:v>
                </c:pt>
                <c:pt idx="18">
                  <c:v>-12450</c:v>
                </c:pt>
                <c:pt idx="19">
                  <c:v>-12450</c:v>
                </c:pt>
                <c:pt idx="20">
                  <c:v>-13150</c:v>
                </c:pt>
                <c:pt idx="21">
                  <c:v>-13150</c:v>
                </c:pt>
              </c:numCache>
            </c:numRef>
          </c:val>
          <c:extLst>
            <c:ext xmlns:c16="http://schemas.microsoft.com/office/drawing/2014/chart" uri="{C3380CC4-5D6E-409C-BE32-E72D297353CC}">
              <c16:uniqueId val="{0000001A-42C2-4511-9769-BFD15C129682}"/>
            </c:ext>
          </c:extLst>
        </c:ser>
        <c:ser>
          <c:idx val="1"/>
          <c:order val="1"/>
          <c:tx>
            <c:strRef>
              <c:f>'NewAndRetiredCapacity Data'!$A$4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01C-42C2-4511-9769-BFD15C129682}"/>
              </c:ext>
            </c:extLst>
          </c:dPt>
          <c:dPt>
            <c:idx val="1"/>
            <c:invertIfNegative val="0"/>
            <c:bubble3D val="0"/>
            <c:extLst>
              <c:ext xmlns:c16="http://schemas.microsoft.com/office/drawing/2014/chart" uri="{C3380CC4-5D6E-409C-BE32-E72D297353CC}">
                <c16:uniqueId val="{0000001D-42C2-4511-9769-BFD15C129682}"/>
              </c:ext>
            </c:extLst>
          </c:dPt>
          <c:dPt>
            <c:idx val="2"/>
            <c:invertIfNegative val="0"/>
            <c:bubble3D val="0"/>
            <c:extLst>
              <c:ext xmlns:c16="http://schemas.microsoft.com/office/drawing/2014/chart" uri="{C3380CC4-5D6E-409C-BE32-E72D297353CC}">
                <c16:uniqueId val="{0000001E-42C2-4511-9769-BFD15C129682}"/>
              </c:ext>
            </c:extLst>
          </c:dPt>
          <c:dPt>
            <c:idx val="3"/>
            <c:invertIfNegative val="0"/>
            <c:bubble3D val="0"/>
            <c:extLst>
              <c:ext xmlns:c16="http://schemas.microsoft.com/office/drawing/2014/chart" uri="{C3380CC4-5D6E-409C-BE32-E72D297353CC}">
                <c16:uniqueId val="{0000001F-42C2-4511-9769-BFD15C129682}"/>
              </c:ext>
            </c:extLst>
          </c:dPt>
          <c:dPt>
            <c:idx val="4"/>
            <c:invertIfNegative val="0"/>
            <c:bubble3D val="0"/>
            <c:extLst>
              <c:ext xmlns:c16="http://schemas.microsoft.com/office/drawing/2014/chart" uri="{C3380CC4-5D6E-409C-BE32-E72D297353CC}">
                <c16:uniqueId val="{00000020-42C2-4511-9769-BFD15C129682}"/>
              </c:ext>
            </c:extLst>
          </c:dPt>
          <c:dPt>
            <c:idx val="5"/>
            <c:invertIfNegative val="0"/>
            <c:bubble3D val="0"/>
            <c:extLst>
              <c:ext xmlns:c16="http://schemas.microsoft.com/office/drawing/2014/chart" uri="{C3380CC4-5D6E-409C-BE32-E72D297353CC}">
                <c16:uniqueId val="{00000021-42C2-4511-9769-BFD15C129682}"/>
              </c:ext>
            </c:extLst>
          </c:dPt>
          <c:dPt>
            <c:idx val="6"/>
            <c:invertIfNegative val="0"/>
            <c:bubble3D val="0"/>
            <c:extLst>
              <c:ext xmlns:c16="http://schemas.microsoft.com/office/drawing/2014/chart" uri="{C3380CC4-5D6E-409C-BE32-E72D297353CC}">
                <c16:uniqueId val="{00000022-42C2-4511-9769-BFD15C129682}"/>
              </c:ext>
            </c:extLst>
          </c:dPt>
          <c:dPt>
            <c:idx val="7"/>
            <c:invertIfNegative val="0"/>
            <c:bubble3D val="0"/>
            <c:extLst>
              <c:ext xmlns:c16="http://schemas.microsoft.com/office/drawing/2014/chart" uri="{C3380CC4-5D6E-409C-BE32-E72D297353CC}">
                <c16:uniqueId val="{00000023-42C2-4511-9769-BFD15C129682}"/>
              </c:ext>
            </c:extLst>
          </c:dPt>
          <c:dPt>
            <c:idx val="8"/>
            <c:invertIfNegative val="0"/>
            <c:bubble3D val="0"/>
            <c:extLst>
              <c:ext xmlns:c16="http://schemas.microsoft.com/office/drawing/2014/chart" uri="{C3380CC4-5D6E-409C-BE32-E72D297353CC}">
                <c16:uniqueId val="{00000024-42C2-4511-9769-BFD15C129682}"/>
              </c:ext>
            </c:extLst>
          </c:dPt>
          <c:dPt>
            <c:idx val="9"/>
            <c:invertIfNegative val="0"/>
            <c:bubble3D val="0"/>
            <c:extLst>
              <c:ext xmlns:c16="http://schemas.microsoft.com/office/drawing/2014/chart" uri="{C3380CC4-5D6E-409C-BE32-E72D297353CC}">
                <c16:uniqueId val="{00000025-42C2-4511-9769-BFD15C129682}"/>
              </c:ext>
            </c:extLst>
          </c:dPt>
          <c:dPt>
            <c:idx val="10"/>
            <c:invertIfNegative val="0"/>
            <c:bubble3D val="0"/>
            <c:extLst>
              <c:ext xmlns:c16="http://schemas.microsoft.com/office/drawing/2014/chart" uri="{C3380CC4-5D6E-409C-BE32-E72D297353CC}">
                <c16:uniqueId val="{00000026-42C2-4511-9769-BFD15C129682}"/>
              </c:ext>
            </c:extLst>
          </c:dPt>
          <c:dPt>
            <c:idx val="11"/>
            <c:invertIfNegative val="0"/>
            <c:bubble3D val="0"/>
            <c:extLst>
              <c:ext xmlns:c16="http://schemas.microsoft.com/office/drawing/2014/chart" uri="{C3380CC4-5D6E-409C-BE32-E72D297353CC}">
                <c16:uniqueId val="{00000027-42C2-4511-9769-BFD15C129682}"/>
              </c:ext>
            </c:extLst>
          </c:dPt>
          <c:dPt>
            <c:idx val="12"/>
            <c:invertIfNegative val="0"/>
            <c:bubble3D val="0"/>
            <c:extLst>
              <c:ext xmlns:c16="http://schemas.microsoft.com/office/drawing/2014/chart" uri="{C3380CC4-5D6E-409C-BE32-E72D297353CC}">
                <c16:uniqueId val="{00000028-42C2-4511-9769-BFD15C129682}"/>
              </c:ext>
            </c:extLst>
          </c:dPt>
          <c:dPt>
            <c:idx val="13"/>
            <c:invertIfNegative val="0"/>
            <c:bubble3D val="0"/>
            <c:extLst>
              <c:ext xmlns:c16="http://schemas.microsoft.com/office/drawing/2014/chart" uri="{C3380CC4-5D6E-409C-BE32-E72D297353CC}">
                <c16:uniqueId val="{00000029-42C2-4511-9769-BFD15C129682}"/>
              </c:ext>
            </c:extLst>
          </c:dPt>
          <c:dPt>
            <c:idx val="14"/>
            <c:invertIfNegative val="0"/>
            <c:bubble3D val="0"/>
            <c:extLst>
              <c:ext xmlns:c16="http://schemas.microsoft.com/office/drawing/2014/chart" uri="{C3380CC4-5D6E-409C-BE32-E72D297353CC}">
                <c16:uniqueId val="{0000002A-42C2-4511-9769-BFD15C129682}"/>
              </c:ext>
            </c:extLst>
          </c:dPt>
          <c:dPt>
            <c:idx val="15"/>
            <c:invertIfNegative val="0"/>
            <c:bubble3D val="0"/>
            <c:extLst>
              <c:ext xmlns:c16="http://schemas.microsoft.com/office/drawing/2014/chart" uri="{C3380CC4-5D6E-409C-BE32-E72D297353CC}">
                <c16:uniqueId val="{0000002B-42C2-4511-9769-BFD15C129682}"/>
              </c:ext>
            </c:extLst>
          </c:dPt>
          <c:dPt>
            <c:idx val="16"/>
            <c:invertIfNegative val="0"/>
            <c:bubble3D val="0"/>
            <c:extLst>
              <c:ext xmlns:c16="http://schemas.microsoft.com/office/drawing/2014/chart" uri="{C3380CC4-5D6E-409C-BE32-E72D297353CC}">
                <c16:uniqueId val="{0000002C-42C2-4511-9769-BFD15C129682}"/>
              </c:ext>
            </c:extLst>
          </c:dPt>
          <c:dPt>
            <c:idx val="17"/>
            <c:invertIfNegative val="0"/>
            <c:bubble3D val="0"/>
            <c:extLst>
              <c:ext xmlns:c16="http://schemas.microsoft.com/office/drawing/2014/chart" uri="{C3380CC4-5D6E-409C-BE32-E72D297353CC}">
                <c16:uniqueId val="{0000002D-42C2-4511-9769-BFD15C129682}"/>
              </c:ext>
            </c:extLst>
          </c:dPt>
          <c:dPt>
            <c:idx val="18"/>
            <c:invertIfNegative val="0"/>
            <c:bubble3D val="0"/>
            <c:extLst>
              <c:ext xmlns:c16="http://schemas.microsoft.com/office/drawing/2014/chart" uri="{C3380CC4-5D6E-409C-BE32-E72D297353CC}">
                <c16:uniqueId val="{0000002E-42C2-4511-9769-BFD15C129682}"/>
              </c:ext>
            </c:extLst>
          </c:dPt>
          <c:dPt>
            <c:idx val="19"/>
            <c:invertIfNegative val="0"/>
            <c:bubble3D val="0"/>
            <c:extLst>
              <c:ext xmlns:c16="http://schemas.microsoft.com/office/drawing/2014/chart" uri="{C3380CC4-5D6E-409C-BE32-E72D297353CC}">
                <c16:uniqueId val="{0000002F-42C2-4511-9769-BFD15C129682}"/>
              </c:ext>
            </c:extLst>
          </c:dPt>
          <c:dPt>
            <c:idx val="20"/>
            <c:invertIfNegative val="0"/>
            <c:bubble3D val="0"/>
            <c:extLst>
              <c:ext xmlns:c16="http://schemas.microsoft.com/office/drawing/2014/chart" uri="{C3380CC4-5D6E-409C-BE32-E72D297353CC}">
                <c16:uniqueId val="{00000030-42C2-4511-9769-BFD15C129682}"/>
              </c:ext>
            </c:extLst>
          </c:dPt>
          <c:dPt>
            <c:idx val="21"/>
            <c:invertIfNegative val="0"/>
            <c:bubble3D val="0"/>
            <c:extLst>
              <c:ext xmlns:c16="http://schemas.microsoft.com/office/drawing/2014/chart" uri="{C3380CC4-5D6E-409C-BE32-E72D297353CC}">
                <c16:uniqueId val="{00000031-42C2-4511-9769-BFD15C129682}"/>
              </c:ext>
            </c:extLst>
          </c:dPt>
          <c:dPt>
            <c:idx val="22"/>
            <c:invertIfNegative val="0"/>
            <c:bubble3D val="0"/>
            <c:extLst>
              <c:ext xmlns:c16="http://schemas.microsoft.com/office/drawing/2014/chart" uri="{C3380CC4-5D6E-409C-BE32-E72D297353CC}">
                <c16:uniqueId val="{00000032-42C2-4511-9769-BFD15C129682}"/>
              </c:ext>
            </c:extLst>
          </c:dPt>
          <c:dPt>
            <c:idx val="23"/>
            <c:invertIfNegative val="0"/>
            <c:bubble3D val="0"/>
            <c:extLst>
              <c:ext xmlns:c16="http://schemas.microsoft.com/office/drawing/2014/chart" uri="{C3380CC4-5D6E-409C-BE32-E72D297353CC}">
                <c16:uniqueId val="{00000033-42C2-4511-9769-BFD15C129682}"/>
              </c:ext>
            </c:extLst>
          </c:dPt>
          <c:dPt>
            <c:idx val="24"/>
            <c:invertIfNegative val="0"/>
            <c:bubble3D val="0"/>
            <c:extLst>
              <c:ext xmlns:c16="http://schemas.microsoft.com/office/drawing/2014/chart" uri="{C3380CC4-5D6E-409C-BE32-E72D297353CC}">
                <c16:uniqueId val="{00000034-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Data'!$B$4:$W$4</c:f>
              <c:numCache>
                <c:formatCode>#,##0_ ;\-#,##0\ </c:formatCode>
                <c:ptCount val="22"/>
                <c:pt idx="0">
                  <c:v>0</c:v>
                </c:pt>
                <c:pt idx="1">
                  <c:v>0</c:v>
                </c:pt>
                <c:pt idx="2">
                  <c:v>0</c:v>
                </c:pt>
                <c:pt idx="3">
                  <c:v>0</c:v>
                </c:pt>
                <c:pt idx="4">
                  <c:v>0</c:v>
                </c:pt>
                <c:pt idx="5">
                  <c:v>0</c:v>
                </c:pt>
                <c:pt idx="6">
                  <c:v>0</c:v>
                </c:pt>
                <c:pt idx="7">
                  <c:v>0</c:v>
                </c:pt>
                <c:pt idx="8">
                  <c:v>0</c:v>
                </c:pt>
                <c:pt idx="9">
                  <c:v>-1090</c:v>
                </c:pt>
                <c:pt idx="10">
                  <c:v>-1090</c:v>
                </c:pt>
                <c:pt idx="11">
                  <c:v>-1090</c:v>
                </c:pt>
                <c:pt idx="12">
                  <c:v>-1090</c:v>
                </c:pt>
                <c:pt idx="13">
                  <c:v>-1090</c:v>
                </c:pt>
                <c:pt idx="14">
                  <c:v>-2618</c:v>
                </c:pt>
                <c:pt idx="15">
                  <c:v>-2618</c:v>
                </c:pt>
                <c:pt idx="16">
                  <c:v>-2618</c:v>
                </c:pt>
                <c:pt idx="17">
                  <c:v>-2618</c:v>
                </c:pt>
                <c:pt idx="18">
                  <c:v>-2618</c:v>
                </c:pt>
                <c:pt idx="19">
                  <c:v>-2618</c:v>
                </c:pt>
                <c:pt idx="20">
                  <c:v>-2618</c:v>
                </c:pt>
                <c:pt idx="21">
                  <c:v>-2618</c:v>
                </c:pt>
              </c:numCache>
            </c:numRef>
          </c:val>
          <c:extLst>
            <c:ext xmlns:c16="http://schemas.microsoft.com/office/drawing/2014/chart" uri="{C3380CC4-5D6E-409C-BE32-E72D297353CC}">
              <c16:uniqueId val="{00000035-42C2-4511-9769-BFD15C129682}"/>
            </c:ext>
          </c:extLst>
        </c:ser>
        <c:ser>
          <c:idx val="2"/>
          <c:order val="2"/>
          <c:tx>
            <c:strRef>
              <c:f>'NewAndRetiredCapacity Data'!$A$5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037-42C2-4511-9769-BFD15C129682}"/>
              </c:ext>
            </c:extLst>
          </c:dPt>
          <c:dPt>
            <c:idx val="1"/>
            <c:invertIfNegative val="0"/>
            <c:bubble3D val="0"/>
            <c:extLst>
              <c:ext xmlns:c16="http://schemas.microsoft.com/office/drawing/2014/chart" uri="{C3380CC4-5D6E-409C-BE32-E72D297353CC}">
                <c16:uniqueId val="{00000038-42C2-4511-9769-BFD15C129682}"/>
              </c:ext>
            </c:extLst>
          </c:dPt>
          <c:dPt>
            <c:idx val="2"/>
            <c:invertIfNegative val="0"/>
            <c:bubble3D val="0"/>
            <c:extLst>
              <c:ext xmlns:c16="http://schemas.microsoft.com/office/drawing/2014/chart" uri="{C3380CC4-5D6E-409C-BE32-E72D297353CC}">
                <c16:uniqueId val="{00000039-42C2-4511-9769-BFD15C129682}"/>
              </c:ext>
            </c:extLst>
          </c:dPt>
          <c:dPt>
            <c:idx val="3"/>
            <c:invertIfNegative val="0"/>
            <c:bubble3D val="0"/>
            <c:extLst>
              <c:ext xmlns:c16="http://schemas.microsoft.com/office/drawing/2014/chart" uri="{C3380CC4-5D6E-409C-BE32-E72D297353CC}">
                <c16:uniqueId val="{0000003A-42C2-4511-9769-BFD15C129682}"/>
              </c:ext>
            </c:extLst>
          </c:dPt>
          <c:dPt>
            <c:idx val="4"/>
            <c:invertIfNegative val="0"/>
            <c:bubble3D val="0"/>
            <c:extLst>
              <c:ext xmlns:c16="http://schemas.microsoft.com/office/drawing/2014/chart" uri="{C3380CC4-5D6E-409C-BE32-E72D297353CC}">
                <c16:uniqueId val="{0000003B-42C2-4511-9769-BFD15C129682}"/>
              </c:ext>
            </c:extLst>
          </c:dPt>
          <c:dPt>
            <c:idx val="5"/>
            <c:invertIfNegative val="0"/>
            <c:bubble3D val="0"/>
            <c:extLst>
              <c:ext xmlns:c16="http://schemas.microsoft.com/office/drawing/2014/chart" uri="{C3380CC4-5D6E-409C-BE32-E72D297353CC}">
                <c16:uniqueId val="{0000003C-42C2-4511-9769-BFD15C129682}"/>
              </c:ext>
            </c:extLst>
          </c:dPt>
          <c:dPt>
            <c:idx val="6"/>
            <c:invertIfNegative val="0"/>
            <c:bubble3D val="0"/>
            <c:extLst>
              <c:ext xmlns:c16="http://schemas.microsoft.com/office/drawing/2014/chart" uri="{C3380CC4-5D6E-409C-BE32-E72D297353CC}">
                <c16:uniqueId val="{0000003D-42C2-4511-9769-BFD15C129682}"/>
              </c:ext>
            </c:extLst>
          </c:dPt>
          <c:dPt>
            <c:idx val="7"/>
            <c:invertIfNegative val="0"/>
            <c:bubble3D val="0"/>
            <c:extLst>
              <c:ext xmlns:c16="http://schemas.microsoft.com/office/drawing/2014/chart" uri="{C3380CC4-5D6E-409C-BE32-E72D297353CC}">
                <c16:uniqueId val="{0000003E-42C2-4511-9769-BFD15C129682}"/>
              </c:ext>
            </c:extLst>
          </c:dPt>
          <c:dPt>
            <c:idx val="8"/>
            <c:invertIfNegative val="0"/>
            <c:bubble3D val="0"/>
            <c:extLst>
              <c:ext xmlns:c16="http://schemas.microsoft.com/office/drawing/2014/chart" uri="{C3380CC4-5D6E-409C-BE32-E72D297353CC}">
                <c16:uniqueId val="{0000003F-42C2-4511-9769-BFD15C129682}"/>
              </c:ext>
            </c:extLst>
          </c:dPt>
          <c:dPt>
            <c:idx val="9"/>
            <c:invertIfNegative val="0"/>
            <c:bubble3D val="0"/>
            <c:extLst>
              <c:ext xmlns:c16="http://schemas.microsoft.com/office/drawing/2014/chart" uri="{C3380CC4-5D6E-409C-BE32-E72D297353CC}">
                <c16:uniqueId val="{00000040-42C2-4511-9769-BFD15C129682}"/>
              </c:ext>
            </c:extLst>
          </c:dPt>
          <c:dPt>
            <c:idx val="10"/>
            <c:invertIfNegative val="0"/>
            <c:bubble3D val="0"/>
            <c:extLst>
              <c:ext xmlns:c16="http://schemas.microsoft.com/office/drawing/2014/chart" uri="{C3380CC4-5D6E-409C-BE32-E72D297353CC}">
                <c16:uniqueId val="{00000041-42C2-4511-9769-BFD15C129682}"/>
              </c:ext>
            </c:extLst>
          </c:dPt>
          <c:dPt>
            <c:idx val="11"/>
            <c:invertIfNegative val="0"/>
            <c:bubble3D val="0"/>
            <c:extLst>
              <c:ext xmlns:c16="http://schemas.microsoft.com/office/drawing/2014/chart" uri="{C3380CC4-5D6E-409C-BE32-E72D297353CC}">
                <c16:uniqueId val="{00000042-42C2-4511-9769-BFD15C129682}"/>
              </c:ext>
            </c:extLst>
          </c:dPt>
          <c:dPt>
            <c:idx val="12"/>
            <c:invertIfNegative val="0"/>
            <c:bubble3D val="0"/>
            <c:extLst>
              <c:ext xmlns:c16="http://schemas.microsoft.com/office/drawing/2014/chart" uri="{C3380CC4-5D6E-409C-BE32-E72D297353CC}">
                <c16:uniqueId val="{00000043-42C2-4511-9769-BFD15C129682}"/>
              </c:ext>
            </c:extLst>
          </c:dPt>
          <c:dPt>
            <c:idx val="13"/>
            <c:invertIfNegative val="0"/>
            <c:bubble3D val="0"/>
            <c:extLst>
              <c:ext xmlns:c16="http://schemas.microsoft.com/office/drawing/2014/chart" uri="{C3380CC4-5D6E-409C-BE32-E72D297353CC}">
                <c16:uniqueId val="{00000044-42C2-4511-9769-BFD15C129682}"/>
              </c:ext>
            </c:extLst>
          </c:dPt>
          <c:dPt>
            <c:idx val="14"/>
            <c:invertIfNegative val="0"/>
            <c:bubble3D val="0"/>
            <c:extLst>
              <c:ext xmlns:c16="http://schemas.microsoft.com/office/drawing/2014/chart" uri="{C3380CC4-5D6E-409C-BE32-E72D297353CC}">
                <c16:uniqueId val="{00000045-42C2-4511-9769-BFD15C129682}"/>
              </c:ext>
            </c:extLst>
          </c:dPt>
          <c:dPt>
            <c:idx val="15"/>
            <c:invertIfNegative val="0"/>
            <c:bubble3D val="0"/>
            <c:extLst>
              <c:ext xmlns:c16="http://schemas.microsoft.com/office/drawing/2014/chart" uri="{C3380CC4-5D6E-409C-BE32-E72D297353CC}">
                <c16:uniqueId val="{00000046-42C2-4511-9769-BFD15C129682}"/>
              </c:ext>
            </c:extLst>
          </c:dPt>
          <c:dPt>
            <c:idx val="16"/>
            <c:invertIfNegative val="0"/>
            <c:bubble3D val="0"/>
            <c:extLst>
              <c:ext xmlns:c16="http://schemas.microsoft.com/office/drawing/2014/chart" uri="{C3380CC4-5D6E-409C-BE32-E72D297353CC}">
                <c16:uniqueId val="{00000047-42C2-4511-9769-BFD15C129682}"/>
              </c:ext>
            </c:extLst>
          </c:dPt>
          <c:dPt>
            <c:idx val="17"/>
            <c:invertIfNegative val="0"/>
            <c:bubble3D val="0"/>
            <c:extLst>
              <c:ext xmlns:c16="http://schemas.microsoft.com/office/drawing/2014/chart" uri="{C3380CC4-5D6E-409C-BE32-E72D297353CC}">
                <c16:uniqueId val="{00000048-42C2-4511-9769-BFD15C129682}"/>
              </c:ext>
            </c:extLst>
          </c:dPt>
          <c:dPt>
            <c:idx val="18"/>
            <c:invertIfNegative val="0"/>
            <c:bubble3D val="0"/>
            <c:extLst>
              <c:ext xmlns:c16="http://schemas.microsoft.com/office/drawing/2014/chart" uri="{C3380CC4-5D6E-409C-BE32-E72D297353CC}">
                <c16:uniqueId val="{00000049-42C2-4511-9769-BFD15C129682}"/>
              </c:ext>
            </c:extLst>
          </c:dPt>
          <c:dPt>
            <c:idx val="19"/>
            <c:invertIfNegative val="0"/>
            <c:bubble3D val="0"/>
            <c:extLst>
              <c:ext xmlns:c16="http://schemas.microsoft.com/office/drawing/2014/chart" uri="{C3380CC4-5D6E-409C-BE32-E72D297353CC}">
                <c16:uniqueId val="{0000004A-42C2-4511-9769-BFD15C129682}"/>
              </c:ext>
            </c:extLst>
          </c:dPt>
          <c:dPt>
            <c:idx val="20"/>
            <c:invertIfNegative val="0"/>
            <c:bubble3D val="0"/>
            <c:extLst>
              <c:ext xmlns:c16="http://schemas.microsoft.com/office/drawing/2014/chart" uri="{C3380CC4-5D6E-409C-BE32-E72D297353CC}">
                <c16:uniqueId val="{0000004B-42C2-4511-9769-BFD15C129682}"/>
              </c:ext>
            </c:extLst>
          </c:dPt>
          <c:dPt>
            <c:idx val="21"/>
            <c:invertIfNegative val="0"/>
            <c:bubble3D val="0"/>
            <c:extLst>
              <c:ext xmlns:c16="http://schemas.microsoft.com/office/drawing/2014/chart" uri="{C3380CC4-5D6E-409C-BE32-E72D297353CC}">
                <c16:uniqueId val="{0000004C-42C2-4511-9769-BFD15C129682}"/>
              </c:ext>
            </c:extLst>
          </c:dPt>
          <c:dPt>
            <c:idx val="22"/>
            <c:invertIfNegative val="0"/>
            <c:bubble3D val="0"/>
            <c:extLst>
              <c:ext xmlns:c16="http://schemas.microsoft.com/office/drawing/2014/chart" uri="{C3380CC4-5D6E-409C-BE32-E72D297353CC}">
                <c16:uniqueId val="{0000004D-42C2-4511-9769-BFD15C129682}"/>
              </c:ext>
            </c:extLst>
          </c:dPt>
          <c:dPt>
            <c:idx val="23"/>
            <c:invertIfNegative val="0"/>
            <c:bubble3D val="0"/>
            <c:extLst>
              <c:ext xmlns:c16="http://schemas.microsoft.com/office/drawing/2014/chart" uri="{C3380CC4-5D6E-409C-BE32-E72D297353CC}">
                <c16:uniqueId val="{0000004E-42C2-4511-9769-BFD15C129682}"/>
              </c:ext>
            </c:extLst>
          </c:dPt>
          <c:dPt>
            <c:idx val="24"/>
            <c:invertIfNegative val="0"/>
            <c:bubble3D val="0"/>
            <c:extLst>
              <c:ext xmlns:c16="http://schemas.microsoft.com/office/drawing/2014/chart" uri="{C3380CC4-5D6E-409C-BE32-E72D297353CC}">
                <c16:uniqueId val="{0000004F-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Data'!$B$5:$W$5</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50-42C2-4511-9769-BFD15C129682}"/>
            </c:ext>
          </c:extLst>
        </c:ser>
        <c:ser>
          <c:idx val="3"/>
          <c:order val="3"/>
          <c:tx>
            <c:strRef>
              <c:f>'NewAndRetiredCapacity Data'!$A$6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052-42C2-4511-9769-BFD15C129682}"/>
              </c:ext>
            </c:extLst>
          </c:dPt>
          <c:dPt>
            <c:idx val="1"/>
            <c:invertIfNegative val="0"/>
            <c:bubble3D val="0"/>
            <c:extLst>
              <c:ext xmlns:c16="http://schemas.microsoft.com/office/drawing/2014/chart" uri="{C3380CC4-5D6E-409C-BE32-E72D297353CC}">
                <c16:uniqueId val="{00000053-42C2-4511-9769-BFD15C129682}"/>
              </c:ext>
            </c:extLst>
          </c:dPt>
          <c:dPt>
            <c:idx val="2"/>
            <c:invertIfNegative val="0"/>
            <c:bubble3D val="0"/>
            <c:extLst>
              <c:ext xmlns:c16="http://schemas.microsoft.com/office/drawing/2014/chart" uri="{C3380CC4-5D6E-409C-BE32-E72D297353CC}">
                <c16:uniqueId val="{00000054-42C2-4511-9769-BFD15C129682}"/>
              </c:ext>
            </c:extLst>
          </c:dPt>
          <c:dPt>
            <c:idx val="3"/>
            <c:invertIfNegative val="0"/>
            <c:bubble3D val="0"/>
            <c:extLst>
              <c:ext xmlns:c16="http://schemas.microsoft.com/office/drawing/2014/chart" uri="{C3380CC4-5D6E-409C-BE32-E72D297353CC}">
                <c16:uniqueId val="{00000055-42C2-4511-9769-BFD15C129682}"/>
              </c:ext>
            </c:extLst>
          </c:dPt>
          <c:dPt>
            <c:idx val="4"/>
            <c:invertIfNegative val="0"/>
            <c:bubble3D val="0"/>
            <c:extLst>
              <c:ext xmlns:c16="http://schemas.microsoft.com/office/drawing/2014/chart" uri="{C3380CC4-5D6E-409C-BE32-E72D297353CC}">
                <c16:uniqueId val="{00000056-42C2-4511-9769-BFD15C129682}"/>
              </c:ext>
            </c:extLst>
          </c:dPt>
          <c:dPt>
            <c:idx val="5"/>
            <c:invertIfNegative val="0"/>
            <c:bubble3D val="0"/>
            <c:extLst>
              <c:ext xmlns:c16="http://schemas.microsoft.com/office/drawing/2014/chart" uri="{C3380CC4-5D6E-409C-BE32-E72D297353CC}">
                <c16:uniqueId val="{00000057-42C2-4511-9769-BFD15C129682}"/>
              </c:ext>
            </c:extLst>
          </c:dPt>
          <c:dPt>
            <c:idx val="6"/>
            <c:invertIfNegative val="0"/>
            <c:bubble3D val="0"/>
            <c:extLst>
              <c:ext xmlns:c16="http://schemas.microsoft.com/office/drawing/2014/chart" uri="{C3380CC4-5D6E-409C-BE32-E72D297353CC}">
                <c16:uniqueId val="{00000058-42C2-4511-9769-BFD15C129682}"/>
              </c:ext>
            </c:extLst>
          </c:dPt>
          <c:dPt>
            <c:idx val="7"/>
            <c:invertIfNegative val="0"/>
            <c:bubble3D val="0"/>
            <c:extLst>
              <c:ext xmlns:c16="http://schemas.microsoft.com/office/drawing/2014/chart" uri="{C3380CC4-5D6E-409C-BE32-E72D297353CC}">
                <c16:uniqueId val="{00000059-42C2-4511-9769-BFD15C129682}"/>
              </c:ext>
            </c:extLst>
          </c:dPt>
          <c:dPt>
            <c:idx val="8"/>
            <c:invertIfNegative val="0"/>
            <c:bubble3D val="0"/>
            <c:extLst>
              <c:ext xmlns:c16="http://schemas.microsoft.com/office/drawing/2014/chart" uri="{C3380CC4-5D6E-409C-BE32-E72D297353CC}">
                <c16:uniqueId val="{0000005A-42C2-4511-9769-BFD15C129682}"/>
              </c:ext>
            </c:extLst>
          </c:dPt>
          <c:dPt>
            <c:idx val="9"/>
            <c:invertIfNegative val="0"/>
            <c:bubble3D val="0"/>
            <c:extLst>
              <c:ext xmlns:c16="http://schemas.microsoft.com/office/drawing/2014/chart" uri="{C3380CC4-5D6E-409C-BE32-E72D297353CC}">
                <c16:uniqueId val="{0000005B-42C2-4511-9769-BFD15C129682}"/>
              </c:ext>
            </c:extLst>
          </c:dPt>
          <c:dPt>
            <c:idx val="10"/>
            <c:invertIfNegative val="0"/>
            <c:bubble3D val="0"/>
            <c:extLst>
              <c:ext xmlns:c16="http://schemas.microsoft.com/office/drawing/2014/chart" uri="{C3380CC4-5D6E-409C-BE32-E72D297353CC}">
                <c16:uniqueId val="{0000005C-42C2-4511-9769-BFD15C129682}"/>
              </c:ext>
            </c:extLst>
          </c:dPt>
          <c:dPt>
            <c:idx val="11"/>
            <c:invertIfNegative val="0"/>
            <c:bubble3D val="0"/>
            <c:extLst>
              <c:ext xmlns:c16="http://schemas.microsoft.com/office/drawing/2014/chart" uri="{C3380CC4-5D6E-409C-BE32-E72D297353CC}">
                <c16:uniqueId val="{0000005D-42C2-4511-9769-BFD15C129682}"/>
              </c:ext>
            </c:extLst>
          </c:dPt>
          <c:dPt>
            <c:idx val="12"/>
            <c:invertIfNegative val="0"/>
            <c:bubble3D val="0"/>
            <c:extLst>
              <c:ext xmlns:c16="http://schemas.microsoft.com/office/drawing/2014/chart" uri="{C3380CC4-5D6E-409C-BE32-E72D297353CC}">
                <c16:uniqueId val="{0000005E-42C2-4511-9769-BFD15C129682}"/>
              </c:ext>
            </c:extLst>
          </c:dPt>
          <c:dPt>
            <c:idx val="13"/>
            <c:invertIfNegative val="0"/>
            <c:bubble3D val="0"/>
            <c:extLst>
              <c:ext xmlns:c16="http://schemas.microsoft.com/office/drawing/2014/chart" uri="{C3380CC4-5D6E-409C-BE32-E72D297353CC}">
                <c16:uniqueId val="{0000005F-42C2-4511-9769-BFD15C129682}"/>
              </c:ext>
            </c:extLst>
          </c:dPt>
          <c:dPt>
            <c:idx val="14"/>
            <c:invertIfNegative val="0"/>
            <c:bubble3D val="0"/>
            <c:extLst>
              <c:ext xmlns:c16="http://schemas.microsoft.com/office/drawing/2014/chart" uri="{C3380CC4-5D6E-409C-BE32-E72D297353CC}">
                <c16:uniqueId val="{00000060-42C2-4511-9769-BFD15C129682}"/>
              </c:ext>
            </c:extLst>
          </c:dPt>
          <c:dPt>
            <c:idx val="15"/>
            <c:invertIfNegative val="0"/>
            <c:bubble3D val="0"/>
            <c:extLst>
              <c:ext xmlns:c16="http://schemas.microsoft.com/office/drawing/2014/chart" uri="{C3380CC4-5D6E-409C-BE32-E72D297353CC}">
                <c16:uniqueId val="{00000061-42C2-4511-9769-BFD15C129682}"/>
              </c:ext>
            </c:extLst>
          </c:dPt>
          <c:dPt>
            <c:idx val="16"/>
            <c:invertIfNegative val="0"/>
            <c:bubble3D val="0"/>
            <c:extLst>
              <c:ext xmlns:c16="http://schemas.microsoft.com/office/drawing/2014/chart" uri="{C3380CC4-5D6E-409C-BE32-E72D297353CC}">
                <c16:uniqueId val="{00000062-42C2-4511-9769-BFD15C129682}"/>
              </c:ext>
            </c:extLst>
          </c:dPt>
          <c:dPt>
            <c:idx val="17"/>
            <c:invertIfNegative val="0"/>
            <c:bubble3D val="0"/>
            <c:extLst>
              <c:ext xmlns:c16="http://schemas.microsoft.com/office/drawing/2014/chart" uri="{C3380CC4-5D6E-409C-BE32-E72D297353CC}">
                <c16:uniqueId val="{00000063-42C2-4511-9769-BFD15C129682}"/>
              </c:ext>
            </c:extLst>
          </c:dPt>
          <c:dPt>
            <c:idx val="18"/>
            <c:invertIfNegative val="0"/>
            <c:bubble3D val="0"/>
            <c:extLst>
              <c:ext xmlns:c16="http://schemas.microsoft.com/office/drawing/2014/chart" uri="{C3380CC4-5D6E-409C-BE32-E72D297353CC}">
                <c16:uniqueId val="{00000064-42C2-4511-9769-BFD15C129682}"/>
              </c:ext>
            </c:extLst>
          </c:dPt>
          <c:dPt>
            <c:idx val="19"/>
            <c:invertIfNegative val="0"/>
            <c:bubble3D val="0"/>
            <c:extLst>
              <c:ext xmlns:c16="http://schemas.microsoft.com/office/drawing/2014/chart" uri="{C3380CC4-5D6E-409C-BE32-E72D297353CC}">
                <c16:uniqueId val="{00000065-42C2-4511-9769-BFD15C129682}"/>
              </c:ext>
            </c:extLst>
          </c:dPt>
          <c:dPt>
            <c:idx val="20"/>
            <c:invertIfNegative val="0"/>
            <c:bubble3D val="0"/>
            <c:extLst>
              <c:ext xmlns:c16="http://schemas.microsoft.com/office/drawing/2014/chart" uri="{C3380CC4-5D6E-409C-BE32-E72D297353CC}">
                <c16:uniqueId val="{00000066-42C2-4511-9769-BFD15C129682}"/>
              </c:ext>
            </c:extLst>
          </c:dPt>
          <c:dPt>
            <c:idx val="21"/>
            <c:invertIfNegative val="0"/>
            <c:bubble3D val="0"/>
            <c:extLst>
              <c:ext xmlns:c16="http://schemas.microsoft.com/office/drawing/2014/chart" uri="{C3380CC4-5D6E-409C-BE32-E72D297353CC}">
                <c16:uniqueId val="{00000067-42C2-4511-9769-BFD15C129682}"/>
              </c:ext>
            </c:extLst>
          </c:dPt>
          <c:dPt>
            <c:idx val="22"/>
            <c:invertIfNegative val="0"/>
            <c:bubble3D val="0"/>
            <c:extLst>
              <c:ext xmlns:c16="http://schemas.microsoft.com/office/drawing/2014/chart" uri="{C3380CC4-5D6E-409C-BE32-E72D297353CC}">
                <c16:uniqueId val="{00000068-42C2-4511-9769-BFD15C129682}"/>
              </c:ext>
            </c:extLst>
          </c:dPt>
          <c:dPt>
            <c:idx val="23"/>
            <c:invertIfNegative val="0"/>
            <c:bubble3D val="0"/>
            <c:extLst>
              <c:ext xmlns:c16="http://schemas.microsoft.com/office/drawing/2014/chart" uri="{C3380CC4-5D6E-409C-BE32-E72D297353CC}">
                <c16:uniqueId val="{00000069-42C2-4511-9769-BFD15C129682}"/>
              </c:ext>
            </c:extLst>
          </c:dPt>
          <c:dPt>
            <c:idx val="24"/>
            <c:invertIfNegative val="0"/>
            <c:bubble3D val="0"/>
            <c:extLst>
              <c:ext xmlns:c16="http://schemas.microsoft.com/office/drawing/2014/chart" uri="{C3380CC4-5D6E-409C-BE32-E72D297353CC}">
                <c16:uniqueId val="{0000006A-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Data'!$B$6:$W$6</c:f>
              <c:numCache>
                <c:formatCode>#,##0_ ;\-#,##0\ </c:formatCode>
                <c:ptCount val="22"/>
                <c:pt idx="0">
                  <c:v>0</c:v>
                </c:pt>
                <c:pt idx="1">
                  <c:v>0</c:v>
                </c:pt>
                <c:pt idx="2">
                  <c:v>0</c:v>
                </c:pt>
                <c:pt idx="3">
                  <c:v>0</c:v>
                </c:pt>
                <c:pt idx="4">
                  <c:v>0</c:v>
                </c:pt>
                <c:pt idx="5">
                  <c:v>0</c:v>
                </c:pt>
                <c:pt idx="6">
                  <c:v>-1462</c:v>
                </c:pt>
                <c:pt idx="7">
                  <c:v>-1462</c:v>
                </c:pt>
                <c:pt idx="8">
                  <c:v>-1462</c:v>
                </c:pt>
                <c:pt idx="9">
                  <c:v>-1462</c:v>
                </c:pt>
                <c:pt idx="10">
                  <c:v>-1462</c:v>
                </c:pt>
                <c:pt idx="11">
                  <c:v>-1462</c:v>
                </c:pt>
                <c:pt idx="12">
                  <c:v>-1462</c:v>
                </c:pt>
                <c:pt idx="13">
                  <c:v>-1972</c:v>
                </c:pt>
                <c:pt idx="14">
                  <c:v>-1972</c:v>
                </c:pt>
                <c:pt idx="15">
                  <c:v>-1972</c:v>
                </c:pt>
                <c:pt idx="16">
                  <c:v>-1972</c:v>
                </c:pt>
                <c:pt idx="17">
                  <c:v>-1572</c:v>
                </c:pt>
                <c:pt idx="18">
                  <c:v>-1572</c:v>
                </c:pt>
                <c:pt idx="19">
                  <c:v>-1572</c:v>
                </c:pt>
                <c:pt idx="20">
                  <c:v>-1572</c:v>
                </c:pt>
                <c:pt idx="21">
                  <c:v>-1572</c:v>
                </c:pt>
              </c:numCache>
            </c:numRef>
          </c:val>
          <c:extLst>
            <c:ext xmlns:c16="http://schemas.microsoft.com/office/drawing/2014/chart" uri="{C3380CC4-5D6E-409C-BE32-E72D297353CC}">
              <c16:uniqueId val="{0000006B-42C2-4511-9769-BFD15C129682}"/>
            </c:ext>
          </c:extLst>
        </c:ser>
        <c:ser>
          <c:idx val="4"/>
          <c:order val="4"/>
          <c:tx>
            <c:strRef>
              <c:f>'NewAndRetiredCapacity Data'!$A$7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06D-42C2-4511-9769-BFD15C129682}"/>
              </c:ext>
            </c:extLst>
          </c:dPt>
          <c:dPt>
            <c:idx val="1"/>
            <c:invertIfNegative val="0"/>
            <c:bubble3D val="0"/>
            <c:extLst>
              <c:ext xmlns:c16="http://schemas.microsoft.com/office/drawing/2014/chart" uri="{C3380CC4-5D6E-409C-BE32-E72D297353CC}">
                <c16:uniqueId val="{0000006E-42C2-4511-9769-BFD15C129682}"/>
              </c:ext>
            </c:extLst>
          </c:dPt>
          <c:dPt>
            <c:idx val="2"/>
            <c:invertIfNegative val="0"/>
            <c:bubble3D val="0"/>
            <c:extLst>
              <c:ext xmlns:c16="http://schemas.microsoft.com/office/drawing/2014/chart" uri="{C3380CC4-5D6E-409C-BE32-E72D297353CC}">
                <c16:uniqueId val="{0000006F-42C2-4511-9769-BFD15C129682}"/>
              </c:ext>
            </c:extLst>
          </c:dPt>
          <c:dPt>
            <c:idx val="3"/>
            <c:invertIfNegative val="0"/>
            <c:bubble3D val="0"/>
            <c:extLst>
              <c:ext xmlns:c16="http://schemas.microsoft.com/office/drawing/2014/chart" uri="{C3380CC4-5D6E-409C-BE32-E72D297353CC}">
                <c16:uniqueId val="{00000070-42C2-4511-9769-BFD15C129682}"/>
              </c:ext>
            </c:extLst>
          </c:dPt>
          <c:dPt>
            <c:idx val="4"/>
            <c:invertIfNegative val="0"/>
            <c:bubble3D val="0"/>
            <c:extLst>
              <c:ext xmlns:c16="http://schemas.microsoft.com/office/drawing/2014/chart" uri="{C3380CC4-5D6E-409C-BE32-E72D297353CC}">
                <c16:uniqueId val="{00000071-42C2-4511-9769-BFD15C129682}"/>
              </c:ext>
            </c:extLst>
          </c:dPt>
          <c:dPt>
            <c:idx val="5"/>
            <c:invertIfNegative val="0"/>
            <c:bubble3D val="0"/>
            <c:extLst>
              <c:ext xmlns:c16="http://schemas.microsoft.com/office/drawing/2014/chart" uri="{C3380CC4-5D6E-409C-BE32-E72D297353CC}">
                <c16:uniqueId val="{00000072-42C2-4511-9769-BFD15C129682}"/>
              </c:ext>
            </c:extLst>
          </c:dPt>
          <c:dPt>
            <c:idx val="6"/>
            <c:invertIfNegative val="0"/>
            <c:bubble3D val="0"/>
            <c:extLst>
              <c:ext xmlns:c16="http://schemas.microsoft.com/office/drawing/2014/chart" uri="{C3380CC4-5D6E-409C-BE32-E72D297353CC}">
                <c16:uniqueId val="{00000073-42C2-4511-9769-BFD15C129682}"/>
              </c:ext>
            </c:extLst>
          </c:dPt>
          <c:dPt>
            <c:idx val="7"/>
            <c:invertIfNegative val="0"/>
            <c:bubble3D val="0"/>
            <c:extLst>
              <c:ext xmlns:c16="http://schemas.microsoft.com/office/drawing/2014/chart" uri="{C3380CC4-5D6E-409C-BE32-E72D297353CC}">
                <c16:uniqueId val="{00000074-42C2-4511-9769-BFD15C129682}"/>
              </c:ext>
            </c:extLst>
          </c:dPt>
          <c:dPt>
            <c:idx val="8"/>
            <c:invertIfNegative val="0"/>
            <c:bubble3D val="0"/>
            <c:extLst>
              <c:ext xmlns:c16="http://schemas.microsoft.com/office/drawing/2014/chart" uri="{C3380CC4-5D6E-409C-BE32-E72D297353CC}">
                <c16:uniqueId val="{00000075-42C2-4511-9769-BFD15C129682}"/>
              </c:ext>
            </c:extLst>
          </c:dPt>
          <c:dPt>
            <c:idx val="9"/>
            <c:invertIfNegative val="0"/>
            <c:bubble3D val="0"/>
            <c:extLst>
              <c:ext xmlns:c16="http://schemas.microsoft.com/office/drawing/2014/chart" uri="{C3380CC4-5D6E-409C-BE32-E72D297353CC}">
                <c16:uniqueId val="{00000076-42C2-4511-9769-BFD15C129682}"/>
              </c:ext>
            </c:extLst>
          </c:dPt>
          <c:dPt>
            <c:idx val="10"/>
            <c:invertIfNegative val="0"/>
            <c:bubble3D val="0"/>
            <c:extLst>
              <c:ext xmlns:c16="http://schemas.microsoft.com/office/drawing/2014/chart" uri="{C3380CC4-5D6E-409C-BE32-E72D297353CC}">
                <c16:uniqueId val="{00000077-42C2-4511-9769-BFD15C129682}"/>
              </c:ext>
            </c:extLst>
          </c:dPt>
          <c:dPt>
            <c:idx val="11"/>
            <c:invertIfNegative val="0"/>
            <c:bubble3D val="0"/>
            <c:extLst>
              <c:ext xmlns:c16="http://schemas.microsoft.com/office/drawing/2014/chart" uri="{C3380CC4-5D6E-409C-BE32-E72D297353CC}">
                <c16:uniqueId val="{00000078-42C2-4511-9769-BFD15C129682}"/>
              </c:ext>
            </c:extLst>
          </c:dPt>
          <c:dPt>
            <c:idx val="12"/>
            <c:invertIfNegative val="0"/>
            <c:bubble3D val="0"/>
            <c:extLst>
              <c:ext xmlns:c16="http://schemas.microsoft.com/office/drawing/2014/chart" uri="{C3380CC4-5D6E-409C-BE32-E72D297353CC}">
                <c16:uniqueId val="{00000079-42C2-4511-9769-BFD15C129682}"/>
              </c:ext>
            </c:extLst>
          </c:dPt>
          <c:dPt>
            <c:idx val="13"/>
            <c:invertIfNegative val="0"/>
            <c:bubble3D val="0"/>
            <c:extLst>
              <c:ext xmlns:c16="http://schemas.microsoft.com/office/drawing/2014/chart" uri="{C3380CC4-5D6E-409C-BE32-E72D297353CC}">
                <c16:uniqueId val="{0000007A-42C2-4511-9769-BFD15C129682}"/>
              </c:ext>
            </c:extLst>
          </c:dPt>
          <c:dPt>
            <c:idx val="14"/>
            <c:invertIfNegative val="0"/>
            <c:bubble3D val="0"/>
            <c:extLst>
              <c:ext xmlns:c16="http://schemas.microsoft.com/office/drawing/2014/chart" uri="{C3380CC4-5D6E-409C-BE32-E72D297353CC}">
                <c16:uniqueId val="{0000007B-42C2-4511-9769-BFD15C129682}"/>
              </c:ext>
            </c:extLst>
          </c:dPt>
          <c:dPt>
            <c:idx val="15"/>
            <c:invertIfNegative val="0"/>
            <c:bubble3D val="0"/>
            <c:extLst>
              <c:ext xmlns:c16="http://schemas.microsoft.com/office/drawing/2014/chart" uri="{C3380CC4-5D6E-409C-BE32-E72D297353CC}">
                <c16:uniqueId val="{0000007C-42C2-4511-9769-BFD15C129682}"/>
              </c:ext>
            </c:extLst>
          </c:dPt>
          <c:dPt>
            <c:idx val="16"/>
            <c:invertIfNegative val="0"/>
            <c:bubble3D val="0"/>
            <c:extLst>
              <c:ext xmlns:c16="http://schemas.microsoft.com/office/drawing/2014/chart" uri="{C3380CC4-5D6E-409C-BE32-E72D297353CC}">
                <c16:uniqueId val="{0000007D-42C2-4511-9769-BFD15C129682}"/>
              </c:ext>
            </c:extLst>
          </c:dPt>
          <c:dPt>
            <c:idx val="17"/>
            <c:invertIfNegative val="0"/>
            <c:bubble3D val="0"/>
            <c:extLst>
              <c:ext xmlns:c16="http://schemas.microsoft.com/office/drawing/2014/chart" uri="{C3380CC4-5D6E-409C-BE32-E72D297353CC}">
                <c16:uniqueId val="{0000007E-42C2-4511-9769-BFD15C129682}"/>
              </c:ext>
            </c:extLst>
          </c:dPt>
          <c:dPt>
            <c:idx val="18"/>
            <c:invertIfNegative val="0"/>
            <c:bubble3D val="0"/>
            <c:extLst>
              <c:ext xmlns:c16="http://schemas.microsoft.com/office/drawing/2014/chart" uri="{C3380CC4-5D6E-409C-BE32-E72D297353CC}">
                <c16:uniqueId val="{0000007F-42C2-4511-9769-BFD15C129682}"/>
              </c:ext>
            </c:extLst>
          </c:dPt>
          <c:dPt>
            <c:idx val="19"/>
            <c:invertIfNegative val="0"/>
            <c:bubble3D val="0"/>
            <c:extLst>
              <c:ext xmlns:c16="http://schemas.microsoft.com/office/drawing/2014/chart" uri="{C3380CC4-5D6E-409C-BE32-E72D297353CC}">
                <c16:uniqueId val="{00000080-42C2-4511-9769-BFD15C129682}"/>
              </c:ext>
            </c:extLst>
          </c:dPt>
          <c:dPt>
            <c:idx val="20"/>
            <c:invertIfNegative val="0"/>
            <c:bubble3D val="0"/>
            <c:extLst>
              <c:ext xmlns:c16="http://schemas.microsoft.com/office/drawing/2014/chart" uri="{C3380CC4-5D6E-409C-BE32-E72D297353CC}">
                <c16:uniqueId val="{00000081-42C2-4511-9769-BFD15C129682}"/>
              </c:ext>
            </c:extLst>
          </c:dPt>
          <c:dPt>
            <c:idx val="21"/>
            <c:invertIfNegative val="0"/>
            <c:bubble3D val="0"/>
            <c:extLst>
              <c:ext xmlns:c16="http://schemas.microsoft.com/office/drawing/2014/chart" uri="{C3380CC4-5D6E-409C-BE32-E72D297353CC}">
                <c16:uniqueId val="{00000082-42C2-4511-9769-BFD15C129682}"/>
              </c:ext>
            </c:extLst>
          </c:dPt>
          <c:dPt>
            <c:idx val="22"/>
            <c:invertIfNegative val="0"/>
            <c:bubble3D val="0"/>
            <c:extLst>
              <c:ext xmlns:c16="http://schemas.microsoft.com/office/drawing/2014/chart" uri="{C3380CC4-5D6E-409C-BE32-E72D297353CC}">
                <c16:uniqueId val="{00000083-42C2-4511-9769-BFD15C129682}"/>
              </c:ext>
            </c:extLst>
          </c:dPt>
          <c:dPt>
            <c:idx val="23"/>
            <c:invertIfNegative val="0"/>
            <c:bubble3D val="0"/>
            <c:extLst>
              <c:ext xmlns:c16="http://schemas.microsoft.com/office/drawing/2014/chart" uri="{C3380CC4-5D6E-409C-BE32-E72D297353CC}">
                <c16:uniqueId val="{00000084-42C2-4511-9769-BFD15C129682}"/>
              </c:ext>
            </c:extLst>
          </c:dPt>
          <c:dPt>
            <c:idx val="24"/>
            <c:invertIfNegative val="0"/>
            <c:bubble3D val="0"/>
            <c:extLst>
              <c:ext xmlns:c16="http://schemas.microsoft.com/office/drawing/2014/chart" uri="{C3380CC4-5D6E-409C-BE32-E72D297353CC}">
                <c16:uniqueId val="{00000085-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Data'!$B$7:$W$7</c:f>
              <c:numCache>
                <c:formatCode>#,##0_ ;\-#,##0\ </c:formatCode>
                <c:ptCount val="22"/>
                <c:pt idx="0">
                  <c:v>0</c:v>
                </c:pt>
                <c:pt idx="1">
                  <c:v>-24</c:v>
                </c:pt>
                <c:pt idx="2">
                  <c:v>145</c:v>
                </c:pt>
                <c:pt idx="3">
                  <c:v>-129</c:v>
                </c:pt>
                <c:pt idx="4">
                  <c:v>152</c:v>
                </c:pt>
                <c:pt idx="5">
                  <c:v>152</c:v>
                </c:pt>
                <c:pt idx="6">
                  <c:v>152</c:v>
                </c:pt>
                <c:pt idx="7">
                  <c:v>152</c:v>
                </c:pt>
                <c:pt idx="8">
                  <c:v>152</c:v>
                </c:pt>
                <c:pt idx="9">
                  <c:v>152</c:v>
                </c:pt>
                <c:pt idx="10">
                  <c:v>105</c:v>
                </c:pt>
                <c:pt idx="11">
                  <c:v>105</c:v>
                </c:pt>
                <c:pt idx="12">
                  <c:v>105</c:v>
                </c:pt>
                <c:pt idx="13">
                  <c:v>105</c:v>
                </c:pt>
                <c:pt idx="14">
                  <c:v>105</c:v>
                </c:pt>
                <c:pt idx="15">
                  <c:v>105</c:v>
                </c:pt>
                <c:pt idx="16">
                  <c:v>105</c:v>
                </c:pt>
                <c:pt idx="17">
                  <c:v>213</c:v>
                </c:pt>
                <c:pt idx="18">
                  <c:v>403</c:v>
                </c:pt>
                <c:pt idx="19">
                  <c:v>403</c:v>
                </c:pt>
                <c:pt idx="20">
                  <c:v>2317</c:v>
                </c:pt>
                <c:pt idx="21">
                  <c:v>2317</c:v>
                </c:pt>
              </c:numCache>
            </c:numRef>
          </c:val>
          <c:extLst>
            <c:ext xmlns:c16="http://schemas.microsoft.com/office/drawing/2014/chart" uri="{C3380CC4-5D6E-409C-BE32-E72D297353CC}">
              <c16:uniqueId val="{00000086-42C2-4511-9769-BFD15C129682}"/>
            </c:ext>
          </c:extLst>
        </c:ser>
        <c:ser>
          <c:idx val="8"/>
          <c:order val="5"/>
          <c:tx>
            <c:strRef>
              <c:f>'NewAndRetiredCapacity Data'!$A$8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088-42C2-4511-9769-BFD15C129682}"/>
              </c:ext>
            </c:extLst>
          </c:dPt>
          <c:dPt>
            <c:idx val="1"/>
            <c:invertIfNegative val="0"/>
            <c:bubble3D val="0"/>
            <c:extLst>
              <c:ext xmlns:c16="http://schemas.microsoft.com/office/drawing/2014/chart" uri="{C3380CC4-5D6E-409C-BE32-E72D297353CC}">
                <c16:uniqueId val="{00000089-42C2-4511-9769-BFD15C129682}"/>
              </c:ext>
            </c:extLst>
          </c:dPt>
          <c:dPt>
            <c:idx val="2"/>
            <c:invertIfNegative val="0"/>
            <c:bubble3D val="0"/>
            <c:extLst>
              <c:ext xmlns:c16="http://schemas.microsoft.com/office/drawing/2014/chart" uri="{C3380CC4-5D6E-409C-BE32-E72D297353CC}">
                <c16:uniqueId val="{0000008A-42C2-4511-9769-BFD15C129682}"/>
              </c:ext>
            </c:extLst>
          </c:dPt>
          <c:dPt>
            <c:idx val="3"/>
            <c:invertIfNegative val="0"/>
            <c:bubble3D val="0"/>
            <c:extLst>
              <c:ext xmlns:c16="http://schemas.microsoft.com/office/drawing/2014/chart" uri="{C3380CC4-5D6E-409C-BE32-E72D297353CC}">
                <c16:uniqueId val="{0000008B-42C2-4511-9769-BFD15C129682}"/>
              </c:ext>
            </c:extLst>
          </c:dPt>
          <c:dPt>
            <c:idx val="4"/>
            <c:invertIfNegative val="0"/>
            <c:bubble3D val="0"/>
            <c:extLst>
              <c:ext xmlns:c16="http://schemas.microsoft.com/office/drawing/2014/chart" uri="{C3380CC4-5D6E-409C-BE32-E72D297353CC}">
                <c16:uniqueId val="{0000008C-42C2-4511-9769-BFD15C129682}"/>
              </c:ext>
            </c:extLst>
          </c:dPt>
          <c:dPt>
            <c:idx val="5"/>
            <c:invertIfNegative val="0"/>
            <c:bubble3D val="0"/>
            <c:extLst>
              <c:ext xmlns:c16="http://schemas.microsoft.com/office/drawing/2014/chart" uri="{C3380CC4-5D6E-409C-BE32-E72D297353CC}">
                <c16:uniqueId val="{0000008D-42C2-4511-9769-BFD15C129682}"/>
              </c:ext>
            </c:extLst>
          </c:dPt>
          <c:dPt>
            <c:idx val="6"/>
            <c:invertIfNegative val="0"/>
            <c:bubble3D val="0"/>
            <c:extLst>
              <c:ext xmlns:c16="http://schemas.microsoft.com/office/drawing/2014/chart" uri="{C3380CC4-5D6E-409C-BE32-E72D297353CC}">
                <c16:uniqueId val="{0000008E-42C2-4511-9769-BFD15C129682}"/>
              </c:ext>
            </c:extLst>
          </c:dPt>
          <c:dPt>
            <c:idx val="7"/>
            <c:invertIfNegative val="0"/>
            <c:bubble3D val="0"/>
            <c:extLst>
              <c:ext xmlns:c16="http://schemas.microsoft.com/office/drawing/2014/chart" uri="{C3380CC4-5D6E-409C-BE32-E72D297353CC}">
                <c16:uniqueId val="{0000008F-42C2-4511-9769-BFD15C129682}"/>
              </c:ext>
            </c:extLst>
          </c:dPt>
          <c:dPt>
            <c:idx val="8"/>
            <c:invertIfNegative val="0"/>
            <c:bubble3D val="0"/>
            <c:extLst>
              <c:ext xmlns:c16="http://schemas.microsoft.com/office/drawing/2014/chart" uri="{C3380CC4-5D6E-409C-BE32-E72D297353CC}">
                <c16:uniqueId val="{00000090-42C2-4511-9769-BFD15C129682}"/>
              </c:ext>
            </c:extLst>
          </c:dPt>
          <c:dPt>
            <c:idx val="9"/>
            <c:invertIfNegative val="0"/>
            <c:bubble3D val="0"/>
            <c:extLst>
              <c:ext xmlns:c16="http://schemas.microsoft.com/office/drawing/2014/chart" uri="{C3380CC4-5D6E-409C-BE32-E72D297353CC}">
                <c16:uniqueId val="{00000091-42C2-4511-9769-BFD15C129682}"/>
              </c:ext>
            </c:extLst>
          </c:dPt>
          <c:dPt>
            <c:idx val="10"/>
            <c:invertIfNegative val="0"/>
            <c:bubble3D val="0"/>
            <c:extLst>
              <c:ext xmlns:c16="http://schemas.microsoft.com/office/drawing/2014/chart" uri="{C3380CC4-5D6E-409C-BE32-E72D297353CC}">
                <c16:uniqueId val="{00000092-42C2-4511-9769-BFD15C129682}"/>
              </c:ext>
            </c:extLst>
          </c:dPt>
          <c:dPt>
            <c:idx val="11"/>
            <c:invertIfNegative val="0"/>
            <c:bubble3D val="0"/>
            <c:extLst>
              <c:ext xmlns:c16="http://schemas.microsoft.com/office/drawing/2014/chart" uri="{C3380CC4-5D6E-409C-BE32-E72D297353CC}">
                <c16:uniqueId val="{00000093-42C2-4511-9769-BFD15C129682}"/>
              </c:ext>
            </c:extLst>
          </c:dPt>
          <c:dPt>
            <c:idx val="12"/>
            <c:invertIfNegative val="0"/>
            <c:bubble3D val="0"/>
            <c:extLst>
              <c:ext xmlns:c16="http://schemas.microsoft.com/office/drawing/2014/chart" uri="{C3380CC4-5D6E-409C-BE32-E72D297353CC}">
                <c16:uniqueId val="{00000094-42C2-4511-9769-BFD15C129682}"/>
              </c:ext>
            </c:extLst>
          </c:dPt>
          <c:dPt>
            <c:idx val="13"/>
            <c:invertIfNegative val="0"/>
            <c:bubble3D val="0"/>
            <c:extLst>
              <c:ext xmlns:c16="http://schemas.microsoft.com/office/drawing/2014/chart" uri="{C3380CC4-5D6E-409C-BE32-E72D297353CC}">
                <c16:uniqueId val="{00000095-42C2-4511-9769-BFD15C129682}"/>
              </c:ext>
            </c:extLst>
          </c:dPt>
          <c:dPt>
            <c:idx val="14"/>
            <c:invertIfNegative val="0"/>
            <c:bubble3D val="0"/>
            <c:extLst>
              <c:ext xmlns:c16="http://schemas.microsoft.com/office/drawing/2014/chart" uri="{C3380CC4-5D6E-409C-BE32-E72D297353CC}">
                <c16:uniqueId val="{00000096-42C2-4511-9769-BFD15C129682}"/>
              </c:ext>
            </c:extLst>
          </c:dPt>
          <c:dPt>
            <c:idx val="15"/>
            <c:invertIfNegative val="0"/>
            <c:bubble3D val="0"/>
            <c:extLst>
              <c:ext xmlns:c16="http://schemas.microsoft.com/office/drawing/2014/chart" uri="{C3380CC4-5D6E-409C-BE32-E72D297353CC}">
                <c16:uniqueId val="{00000097-42C2-4511-9769-BFD15C129682}"/>
              </c:ext>
            </c:extLst>
          </c:dPt>
          <c:dPt>
            <c:idx val="16"/>
            <c:invertIfNegative val="0"/>
            <c:bubble3D val="0"/>
            <c:extLst>
              <c:ext xmlns:c16="http://schemas.microsoft.com/office/drawing/2014/chart" uri="{C3380CC4-5D6E-409C-BE32-E72D297353CC}">
                <c16:uniqueId val="{00000098-42C2-4511-9769-BFD15C129682}"/>
              </c:ext>
            </c:extLst>
          </c:dPt>
          <c:dPt>
            <c:idx val="17"/>
            <c:invertIfNegative val="0"/>
            <c:bubble3D val="0"/>
            <c:extLst>
              <c:ext xmlns:c16="http://schemas.microsoft.com/office/drawing/2014/chart" uri="{C3380CC4-5D6E-409C-BE32-E72D297353CC}">
                <c16:uniqueId val="{00000099-42C2-4511-9769-BFD15C129682}"/>
              </c:ext>
            </c:extLst>
          </c:dPt>
          <c:dPt>
            <c:idx val="18"/>
            <c:invertIfNegative val="0"/>
            <c:bubble3D val="0"/>
            <c:extLst>
              <c:ext xmlns:c16="http://schemas.microsoft.com/office/drawing/2014/chart" uri="{C3380CC4-5D6E-409C-BE32-E72D297353CC}">
                <c16:uniqueId val="{0000009A-42C2-4511-9769-BFD15C129682}"/>
              </c:ext>
            </c:extLst>
          </c:dPt>
          <c:dPt>
            <c:idx val="19"/>
            <c:invertIfNegative val="0"/>
            <c:bubble3D val="0"/>
            <c:extLst>
              <c:ext xmlns:c16="http://schemas.microsoft.com/office/drawing/2014/chart" uri="{C3380CC4-5D6E-409C-BE32-E72D297353CC}">
                <c16:uniqueId val="{0000009B-42C2-4511-9769-BFD15C129682}"/>
              </c:ext>
            </c:extLst>
          </c:dPt>
          <c:dPt>
            <c:idx val="20"/>
            <c:invertIfNegative val="0"/>
            <c:bubble3D val="0"/>
            <c:extLst>
              <c:ext xmlns:c16="http://schemas.microsoft.com/office/drawing/2014/chart" uri="{C3380CC4-5D6E-409C-BE32-E72D297353CC}">
                <c16:uniqueId val="{0000009C-42C2-4511-9769-BFD15C129682}"/>
              </c:ext>
            </c:extLst>
          </c:dPt>
          <c:dPt>
            <c:idx val="21"/>
            <c:invertIfNegative val="0"/>
            <c:bubble3D val="0"/>
            <c:extLst>
              <c:ext xmlns:c16="http://schemas.microsoft.com/office/drawing/2014/chart" uri="{C3380CC4-5D6E-409C-BE32-E72D297353CC}">
                <c16:uniqueId val="{0000009D-42C2-4511-9769-BFD15C129682}"/>
              </c:ext>
            </c:extLst>
          </c:dPt>
          <c:dPt>
            <c:idx val="22"/>
            <c:invertIfNegative val="0"/>
            <c:bubble3D val="0"/>
            <c:extLst>
              <c:ext xmlns:c16="http://schemas.microsoft.com/office/drawing/2014/chart" uri="{C3380CC4-5D6E-409C-BE32-E72D297353CC}">
                <c16:uniqueId val="{0000009E-42C2-4511-9769-BFD15C129682}"/>
              </c:ext>
            </c:extLst>
          </c:dPt>
          <c:dPt>
            <c:idx val="23"/>
            <c:invertIfNegative val="0"/>
            <c:bubble3D val="0"/>
            <c:extLst>
              <c:ext xmlns:c16="http://schemas.microsoft.com/office/drawing/2014/chart" uri="{C3380CC4-5D6E-409C-BE32-E72D297353CC}">
                <c16:uniqueId val="{0000009F-42C2-4511-9769-BFD15C129682}"/>
              </c:ext>
            </c:extLst>
          </c:dPt>
          <c:dPt>
            <c:idx val="24"/>
            <c:invertIfNegative val="0"/>
            <c:bubble3D val="0"/>
            <c:extLst>
              <c:ext xmlns:c16="http://schemas.microsoft.com/office/drawing/2014/chart" uri="{C3380CC4-5D6E-409C-BE32-E72D297353CC}">
                <c16:uniqueId val="{000000A0-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Data'!$B$8:$W$8</c:f>
              <c:numCache>
                <c:formatCode>#,##0_ ;\-#,##0\ </c:formatCode>
                <c:ptCount val="22"/>
                <c:pt idx="0">
                  <c:v>0</c:v>
                </c:pt>
                <c:pt idx="1">
                  <c:v>2636.3324456500013</c:v>
                </c:pt>
                <c:pt idx="2">
                  <c:v>2636.3324456500013</c:v>
                </c:pt>
                <c:pt idx="3">
                  <c:v>3036.3324456499995</c:v>
                </c:pt>
                <c:pt idx="4">
                  <c:v>3436.3324456500013</c:v>
                </c:pt>
                <c:pt idx="5">
                  <c:v>4329.3324456499995</c:v>
                </c:pt>
                <c:pt idx="6">
                  <c:v>4768.5282467099987</c:v>
                </c:pt>
                <c:pt idx="7">
                  <c:v>4976.7314722400006</c:v>
                </c:pt>
                <c:pt idx="8">
                  <c:v>5570.3651232100001</c:v>
                </c:pt>
                <c:pt idx="9">
                  <c:v>5938.9179440000007</c:v>
                </c:pt>
                <c:pt idx="10">
                  <c:v>6578.0439886600016</c:v>
                </c:pt>
                <c:pt idx="11">
                  <c:v>7206.851606000002</c:v>
                </c:pt>
                <c:pt idx="12">
                  <c:v>7883.4140403499987</c:v>
                </c:pt>
                <c:pt idx="13">
                  <c:v>8190.9303260599991</c:v>
                </c:pt>
                <c:pt idx="14">
                  <c:v>8190.9303260599991</c:v>
                </c:pt>
                <c:pt idx="15">
                  <c:v>8435.9928042499996</c:v>
                </c:pt>
                <c:pt idx="16">
                  <c:v>8746.1420496399987</c:v>
                </c:pt>
                <c:pt idx="17">
                  <c:v>10282.385559929999</c:v>
                </c:pt>
                <c:pt idx="18">
                  <c:v>11044.406528989999</c:v>
                </c:pt>
                <c:pt idx="19">
                  <c:v>11044.754055379999</c:v>
                </c:pt>
                <c:pt idx="20">
                  <c:v>11187.488841480001</c:v>
                </c:pt>
                <c:pt idx="21">
                  <c:v>11187.488841480001</c:v>
                </c:pt>
              </c:numCache>
            </c:numRef>
          </c:val>
          <c:extLst>
            <c:ext xmlns:c16="http://schemas.microsoft.com/office/drawing/2014/chart" uri="{C3380CC4-5D6E-409C-BE32-E72D297353CC}">
              <c16:uniqueId val="{000000A1-42C2-4511-9769-BFD15C129682}"/>
            </c:ext>
          </c:extLst>
        </c:ser>
        <c:ser>
          <c:idx val="5"/>
          <c:order val="6"/>
          <c:tx>
            <c:strRef>
              <c:f>'NewAndRetiredCapacity Data'!$A$11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0EC-42C2-4511-9769-BFD15C129682}"/>
              </c:ext>
            </c:extLst>
          </c:dPt>
          <c:dPt>
            <c:idx val="1"/>
            <c:invertIfNegative val="0"/>
            <c:bubble3D val="0"/>
            <c:extLst>
              <c:ext xmlns:c16="http://schemas.microsoft.com/office/drawing/2014/chart" uri="{C3380CC4-5D6E-409C-BE32-E72D297353CC}">
                <c16:uniqueId val="{000000ED-42C2-4511-9769-BFD15C129682}"/>
              </c:ext>
            </c:extLst>
          </c:dPt>
          <c:dPt>
            <c:idx val="2"/>
            <c:invertIfNegative val="0"/>
            <c:bubble3D val="0"/>
            <c:extLst>
              <c:ext xmlns:c16="http://schemas.microsoft.com/office/drawing/2014/chart" uri="{C3380CC4-5D6E-409C-BE32-E72D297353CC}">
                <c16:uniqueId val="{000000EE-42C2-4511-9769-BFD15C129682}"/>
              </c:ext>
            </c:extLst>
          </c:dPt>
          <c:dPt>
            <c:idx val="3"/>
            <c:invertIfNegative val="0"/>
            <c:bubble3D val="0"/>
            <c:extLst>
              <c:ext xmlns:c16="http://schemas.microsoft.com/office/drawing/2014/chart" uri="{C3380CC4-5D6E-409C-BE32-E72D297353CC}">
                <c16:uniqueId val="{000000EF-42C2-4511-9769-BFD15C129682}"/>
              </c:ext>
            </c:extLst>
          </c:dPt>
          <c:dPt>
            <c:idx val="4"/>
            <c:invertIfNegative val="0"/>
            <c:bubble3D val="0"/>
            <c:extLst>
              <c:ext xmlns:c16="http://schemas.microsoft.com/office/drawing/2014/chart" uri="{C3380CC4-5D6E-409C-BE32-E72D297353CC}">
                <c16:uniqueId val="{000000F0-42C2-4511-9769-BFD15C129682}"/>
              </c:ext>
            </c:extLst>
          </c:dPt>
          <c:dPt>
            <c:idx val="5"/>
            <c:invertIfNegative val="0"/>
            <c:bubble3D val="0"/>
            <c:extLst>
              <c:ext xmlns:c16="http://schemas.microsoft.com/office/drawing/2014/chart" uri="{C3380CC4-5D6E-409C-BE32-E72D297353CC}">
                <c16:uniqueId val="{000000F1-42C2-4511-9769-BFD15C129682}"/>
              </c:ext>
            </c:extLst>
          </c:dPt>
          <c:dPt>
            <c:idx val="6"/>
            <c:invertIfNegative val="0"/>
            <c:bubble3D val="0"/>
            <c:extLst>
              <c:ext xmlns:c16="http://schemas.microsoft.com/office/drawing/2014/chart" uri="{C3380CC4-5D6E-409C-BE32-E72D297353CC}">
                <c16:uniqueId val="{000000F2-42C2-4511-9769-BFD15C129682}"/>
              </c:ext>
            </c:extLst>
          </c:dPt>
          <c:dPt>
            <c:idx val="7"/>
            <c:invertIfNegative val="0"/>
            <c:bubble3D val="0"/>
            <c:extLst>
              <c:ext xmlns:c16="http://schemas.microsoft.com/office/drawing/2014/chart" uri="{C3380CC4-5D6E-409C-BE32-E72D297353CC}">
                <c16:uniqueId val="{000000F3-42C2-4511-9769-BFD15C129682}"/>
              </c:ext>
            </c:extLst>
          </c:dPt>
          <c:dPt>
            <c:idx val="8"/>
            <c:invertIfNegative val="0"/>
            <c:bubble3D val="0"/>
            <c:extLst>
              <c:ext xmlns:c16="http://schemas.microsoft.com/office/drawing/2014/chart" uri="{C3380CC4-5D6E-409C-BE32-E72D297353CC}">
                <c16:uniqueId val="{000000F4-42C2-4511-9769-BFD15C129682}"/>
              </c:ext>
            </c:extLst>
          </c:dPt>
          <c:dPt>
            <c:idx val="9"/>
            <c:invertIfNegative val="0"/>
            <c:bubble3D val="0"/>
            <c:extLst>
              <c:ext xmlns:c16="http://schemas.microsoft.com/office/drawing/2014/chart" uri="{C3380CC4-5D6E-409C-BE32-E72D297353CC}">
                <c16:uniqueId val="{000000F5-42C2-4511-9769-BFD15C129682}"/>
              </c:ext>
            </c:extLst>
          </c:dPt>
          <c:dPt>
            <c:idx val="10"/>
            <c:invertIfNegative val="0"/>
            <c:bubble3D val="0"/>
            <c:extLst>
              <c:ext xmlns:c16="http://schemas.microsoft.com/office/drawing/2014/chart" uri="{C3380CC4-5D6E-409C-BE32-E72D297353CC}">
                <c16:uniqueId val="{000000F6-42C2-4511-9769-BFD15C129682}"/>
              </c:ext>
            </c:extLst>
          </c:dPt>
          <c:dPt>
            <c:idx val="11"/>
            <c:invertIfNegative val="0"/>
            <c:bubble3D val="0"/>
            <c:extLst>
              <c:ext xmlns:c16="http://schemas.microsoft.com/office/drawing/2014/chart" uri="{C3380CC4-5D6E-409C-BE32-E72D297353CC}">
                <c16:uniqueId val="{000000F7-42C2-4511-9769-BFD15C129682}"/>
              </c:ext>
            </c:extLst>
          </c:dPt>
          <c:dPt>
            <c:idx val="12"/>
            <c:invertIfNegative val="0"/>
            <c:bubble3D val="0"/>
            <c:extLst>
              <c:ext xmlns:c16="http://schemas.microsoft.com/office/drawing/2014/chart" uri="{C3380CC4-5D6E-409C-BE32-E72D297353CC}">
                <c16:uniqueId val="{000000F8-42C2-4511-9769-BFD15C129682}"/>
              </c:ext>
            </c:extLst>
          </c:dPt>
          <c:dPt>
            <c:idx val="13"/>
            <c:invertIfNegative val="0"/>
            <c:bubble3D val="0"/>
            <c:extLst>
              <c:ext xmlns:c16="http://schemas.microsoft.com/office/drawing/2014/chart" uri="{C3380CC4-5D6E-409C-BE32-E72D297353CC}">
                <c16:uniqueId val="{000000F9-42C2-4511-9769-BFD15C129682}"/>
              </c:ext>
            </c:extLst>
          </c:dPt>
          <c:dPt>
            <c:idx val="14"/>
            <c:invertIfNegative val="0"/>
            <c:bubble3D val="0"/>
            <c:extLst>
              <c:ext xmlns:c16="http://schemas.microsoft.com/office/drawing/2014/chart" uri="{C3380CC4-5D6E-409C-BE32-E72D297353CC}">
                <c16:uniqueId val="{000000FA-42C2-4511-9769-BFD15C129682}"/>
              </c:ext>
            </c:extLst>
          </c:dPt>
          <c:dPt>
            <c:idx val="15"/>
            <c:invertIfNegative val="0"/>
            <c:bubble3D val="0"/>
            <c:extLst>
              <c:ext xmlns:c16="http://schemas.microsoft.com/office/drawing/2014/chart" uri="{C3380CC4-5D6E-409C-BE32-E72D297353CC}">
                <c16:uniqueId val="{000000FB-42C2-4511-9769-BFD15C129682}"/>
              </c:ext>
            </c:extLst>
          </c:dPt>
          <c:dPt>
            <c:idx val="16"/>
            <c:invertIfNegative val="0"/>
            <c:bubble3D val="0"/>
            <c:extLst>
              <c:ext xmlns:c16="http://schemas.microsoft.com/office/drawing/2014/chart" uri="{C3380CC4-5D6E-409C-BE32-E72D297353CC}">
                <c16:uniqueId val="{000000FC-42C2-4511-9769-BFD15C129682}"/>
              </c:ext>
            </c:extLst>
          </c:dPt>
          <c:dPt>
            <c:idx val="17"/>
            <c:invertIfNegative val="0"/>
            <c:bubble3D val="0"/>
            <c:extLst>
              <c:ext xmlns:c16="http://schemas.microsoft.com/office/drawing/2014/chart" uri="{C3380CC4-5D6E-409C-BE32-E72D297353CC}">
                <c16:uniqueId val="{000000FD-42C2-4511-9769-BFD15C129682}"/>
              </c:ext>
            </c:extLst>
          </c:dPt>
          <c:dPt>
            <c:idx val="18"/>
            <c:invertIfNegative val="0"/>
            <c:bubble3D val="0"/>
            <c:extLst>
              <c:ext xmlns:c16="http://schemas.microsoft.com/office/drawing/2014/chart" uri="{C3380CC4-5D6E-409C-BE32-E72D297353CC}">
                <c16:uniqueId val="{000000FE-42C2-4511-9769-BFD15C129682}"/>
              </c:ext>
            </c:extLst>
          </c:dPt>
          <c:dPt>
            <c:idx val="19"/>
            <c:invertIfNegative val="0"/>
            <c:bubble3D val="0"/>
            <c:extLst>
              <c:ext xmlns:c16="http://schemas.microsoft.com/office/drawing/2014/chart" uri="{C3380CC4-5D6E-409C-BE32-E72D297353CC}">
                <c16:uniqueId val="{000000FF-42C2-4511-9769-BFD15C129682}"/>
              </c:ext>
            </c:extLst>
          </c:dPt>
          <c:dPt>
            <c:idx val="20"/>
            <c:invertIfNegative val="0"/>
            <c:bubble3D val="0"/>
            <c:extLst>
              <c:ext xmlns:c16="http://schemas.microsoft.com/office/drawing/2014/chart" uri="{C3380CC4-5D6E-409C-BE32-E72D297353CC}">
                <c16:uniqueId val="{00000100-42C2-4511-9769-BFD15C129682}"/>
              </c:ext>
            </c:extLst>
          </c:dPt>
          <c:dPt>
            <c:idx val="21"/>
            <c:invertIfNegative val="0"/>
            <c:bubble3D val="0"/>
            <c:extLst>
              <c:ext xmlns:c16="http://schemas.microsoft.com/office/drawing/2014/chart" uri="{C3380CC4-5D6E-409C-BE32-E72D297353CC}">
                <c16:uniqueId val="{00000101-42C2-4511-9769-BFD15C129682}"/>
              </c:ext>
            </c:extLst>
          </c:dPt>
          <c:dPt>
            <c:idx val="22"/>
            <c:invertIfNegative val="0"/>
            <c:bubble3D val="0"/>
            <c:extLst>
              <c:ext xmlns:c16="http://schemas.microsoft.com/office/drawing/2014/chart" uri="{C3380CC4-5D6E-409C-BE32-E72D297353CC}">
                <c16:uniqueId val="{00000102-42C2-4511-9769-BFD15C129682}"/>
              </c:ext>
            </c:extLst>
          </c:dPt>
          <c:dPt>
            <c:idx val="23"/>
            <c:invertIfNegative val="0"/>
            <c:bubble3D val="0"/>
            <c:extLst>
              <c:ext xmlns:c16="http://schemas.microsoft.com/office/drawing/2014/chart" uri="{C3380CC4-5D6E-409C-BE32-E72D297353CC}">
                <c16:uniqueId val="{00000103-42C2-4511-9769-BFD15C129682}"/>
              </c:ext>
            </c:extLst>
          </c:dPt>
          <c:dPt>
            <c:idx val="24"/>
            <c:invertIfNegative val="0"/>
            <c:bubble3D val="0"/>
            <c:extLst>
              <c:ext xmlns:c16="http://schemas.microsoft.com/office/drawing/2014/chart" uri="{C3380CC4-5D6E-409C-BE32-E72D297353CC}">
                <c16:uniqueId val="{00000104-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Data'!$B$11:$W$11</c:f>
              <c:numCache>
                <c:formatCode>#,##0_ ;\-#,##0\ </c:formatCode>
                <c:ptCount val="22"/>
                <c:pt idx="0">
                  <c:v>0</c:v>
                </c:pt>
                <c:pt idx="1">
                  <c:v>0</c:v>
                </c:pt>
                <c:pt idx="2">
                  <c:v>0</c:v>
                </c:pt>
                <c:pt idx="3">
                  <c:v>0</c:v>
                </c:pt>
                <c:pt idx="4">
                  <c:v>0</c:v>
                </c:pt>
                <c:pt idx="5">
                  <c:v>0</c:v>
                </c:pt>
                <c:pt idx="6">
                  <c:v>0</c:v>
                </c:pt>
                <c:pt idx="7">
                  <c:v>0</c:v>
                </c:pt>
                <c:pt idx="8">
                  <c:v>0</c:v>
                </c:pt>
                <c:pt idx="9">
                  <c:v>0</c:v>
                </c:pt>
                <c:pt idx="10">
                  <c:v>171.567432</c:v>
                </c:pt>
                <c:pt idx="11">
                  <c:v>200</c:v>
                </c:pt>
                <c:pt idx="12">
                  <c:v>200</c:v>
                </c:pt>
                <c:pt idx="13">
                  <c:v>200</c:v>
                </c:pt>
                <c:pt idx="14">
                  <c:v>200</c:v>
                </c:pt>
                <c:pt idx="15">
                  <c:v>200</c:v>
                </c:pt>
                <c:pt idx="16">
                  <c:v>300</c:v>
                </c:pt>
                <c:pt idx="17">
                  <c:v>300</c:v>
                </c:pt>
                <c:pt idx="18">
                  <c:v>300</c:v>
                </c:pt>
                <c:pt idx="19">
                  <c:v>390.65633724999998</c:v>
                </c:pt>
                <c:pt idx="20">
                  <c:v>394.0393345</c:v>
                </c:pt>
                <c:pt idx="21">
                  <c:v>394.0393345</c:v>
                </c:pt>
              </c:numCache>
            </c:numRef>
          </c:val>
          <c:extLst>
            <c:ext xmlns:c16="http://schemas.microsoft.com/office/drawing/2014/chart" uri="{C3380CC4-5D6E-409C-BE32-E72D297353CC}">
              <c16:uniqueId val="{00000105-42C2-4511-9769-BFD15C129682}"/>
            </c:ext>
          </c:extLst>
        </c:ser>
        <c:ser>
          <c:idx val="11"/>
          <c:order val="7"/>
          <c:tx>
            <c:strRef>
              <c:f>'NewAndRetiredCapacity Data'!$A$9</c:f>
              <c:strCache>
                <c:ptCount val="1"/>
                <c:pt idx="0">
                  <c:v>Utility Solar</c:v>
                </c:pt>
              </c:strCache>
            </c:strRef>
          </c:tx>
          <c:spPr>
            <a:solidFill>
              <a:srgbClr val="FFC222"/>
            </a:solidFill>
            <a:ln>
              <a:noFill/>
            </a:ln>
          </c:spPr>
          <c:invertIfNegative val="0"/>
          <c:dPt>
            <c:idx val="0"/>
            <c:invertIfNegative val="0"/>
            <c:bubble3D val="0"/>
            <c:spPr>
              <a:solidFill>
                <a:srgbClr val="FFC222"/>
              </a:solidFill>
              <a:ln w="3175" cmpd="sng">
                <a:noFill/>
                <a:prstDash val="solid"/>
              </a:ln>
            </c:spPr>
            <c:extLst>
              <c:ext xmlns:c16="http://schemas.microsoft.com/office/drawing/2014/chart" uri="{C3380CC4-5D6E-409C-BE32-E72D297353CC}">
                <c16:uniqueId val="{000000A4-42C2-4511-9769-BFD15C129682}"/>
              </c:ext>
            </c:extLst>
          </c:dPt>
          <c:dPt>
            <c:idx val="1"/>
            <c:invertIfNegative val="0"/>
            <c:bubble3D val="0"/>
            <c:spPr>
              <a:solidFill>
                <a:srgbClr val="FFC222"/>
              </a:solidFill>
              <a:ln w="3175" cmpd="sng">
                <a:noFill/>
                <a:prstDash val="solid"/>
              </a:ln>
            </c:spPr>
            <c:extLst>
              <c:ext xmlns:c16="http://schemas.microsoft.com/office/drawing/2014/chart" uri="{C3380CC4-5D6E-409C-BE32-E72D297353CC}">
                <c16:uniqueId val="{000000A6-42C2-4511-9769-BFD15C129682}"/>
              </c:ext>
            </c:extLst>
          </c:dPt>
          <c:dPt>
            <c:idx val="2"/>
            <c:invertIfNegative val="0"/>
            <c:bubble3D val="0"/>
            <c:spPr>
              <a:solidFill>
                <a:srgbClr val="FFC222"/>
              </a:solidFill>
              <a:ln w="3175" cmpd="sng">
                <a:noFill/>
                <a:prstDash val="solid"/>
              </a:ln>
            </c:spPr>
            <c:extLst>
              <c:ext xmlns:c16="http://schemas.microsoft.com/office/drawing/2014/chart" uri="{C3380CC4-5D6E-409C-BE32-E72D297353CC}">
                <c16:uniqueId val="{000000A8-42C2-4511-9769-BFD15C129682}"/>
              </c:ext>
            </c:extLst>
          </c:dPt>
          <c:dPt>
            <c:idx val="3"/>
            <c:invertIfNegative val="0"/>
            <c:bubble3D val="0"/>
            <c:spPr>
              <a:solidFill>
                <a:srgbClr val="FFC222"/>
              </a:solidFill>
              <a:ln w="3175" cmpd="sng">
                <a:noFill/>
                <a:prstDash val="solid"/>
              </a:ln>
            </c:spPr>
            <c:extLst>
              <c:ext xmlns:c16="http://schemas.microsoft.com/office/drawing/2014/chart" uri="{C3380CC4-5D6E-409C-BE32-E72D297353CC}">
                <c16:uniqueId val="{000000AA-42C2-4511-9769-BFD15C129682}"/>
              </c:ext>
            </c:extLst>
          </c:dPt>
          <c:dPt>
            <c:idx val="4"/>
            <c:invertIfNegative val="0"/>
            <c:bubble3D val="0"/>
            <c:spPr>
              <a:solidFill>
                <a:srgbClr val="FFC222"/>
              </a:solidFill>
              <a:ln w="3175" cmpd="sng">
                <a:noFill/>
                <a:prstDash val="solid"/>
              </a:ln>
            </c:spPr>
            <c:extLst>
              <c:ext xmlns:c16="http://schemas.microsoft.com/office/drawing/2014/chart" uri="{C3380CC4-5D6E-409C-BE32-E72D297353CC}">
                <c16:uniqueId val="{000000AC-42C2-4511-9769-BFD15C129682}"/>
              </c:ext>
            </c:extLst>
          </c:dPt>
          <c:dPt>
            <c:idx val="5"/>
            <c:invertIfNegative val="0"/>
            <c:bubble3D val="0"/>
            <c:spPr>
              <a:solidFill>
                <a:srgbClr val="FFC222"/>
              </a:solidFill>
              <a:ln w="3175" cmpd="sng">
                <a:noFill/>
                <a:prstDash val="solid"/>
              </a:ln>
            </c:spPr>
            <c:extLst>
              <c:ext xmlns:c16="http://schemas.microsoft.com/office/drawing/2014/chart" uri="{C3380CC4-5D6E-409C-BE32-E72D297353CC}">
                <c16:uniqueId val="{000000AE-42C2-4511-9769-BFD15C129682}"/>
              </c:ext>
            </c:extLst>
          </c:dPt>
          <c:dPt>
            <c:idx val="6"/>
            <c:invertIfNegative val="0"/>
            <c:bubble3D val="0"/>
            <c:spPr>
              <a:solidFill>
                <a:srgbClr val="FFC222"/>
              </a:solidFill>
              <a:ln w="3175" cmpd="sng">
                <a:noFill/>
                <a:prstDash val="solid"/>
              </a:ln>
            </c:spPr>
            <c:extLst>
              <c:ext xmlns:c16="http://schemas.microsoft.com/office/drawing/2014/chart" uri="{C3380CC4-5D6E-409C-BE32-E72D297353CC}">
                <c16:uniqueId val="{000000B0-42C2-4511-9769-BFD15C129682}"/>
              </c:ext>
            </c:extLst>
          </c:dPt>
          <c:dPt>
            <c:idx val="7"/>
            <c:invertIfNegative val="0"/>
            <c:bubble3D val="0"/>
            <c:spPr>
              <a:solidFill>
                <a:srgbClr val="FFC222"/>
              </a:solidFill>
              <a:ln w="3175" cmpd="sng">
                <a:noFill/>
                <a:prstDash val="solid"/>
              </a:ln>
            </c:spPr>
            <c:extLst>
              <c:ext xmlns:c16="http://schemas.microsoft.com/office/drawing/2014/chart" uri="{C3380CC4-5D6E-409C-BE32-E72D297353CC}">
                <c16:uniqueId val="{000000B2-42C2-4511-9769-BFD15C129682}"/>
              </c:ext>
            </c:extLst>
          </c:dPt>
          <c:dPt>
            <c:idx val="8"/>
            <c:invertIfNegative val="0"/>
            <c:bubble3D val="0"/>
            <c:spPr>
              <a:solidFill>
                <a:srgbClr val="FFC222"/>
              </a:solidFill>
              <a:ln w="3175" cmpd="sng">
                <a:noFill/>
                <a:prstDash val="solid"/>
              </a:ln>
            </c:spPr>
            <c:extLst>
              <c:ext xmlns:c16="http://schemas.microsoft.com/office/drawing/2014/chart" uri="{C3380CC4-5D6E-409C-BE32-E72D297353CC}">
                <c16:uniqueId val="{000000B4-42C2-4511-9769-BFD15C129682}"/>
              </c:ext>
            </c:extLst>
          </c:dPt>
          <c:dPt>
            <c:idx val="9"/>
            <c:invertIfNegative val="0"/>
            <c:bubble3D val="0"/>
            <c:spPr>
              <a:solidFill>
                <a:srgbClr val="FFC222"/>
              </a:solidFill>
              <a:ln w="3175" cmpd="sng">
                <a:noFill/>
                <a:prstDash val="solid"/>
              </a:ln>
            </c:spPr>
            <c:extLst>
              <c:ext xmlns:c16="http://schemas.microsoft.com/office/drawing/2014/chart" uri="{C3380CC4-5D6E-409C-BE32-E72D297353CC}">
                <c16:uniqueId val="{000000B6-42C2-4511-9769-BFD15C129682}"/>
              </c:ext>
            </c:extLst>
          </c:dPt>
          <c:dPt>
            <c:idx val="10"/>
            <c:invertIfNegative val="0"/>
            <c:bubble3D val="0"/>
            <c:spPr>
              <a:solidFill>
                <a:srgbClr val="FFC222"/>
              </a:solidFill>
              <a:ln w="3175" cmpd="sng">
                <a:noFill/>
                <a:prstDash val="solid"/>
              </a:ln>
            </c:spPr>
            <c:extLst>
              <c:ext xmlns:c16="http://schemas.microsoft.com/office/drawing/2014/chart" uri="{C3380CC4-5D6E-409C-BE32-E72D297353CC}">
                <c16:uniqueId val="{000000B8-42C2-4511-9769-BFD15C129682}"/>
              </c:ext>
            </c:extLst>
          </c:dPt>
          <c:dPt>
            <c:idx val="11"/>
            <c:invertIfNegative val="0"/>
            <c:bubble3D val="0"/>
            <c:spPr>
              <a:solidFill>
                <a:srgbClr val="FFC222"/>
              </a:solidFill>
              <a:ln w="3175" cmpd="sng">
                <a:noFill/>
                <a:prstDash val="solid"/>
              </a:ln>
            </c:spPr>
            <c:extLst>
              <c:ext xmlns:c16="http://schemas.microsoft.com/office/drawing/2014/chart" uri="{C3380CC4-5D6E-409C-BE32-E72D297353CC}">
                <c16:uniqueId val="{000000BA-42C2-4511-9769-BFD15C129682}"/>
              </c:ext>
            </c:extLst>
          </c:dPt>
          <c:dPt>
            <c:idx val="12"/>
            <c:invertIfNegative val="0"/>
            <c:bubble3D val="0"/>
            <c:spPr>
              <a:solidFill>
                <a:srgbClr val="FFC222"/>
              </a:solidFill>
              <a:ln w="3175" cmpd="sng">
                <a:noFill/>
                <a:prstDash val="solid"/>
              </a:ln>
            </c:spPr>
            <c:extLst>
              <c:ext xmlns:c16="http://schemas.microsoft.com/office/drawing/2014/chart" uri="{C3380CC4-5D6E-409C-BE32-E72D297353CC}">
                <c16:uniqueId val="{000000BC-42C2-4511-9769-BFD15C129682}"/>
              </c:ext>
            </c:extLst>
          </c:dPt>
          <c:dPt>
            <c:idx val="13"/>
            <c:invertIfNegative val="0"/>
            <c:bubble3D val="0"/>
            <c:spPr>
              <a:solidFill>
                <a:srgbClr val="FFC222"/>
              </a:solidFill>
              <a:ln w="3175" cmpd="sng">
                <a:noFill/>
                <a:prstDash val="solid"/>
              </a:ln>
            </c:spPr>
            <c:extLst>
              <c:ext xmlns:c16="http://schemas.microsoft.com/office/drawing/2014/chart" uri="{C3380CC4-5D6E-409C-BE32-E72D297353CC}">
                <c16:uniqueId val="{000000BE-42C2-4511-9769-BFD15C129682}"/>
              </c:ext>
            </c:extLst>
          </c:dPt>
          <c:dPt>
            <c:idx val="14"/>
            <c:invertIfNegative val="0"/>
            <c:bubble3D val="0"/>
            <c:spPr>
              <a:solidFill>
                <a:srgbClr val="FFC222"/>
              </a:solidFill>
              <a:ln w="3175" cmpd="sng">
                <a:noFill/>
                <a:prstDash val="solid"/>
              </a:ln>
            </c:spPr>
            <c:extLst>
              <c:ext xmlns:c16="http://schemas.microsoft.com/office/drawing/2014/chart" uri="{C3380CC4-5D6E-409C-BE32-E72D297353CC}">
                <c16:uniqueId val="{000000C0-42C2-4511-9769-BFD15C129682}"/>
              </c:ext>
            </c:extLst>
          </c:dPt>
          <c:dPt>
            <c:idx val="15"/>
            <c:invertIfNegative val="0"/>
            <c:bubble3D val="0"/>
            <c:spPr>
              <a:solidFill>
                <a:srgbClr val="FFC222"/>
              </a:solidFill>
              <a:ln w="3175" cmpd="sng">
                <a:noFill/>
                <a:prstDash val="solid"/>
              </a:ln>
            </c:spPr>
            <c:extLst>
              <c:ext xmlns:c16="http://schemas.microsoft.com/office/drawing/2014/chart" uri="{C3380CC4-5D6E-409C-BE32-E72D297353CC}">
                <c16:uniqueId val="{000000C2-42C2-4511-9769-BFD15C129682}"/>
              </c:ext>
            </c:extLst>
          </c:dPt>
          <c:dPt>
            <c:idx val="16"/>
            <c:invertIfNegative val="0"/>
            <c:bubble3D val="0"/>
            <c:spPr>
              <a:solidFill>
                <a:srgbClr val="FFC222"/>
              </a:solidFill>
              <a:ln w="3175" cmpd="sng">
                <a:noFill/>
                <a:prstDash val="solid"/>
              </a:ln>
            </c:spPr>
            <c:extLst>
              <c:ext xmlns:c16="http://schemas.microsoft.com/office/drawing/2014/chart" uri="{C3380CC4-5D6E-409C-BE32-E72D297353CC}">
                <c16:uniqueId val="{000000C4-42C2-4511-9769-BFD15C129682}"/>
              </c:ext>
            </c:extLst>
          </c:dPt>
          <c:dPt>
            <c:idx val="17"/>
            <c:invertIfNegative val="0"/>
            <c:bubble3D val="0"/>
            <c:spPr>
              <a:solidFill>
                <a:srgbClr val="FFC222"/>
              </a:solidFill>
              <a:ln w="3175" cmpd="sng">
                <a:noFill/>
                <a:prstDash val="solid"/>
              </a:ln>
            </c:spPr>
            <c:extLst>
              <c:ext xmlns:c16="http://schemas.microsoft.com/office/drawing/2014/chart" uri="{C3380CC4-5D6E-409C-BE32-E72D297353CC}">
                <c16:uniqueId val="{000000C6-42C2-4511-9769-BFD15C129682}"/>
              </c:ext>
            </c:extLst>
          </c:dPt>
          <c:dPt>
            <c:idx val="18"/>
            <c:invertIfNegative val="0"/>
            <c:bubble3D val="0"/>
            <c:spPr>
              <a:solidFill>
                <a:srgbClr val="FFC222"/>
              </a:solidFill>
              <a:ln w="3175" cmpd="sng">
                <a:noFill/>
                <a:prstDash val="solid"/>
              </a:ln>
            </c:spPr>
            <c:extLst>
              <c:ext xmlns:c16="http://schemas.microsoft.com/office/drawing/2014/chart" uri="{C3380CC4-5D6E-409C-BE32-E72D297353CC}">
                <c16:uniqueId val="{000000C8-42C2-4511-9769-BFD15C129682}"/>
              </c:ext>
            </c:extLst>
          </c:dPt>
          <c:dPt>
            <c:idx val="19"/>
            <c:invertIfNegative val="0"/>
            <c:bubble3D val="0"/>
            <c:spPr>
              <a:solidFill>
                <a:srgbClr val="FFC222"/>
              </a:solidFill>
              <a:ln w="3175" cmpd="sng">
                <a:noFill/>
                <a:prstDash val="solid"/>
              </a:ln>
            </c:spPr>
            <c:extLst>
              <c:ext xmlns:c16="http://schemas.microsoft.com/office/drawing/2014/chart" uri="{C3380CC4-5D6E-409C-BE32-E72D297353CC}">
                <c16:uniqueId val="{000000CA-42C2-4511-9769-BFD15C129682}"/>
              </c:ext>
            </c:extLst>
          </c:dPt>
          <c:dPt>
            <c:idx val="20"/>
            <c:invertIfNegative val="0"/>
            <c:bubble3D val="0"/>
            <c:spPr>
              <a:solidFill>
                <a:srgbClr val="FFC222"/>
              </a:solidFill>
              <a:ln w="3175" cmpd="sng">
                <a:noFill/>
                <a:prstDash val="solid"/>
              </a:ln>
            </c:spPr>
            <c:extLst>
              <c:ext xmlns:c16="http://schemas.microsoft.com/office/drawing/2014/chart" uri="{C3380CC4-5D6E-409C-BE32-E72D297353CC}">
                <c16:uniqueId val="{000000CC-42C2-4511-9769-BFD15C129682}"/>
              </c:ext>
            </c:extLst>
          </c:dPt>
          <c:dPt>
            <c:idx val="21"/>
            <c:invertIfNegative val="0"/>
            <c:bubble3D val="0"/>
            <c:spPr>
              <a:solidFill>
                <a:srgbClr val="FFC222"/>
              </a:solidFill>
              <a:ln w="3175" cmpd="sng">
                <a:noFill/>
                <a:prstDash val="solid"/>
              </a:ln>
            </c:spPr>
            <c:extLst>
              <c:ext xmlns:c16="http://schemas.microsoft.com/office/drawing/2014/chart" uri="{C3380CC4-5D6E-409C-BE32-E72D297353CC}">
                <c16:uniqueId val="{000000CE-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Data'!$B$9:$W$9</c:f>
              <c:numCache>
                <c:formatCode>#,##0_ ;\-#,##0\ </c:formatCode>
                <c:ptCount val="22"/>
                <c:pt idx="0">
                  <c:v>0</c:v>
                </c:pt>
                <c:pt idx="1">
                  <c:v>844.5953165599999</c:v>
                </c:pt>
                <c:pt idx="2">
                  <c:v>844.5953165599999</c:v>
                </c:pt>
                <c:pt idx="3">
                  <c:v>940.5953165599999</c:v>
                </c:pt>
                <c:pt idx="4">
                  <c:v>2759.9377527500005</c:v>
                </c:pt>
                <c:pt idx="5">
                  <c:v>3887.36623465</c:v>
                </c:pt>
                <c:pt idx="6">
                  <c:v>6321.2443776199998</c:v>
                </c:pt>
                <c:pt idx="7">
                  <c:v>9250.4255622599994</c:v>
                </c:pt>
                <c:pt idx="8">
                  <c:v>11427.56656035</c:v>
                </c:pt>
                <c:pt idx="9">
                  <c:v>13817.07477642</c:v>
                </c:pt>
                <c:pt idx="10">
                  <c:v>14931.948122380001</c:v>
                </c:pt>
                <c:pt idx="11">
                  <c:v>17187.899594500002</c:v>
                </c:pt>
                <c:pt idx="12">
                  <c:v>19790.099665669997</c:v>
                </c:pt>
                <c:pt idx="13">
                  <c:v>22098.597909789998</c:v>
                </c:pt>
                <c:pt idx="14">
                  <c:v>23460.25789329</c:v>
                </c:pt>
                <c:pt idx="15">
                  <c:v>25068.679721589997</c:v>
                </c:pt>
                <c:pt idx="16">
                  <c:v>28935.476872939998</c:v>
                </c:pt>
                <c:pt idx="17">
                  <c:v>31200.260500429999</c:v>
                </c:pt>
                <c:pt idx="18">
                  <c:v>33835.000000010004</c:v>
                </c:pt>
                <c:pt idx="19">
                  <c:v>33835.000000010004</c:v>
                </c:pt>
                <c:pt idx="20">
                  <c:v>33835.000000010004</c:v>
                </c:pt>
                <c:pt idx="21">
                  <c:v>33835.000000010004</c:v>
                </c:pt>
              </c:numCache>
            </c:numRef>
          </c:val>
          <c:extLst>
            <c:ext xmlns:c16="http://schemas.microsoft.com/office/drawing/2014/chart" uri="{C3380CC4-5D6E-409C-BE32-E72D297353CC}">
              <c16:uniqueId val="{000000CF-42C2-4511-9769-BFD15C129682}"/>
            </c:ext>
          </c:extLst>
        </c:ser>
        <c:ser>
          <c:idx val="9"/>
          <c:order val="8"/>
          <c:tx>
            <c:strRef>
              <c:f>'NewAndRetiredCapacity Data'!$A$10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0D1-42C2-4511-9769-BFD15C129682}"/>
              </c:ext>
            </c:extLst>
          </c:dPt>
          <c:dPt>
            <c:idx val="1"/>
            <c:invertIfNegative val="0"/>
            <c:bubble3D val="0"/>
            <c:extLst>
              <c:ext xmlns:c16="http://schemas.microsoft.com/office/drawing/2014/chart" uri="{C3380CC4-5D6E-409C-BE32-E72D297353CC}">
                <c16:uniqueId val="{000000D2-42C2-4511-9769-BFD15C129682}"/>
              </c:ext>
            </c:extLst>
          </c:dPt>
          <c:dPt>
            <c:idx val="2"/>
            <c:invertIfNegative val="0"/>
            <c:bubble3D val="0"/>
            <c:extLst>
              <c:ext xmlns:c16="http://schemas.microsoft.com/office/drawing/2014/chart" uri="{C3380CC4-5D6E-409C-BE32-E72D297353CC}">
                <c16:uniqueId val="{000000D3-42C2-4511-9769-BFD15C129682}"/>
              </c:ext>
            </c:extLst>
          </c:dPt>
          <c:dPt>
            <c:idx val="3"/>
            <c:invertIfNegative val="0"/>
            <c:bubble3D val="0"/>
            <c:extLst>
              <c:ext xmlns:c16="http://schemas.microsoft.com/office/drawing/2014/chart" uri="{C3380CC4-5D6E-409C-BE32-E72D297353CC}">
                <c16:uniqueId val="{000000D4-42C2-4511-9769-BFD15C129682}"/>
              </c:ext>
            </c:extLst>
          </c:dPt>
          <c:dPt>
            <c:idx val="4"/>
            <c:invertIfNegative val="0"/>
            <c:bubble3D val="0"/>
            <c:extLst>
              <c:ext xmlns:c16="http://schemas.microsoft.com/office/drawing/2014/chart" uri="{C3380CC4-5D6E-409C-BE32-E72D297353CC}">
                <c16:uniqueId val="{000000D5-42C2-4511-9769-BFD15C129682}"/>
              </c:ext>
            </c:extLst>
          </c:dPt>
          <c:dPt>
            <c:idx val="5"/>
            <c:invertIfNegative val="0"/>
            <c:bubble3D val="0"/>
            <c:extLst>
              <c:ext xmlns:c16="http://schemas.microsoft.com/office/drawing/2014/chart" uri="{C3380CC4-5D6E-409C-BE32-E72D297353CC}">
                <c16:uniqueId val="{000000D6-42C2-4511-9769-BFD15C129682}"/>
              </c:ext>
            </c:extLst>
          </c:dPt>
          <c:dPt>
            <c:idx val="6"/>
            <c:invertIfNegative val="0"/>
            <c:bubble3D val="0"/>
            <c:extLst>
              <c:ext xmlns:c16="http://schemas.microsoft.com/office/drawing/2014/chart" uri="{C3380CC4-5D6E-409C-BE32-E72D297353CC}">
                <c16:uniqueId val="{000000D7-42C2-4511-9769-BFD15C129682}"/>
              </c:ext>
            </c:extLst>
          </c:dPt>
          <c:dPt>
            <c:idx val="7"/>
            <c:invertIfNegative val="0"/>
            <c:bubble3D val="0"/>
            <c:extLst>
              <c:ext xmlns:c16="http://schemas.microsoft.com/office/drawing/2014/chart" uri="{C3380CC4-5D6E-409C-BE32-E72D297353CC}">
                <c16:uniqueId val="{000000D8-42C2-4511-9769-BFD15C129682}"/>
              </c:ext>
            </c:extLst>
          </c:dPt>
          <c:dPt>
            <c:idx val="8"/>
            <c:invertIfNegative val="0"/>
            <c:bubble3D val="0"/>
            <c:extLst>
              <c:ext xmlns:c16="http://schemas.microsoft.com/office/drawing/2014/chart" uri="{C3380CC4-5D6E-409C-BE32-E72D297353CC}">
                <c16:uniqueId val="{000000D9-42C2-4511-9769-BFD15C129682}"/>
              </c:ext>
            </c:extLst>
          </c:dPt>
          <c:dPt>
            <c:idx val="9"/>
            <c:invertIfNegative val="0"/>
            <c:bubble3D val="0"/>
            <c:extLst>
              <c:ext xmlns:c16="http://schemas.microsoft.com/office/drawing/2014/chart" uri="{C3380CC4-5D6E-409C-BE32-E72D297353CC}">
                <c16:uniqueId val="{000000DA-42C2-4511-9769-BFD15C129682}"/>
              </c:ext>
            </c:extLst>
          </c:dPt>
          <c:dPt>
            <c:idx val="10"/>
            <c:invertIfNegative val="0"/>
            <c:bubble3D val="0"/>
            <c:extLst>
              <c:ext xmlns:c16="http://schemas.microsoft.com/office/drawing/2014/chart" uri="{C3380CC4-5D6E-409C-BE32-E72D297353CC}">
                <c16:uniqueId val="{000000DB-42C2-4511-9769-BFD15C129682}"/>
              </c:ext>
            </c:extLst>
          </c:dPt>
          <c:dPt>
            <c:idx val="11"/>
            <c:invertIfNegative val="0"/>
            <c:bubble3D val="0"/>
            <c:extLst>
              <c:ext xmlns:c16="http://schemas.microsoft.com/office/drawing/2014/chart" uri="{C3380CC4-5D6E-409C-BE32-E72D297353CC}">
                <c16:uniqueId val="{000000DC-42C2-4511-9769-BFD15C129682}"/>
              </c:ext>
            </c:extLst>
          </c:dPt>
          <c:dPt>
            <c:idx val="12"/>
            <c:invertIfNegative val="0"/>
            <c:bubble3D val="0"/>
            <c:extLst>
              <c:ext xmlns:c16="http://schemas.microsoft.com/office/drawing/2014/chart" uri="{C3380CC4-5D6E-409C-BE32-E72D297353CC}">
                <c16:uniqueId val="{000000DD-42C2-4511-9769-BFD15C129682}"/>
              </c:ext>
            </c:extLst>
          </c:dPt>
          <c:dPt>
            <c:idx val="13"/>
            <c:invertIfNegative val="0"/>
            <c:bubble3D val="0"/>
            <c:extLst>
              <c:ext xmlns:c16="http://schemas.microsoft.com/office/drawing/2014/chart" uri="{C3380CC4-5D6E-409C-BE32-E72D297353CC}">
                <c16:uniqueId val="{000000DE-42C2-4511-9769-BFD15C129682}"/>
              </c:ext>
            </c:extLst>
          </c:dPt>
          <c:dPt>
            <c:idx val="14"/>
            <c:invertIfNegative val="0"/>
            <c:bubble3D val="0"/>
            <c:extLst>
              <c:ext xmlns:c16="http://schemas.microsoft.com/office/drawing/2014/chart" uri="{C3380CC4-5D6E-409C-BE32-E72D297353CC}">
                <c16:uniqueId val="{000000DF-42C2-4511-9769-BFD15C129682}"/>
              </c:ext>
            </c:extLst>
          </c:dPt>
          <c:dPt>
            <c:idx val="15"/>
            <c:invertIfNegative val="0"/>
            <c:bubble3D val="0"/>
            <c:extLst>
              <c:ext xmlns:c16="http://schemas.microsoft.com/office/drawing/2014/chart" uri="{C3380CC4-5D6E-409C-BE32-E72D297353CC}">
                <c16:uniqueId val="{000000E0-42C2-4511-9769-BFD15C129682}"/>
              </c:ext>
            </c:extLst>
          </c:dPt>
          <c:dPt>
            <c:idx val="16"/>
            <c:invertIfNegative val="0"/>
            <c:bubble3D val="0"/>
            <c:extLst>
              <c:ext xmlns:c16="http://schemas.microsoft.com/office/drawing/2014/chart" uri="{C3380CC4-5D6E-409C-BE32-E72D297353CC}">
                <c16:uniqueId val="{000000E1-42C2-4511-9769-BFD15C129682}"/>
              </c:ext>
            </c:extLst>
          </c:dPt>
          <c:dPt>
            <c:idx val="17"/>
            <c:invertIfNegative val="0"/>
            <c:bubble3D val="0"/>
            <c:extLst>
              <c:ext xmlns:c16="http://schemas.microsoft.com/office/drawing/2014/chart" uri="{C3380CC4-5D6E-409C-BE32-E72D297353CC}">
                <c16:uniqueId val="{000000E2-42C2-4511-9769-BFD15C129682}"/>
              </c:ext>
            </c:extLst>
          </c:dPt>
          <c:dPt>
            <c:idx val="18"/>
            <c:invertIfNegative val="0"/>
            <c:bubble3D val="0"/>
            <c:extLst>
              <c:ext xmlns:c16="http://schemas.microsoft.com/office/drawing/2014/chart" uri="{C3380CC4-5D6E-409C-BE32-E72D297353CC}">
                <c16:uniqueId val="{000000E3-42C2-4511-9769-BFD15C129682}"/>
              </c:ext>
            </c:extLst>
          </c:dPt>
          <c:dPt>
            <c:idx val="19"/>
            <c:invertIfNegative val="0"/>
            <c:bubble3D val="0"/>
            <c:extLst>
              <c:ext xmlns:c16="http://schemas.microsoft.com/office/drawing/2014/chart" uri="{C3380CC4-5D6E-409C-BE32-E72D297353CC}">
                <c16:uniqueId val="{000000E4-42C2-4511-9769-BFD15C129682}"/>
              </c:ext>
            </c:extLst>
          </c:dPt>
          <c:dPt>
            <c:idx val="20"/>
            <c:invertIfNegative val="0"/>
            <c:bubble3D val="0"/>
            <c:extLst>
              <c:ext xmlns:c16="http://schemas.microsoft.com/office/drawing/2014/chart" uri="{C3380CC4-5D6E-409C-BE32-E72D297353CC}">
                <c16:uniqueId val="{000000E5-42C2-4511-9769-BFD15C129682}"/>
              </c:ext>
            </c:extLst>
          </c:dPt>
          <c:dPt>
            <c:idx val="21"/>
            <c:invertIfNegative val="0"/>
            <c:bubble3D val="0"/>
            <c:extLst>
              <c:ext xmlns:c16="http://schemas.microsoft.com/office/drawing/2014/chart" uri="{C3380CC4-5D6E-409C-BE32-E72D297353CC}">
                <c16:uniqueId val="{000000E6-42C2-4511-9769-BFD15C129682}"/>
              </c:ext>
            </c:extLst>
          </c:dPt>
          <c:dPt>
            <c:idx val="22"/>
            <c:invertIfNegative val="0"/>
            <c:bubble3D val="0"/>
            <c:extLst>
              <c:ext xmlns:c16="http://schemas.microsoft.com/office/drawing/2014/chart" uri="{C3380CC4-5D6E-409C-BE32-E72D297353CC}">
                <c16:uniqueId val="{000000E7-42C2-4511-9769-BFD15C129682}"/>
              </c:ext>
            </c:extLst>
          </c:dPt>
          <c:dPt>
            <c:idx val="23"/>
            <c:invertIfNegative val="0"/>
            <c:bubble3D val="0"/>
            <c:extLst>
              <c:ext xmlns:c16="http://schemas.microsoft.com/office/drawing/2014/chart" uri="{C3380CC4-5D6E-409C-BE32-E72D297353CC}">
                <c16:uniqueId val="{000000E8-42C2-4511-9769-BFD15C129682}"/>
              </c:ext>
            </c:extLst>
          </c:dPt>
          <c:dPt>
            <c:idx val="24"/>
            <c:invertIfNegative val="0"/>
            <c:bubble3D val="0"/>
            <c:extLst>
              <c:ext xmlns:c16="http://schemas.microsoft.com/office/drawing/2014/chart" uri="{C3380CC4-5D6E-409C-BE32-E72D297353CC}">
                <c16:uniqueId val="{000000E9-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Data'!$B$10:$W$10</c:f>
              <c:numCache>
                <c:formatCode>#,##0_ ;\-#,##0\ </c:formatCode>
                <c:ptCount val="22"/>
                <c:pt idx="0">
                  <c:v>0</c:v>
                </c:pt>
                <c:pt idx="1">
                  <c:v>20</c:v>
                </c:pt>
                <c:pt idx="2">
                  <c:v>120</c:v>
                </c:pt>
                <c:pt idx="3">
                  <c:v>120</c:v>
                </c:pt>
                <c:pt idx="4">
                  <c:v>230.28222795000011</c:v>
                </c:pt>
                <c:pt idx="5">
                  <c:v>256.53990125999962</c:v>
                </c:pt>
                <c:pt idx="6">
                  <c:v>936.69295135999982</c:v>
                </c:pt>
                <c:pt idx="7">
                  <c:v>1293.43854736</c:v>
                </c:pt>
                <c:pt idx="8">
                  <c:v>2051.9797973600002</c:v>
                </c:pt>
                <c:pt idx="9">
                  <c:v>2992.1784393600005</c:v>
                </c:pt>
                <c:pt idx="10">
                  <c:v>3770.4015485100003</c:v>
                </c:pt>
                <c:pt idx="11">
                  <c:v>5773.6701275100004</c:v>
                </c:pt>
                <c:pt idx="12">
                  <c:v>7550.1456245099998</c:v>
                </c:pt>
                <c:pt idx="13">
                  <c:v>9809.5737295100007</c:v>
                </c:pt>
                <c:pt idx="14">
                  <c:v>11216.941722510001</c:v>
                </c:pt>
                <c:pt idx="15">
                  <c:v>12530.534451510001</c:v>
                </c:pt>
                <c:pt idx="16">
                  <c:v>15099.094590509996</c:v>
                </c:pt>
                <c:pt idx="17">
                  <c:v>17345.20924751</c:v>
                </c:pt>
                <c:pt idx="18">
                  <c:v>19493.853172509997</c:v>
                </c:pt>
                <c:pt idx="19">
                  <c:v>19828.963644029998</c:v>
                </c:pt>
                <c:pt idx="20">
                  <c:v>19828.963646519998</c:v>
                </c:pt>
                <c:pt idx="21">
                  <c:v>19805.569546519997</c:v>
                </c:pt>
              </c:numCache>
            </c:numRef>
          </c:val>
          <c:extLst>
            <c:ext xmlns:c16="http://schemas.microsoft.com/office/drawing/2014/chart" uri="{C3380CC4-5D6E-409C-BE32-E72D297353CC}">
              <c16:uniqueId val="{000000EA-42C2-4511-9769-BFD15C129682}"/>
            </c:ext>
          </c:extLst>
        </c:ser>
        <c:ser>
          <c:idx val="6"/>
          <c:order val="9"/>
          <c:tx>
            <c:strRef>
              <c:f>'NewAndRetiredCapacity Data'!$A$12</c:f>
              <c:strCache>
                <c:ptCount val="1"/>
                <c:pt idx="0">
                  <c:v>Distributed storage</c:v>
                </c:pt>
              </c:strCache>
            </c:strRef>
          </c:tx>
          <c:spPr>
            <a:solidFill>
              <a:srgbClr val="92D050"/>
            </a:solidFill>
            <a:ln>
              <a:noFill/>
            </a:ln>
            <a:effectLst/>
          </c:spPr>
          <c:invertIfNegative val="0"/>
          <c:dPt>
            <c:idx val="0"/>
            <c:invertIfNegative val="0"/>
            <c:bubble3D val="0"/>
            <c:extLst>
              <c:ext xmlns:c16="http://schemas.microsoft.com/office/drawing/2014/chart" uri="{C3380CC4-5D6E-409C-BE32-E72D297353CC}">
                <c16:uniqueId val="{00000107-42C2-4511-9769-BFD15C129682}"/>
              </c:ext>
            </c:extLst>
          </c:dPt>
          <c:dPt>
            <c:idx val="1"/>
            <c:invertIfNegative val="0"/>
            <c:bubble3D val="0"/>
            <c:extLst>
              <c:ext xmlns:c16="http://schemas.microsoft.com/office/drawing/2014/chart" uri="{C3380CC4-5D6E-409C-BE32-E72D297353CC}">
                <c16:uniqueId val="{00000108-42C2-4511-9769-BFD15C129682}"/>
              </c:ext>
            </c:extLst>
          </c:dPt>
          <c:dPt>
            <c:idx val="2"/>
            <c:invertIfNegative val="0"/>
            <c:bubble3D val="0"/>
            <c:extLst>
              <c:ext xmlns:c16="http://schemas.microsoft.com/office/drawing/2014/chart" uri="{C3380CC4-5D6E-409C-BE32-E72D297353CC}">
                <c16:uniqueId val="{00000109-42C2-4511-9769-BFD15C129682}"/>
              </c:ext>
            </c:extLst>
          </c:dPt>
          <c:dPt>
            <c:idx val="3"/>
            <c:invertIfNegative val="0"/>
            <c:bubble3D val="0"/>
            <c:extLst>
              <c:ext xmlns:c16="http://schemas.microsoft.com/office/drawing/2014/chart" uri="{C3380CC4-5D6E-409C-BE32-E72D297353CC}">
                <c16:uniqueId val="{0000010A-42C2-4511-9769-BFD15C129682}"/>
              </c:ext>
            </c:extLst>
          </c:dPt>
          <c:dPt>
            <c:idx val="4"/>
            <c:invertIfNegative val="0"/>
            <c:bubble3D val="0"/>
            <c:extLst>
              <c:ext xmlns:c16="http://schemas.microsoft.com/office/drawing/2014/chart" uri="{C3380CC4-5D6E-409C-BE32-E72D297353CC}">
                <c16:uniqueId val="{0000010B-42C2-4511-9769-BFD15C129682}"/>
              </c:ext>
            </c:extLst>
          </c:dPt>
          <c:dPt>
            <c:idx val="5"/>
            <c:invertIfNegative val="0"/>
            <c:bubble3D val="0"/>
            <c:extLst>
              <c:ext xmlns:c16="http://schemas.microsoft.com/office/drawing/2014/chart" uri="{C3380CC4-5D6E-409C-BE32-E72D297353CC}">
                <c16:uniqueId val="{0000010C-42C2-4511-9769-BFD15C129682}"/>
              </c:ext>
            </c:extLst>
          </c:dPt>
          <c:dPt>
            <c:idx val="6"/>
            <c:invertIfNegative val="0"/>
            <c:bubble3D val="0"/>
            <c:extLst>
              <c:ext xmlns:c16="http://schemas.microsoft.com/office/drawing/2014/chart" uri="{C3380CC4-5D6E-409C-BE32-E72D297353CC}">
                <c16:uniqueId val="{0000010D-42C2-4511-9769-BFD15C129682}"/>
              </c:ext>
            </c:extLst>
          </c:dPt>
          <c:dPt>
            <c:idx val="7"/>
            <c:invertIfNegative val="0"/>
            <c:bubble3D val="0"/>
            <c:extLst>
              <c:ext xmlns:c16="http://schemas.microsoft.com/office/drawing/2014/chart" uri="{C3380CC4-5D6E-409C-BE32-E72D297353CC}">
                <c16:uniqueId val="{0000010E-42C2-4511-9769-BFD15C129682}"/>
              </c:ext>
            </c:extLst>
          </c:dPt>
          <c:dPt>
            <c:idx val="8"/>
            <c:invertIfNegative val="0"/>
            <c:bubble3D val="0"/>
            <c:extLst>
              <c:ext xmlns:c16="http://schemas.microsoft.com/office/drawing/2014/chart" uri="{C3380CC4-5D6E-409C-BE32-E72D297353CC}">
                <c16:uniqueId val="{0000010F-42C2-4511-9769-BFD15C129682}"/>
              </c:ext>
            </c:extLst>
          </c:dPt>
          <c:dPt>
            <c:idx val="9"/>
            <c:invertIfNegative val="0"/>
            <c:bubble3D val="0"/>
            <c:extLst>
              <c:ext xmlns:c16="http://schemas.microsoft.com/office/drawing/2014/chart" uri="{C3380CC4-5D6E-409C-BE32-E72D297353CC}">
                <c16:uniqueId val="{00000110-42C2-4511-9769-BFD15C129682}"/>
              </c:ext>
            </c:extLst>
          </c:dPt>
          <c:dPt>
            <c:idx val="10"/>
            <c:invertIfNegative val="0"/>
            <c:bubble3D val="0"/>
            <c:extLst>
              <c:ext xmlns:c16="http://schemas.microsoft.com/office/drawing/2014/chart" uri="{C3380CC4-5D6E-409C-BE32-E72D297353CC}">
                <c16:uniqueId val="{00000111-42C2-4511-9769-BFD15C129682}"/>
              </c:ext>
            </c:extLst>
          </c:dPt>
          <c:dPt>
            <c:idx val="11"/>
            <c:invertIfNegative val="0"/>
            <c:bubble3D val="0"/>
            <c:extLst>
              <c:ext xmlns:c16="http://schemas.microsoft.com/office/drawing/2014/chart" uri="{C3380CC4-5D6E-409C-BE32-E72D297353CC}">
                <c16:uniqueId val="{00000112-42C2-4511-9769-BFD15C129682}"/>
              </c:ext>
            </c:extLst>
          </c:dPt>
          <c:dPt>
            <c:idx val="12"/>
            <c:invertIfNegative val="0"/>
            <c:bubble3D val="0"/>
            <c:extLst>
              <c:ext xmlns:c16="http://schemas.microsoft.com/office/drawing/2014/chart" uri="{C3380CC4-5D6E-409C-BE32-E72D297353CC}">
                <c16:uniqueId val="{00000113-42C2-4511-9769-BFD15C129682}"/>
              </c:ext>
            </c:extLst>
          </c:dPt>
          <c:dPt>
            <c:idx val="13"/>
            <c:invertIfNegative val="0"/>
            <c:bubble3D val="0"/>
            <c:extLst>
              <c:ext xmlns:c16="http://schemas.microsoft.com/office/drawing/2014/chart" uri="{C3380CC4-5D6E-409C-BE32-E72D297353CC}">
                <c16:uniqueId val="{00000114-42C2-4511-9769-BFD15C129682}"/>
              </c:ext>
            </c:extLst>
          </c:dPt>
          <c:dPt>
            <c:idx val="14"/>
            <c:invertIfNegative val="0"/>
            <c:bubble3D val="0"/>
            <c:extLst>
              <c:ext xmlns:c16="http://schemas.microsoft.com/office/drawing/2014/chart" uri="{C3380CC4-5D6E-409C-BE32-E72D297353CC}">
                <c16:uniqueId val="{00000115-42C2-4511-9769-BFD15C129682}"/>
              </c:ext>
            </c:extLst>
          </c:dPt>
          <c:dPt>
            <c:idx val="15"/>
            <c:invertIfNegative val="0"/>
            <c:bubble3D val="0"/>
            <c:extLst>
              <c:ext xmlns:c16="http://schemas.microsoft.com/office/drawing/2014/chart" uri="{C3380CC4-5D6E-409C-BE32-E72D297353CC}">
                <c16:uniqueId val="{00000116-42C2-4511-9769-BFD15C129682}"/>
              </c:ext>
            </c:extLst>
          </c:dPt>
          <c:dPt>
            <c:idx val="16"/>
            <c:invertIfNegative val="0"/>
            <c:bubble3D val="0"/>
            <c:extLst>
              <c:ext xmlns:c16="http://schemas.microsoft.com/office/drawing/2014/chart" uri="{C3380CC4-5D6E-409C-BE32-E72D297353CC}">
                <c16:uniqueId val="{00000117-42C2-4511-9769-BFD15C129682}"/>
              </c:ext>
            </c:extLst>
          </c:dPt>
          <c:dPt>
            <c:idx val="17"/>
            <c:invertIfNegative val="0"/>
            <c:bubble3D val="0"/>
            <c:extLst>
              <c:ext xmlns:c16="http://schemas.microsoft.com/office/drawing/2014/chart" uri="{C3380CC4-5D6E-409C-BE32-E72D297353CC}">
                <c16:uniqueId val="{00000118-42C2-4511-9769-BFD15C129682}"/>
              </c:ext>
            </c:extLst>
          </c:dPt>
          <c:dPt>
            <c:idx val="18"/>
            <c:invertIfNegative val="0"/>
            <c:bubble3D val="0"/>
            <c:extLst>
              <c:ext xmlns:c16="http://schemas.microsoft.com/office/drawing/2014/chart" uri="{C3380CC4-5D6E-409C-BE32-E72D297353CC}">
                <c16:uniqueId val="{00000119-42C2-4511-9769-BFD15C129682}"/>
              </c:ext>
            </c:extLst>
          </c:dPt>
          <c:dPt>
            <c:idx val="19"/>
            <c:invertIfNegative val="0"/>
            <c:bubble3D val="0"/>
            <c:extLst>
              <c:ext xmlns:c16="http://schemas.microsoft.com/office/drawing/2014/chart" uri="{C3380CC4-5D6E-409C-BE32-E72D297353CC}">
                <c16:uniqueId val="{0000011A-42C2-4511-9769-BFD15C129682}"/>
              </c:ext>
            </c:extLst>
          </c:dPt>
          <c:dPt>
            <c:idx val="20"/>
            <c:invertIfNegative val="0"/>
            <c:bubble3D val="0"/>
            <c:extLst>
              <c:ext xmlns:c16="http://schemas.microsoft.com/office/drawing/2014/chart" uri="{C3380CC4-5D6E-409C-BE32-E72D297353CC}">
                <c16:uniqueId val="{0000011B-42C2-4511-9769-BFD15C129682}"/>
              </c:ext>
            </c:extLst>
          </c:dPt>
          <c:dPt>
            <c:idx val="21"/>
            <c:invertIfNegative val="0"/>
            <c:bubble3D val="0"/>
            <c:extLst>
              <c:ext xmlns:c16="http://schemas.microsoft.com/office/drawing/2014/chart" uri="{C3380CC4-5D6E-409C-BE32-E72D297353CC}">
                <c16:uniqueId val="{0000011C-42C2-4511-9769-BFD15C129682}"/>
              </c:ext>
            </c:extLst>
          </c:dPt>
          <c:dPt>
            <c:idx val="22"/>
            <c:invertIfNegative val="0"/>
            <c:bubble3D val="0"/>
            <c:extLst>
              <c:ext xmlns:c16="http://schemas.microsoft.com/office/drawing/2014/chart" uri="{C3380CC4-5D6E-409C-BE32-E72D297353CC}">
                <c16:uniqueId val="{0000011D-42C2-4511-9769-BFD15C129682}"/>
              </c:ext>
            </c:extLst>
          </c:dPt>
          <c:dPt>
            <c:idx val="23"/>
            <c:invertIfNegative val="0"/>
            <c:bubble3D val="0"/>
            <c:extLst>
              <c:ext xmlns:c16="http://schemas.microsoft.com/office/drawing/2014/chart" uri="{C3380CC4-5D6E-409C-BE32-E72D297353CC}">
                <c16:uniqueId val="{0000011E-42C2-4511-9769-BFD15C129682}"/>
              </c:ext>
            </c:extLst>
          </c:dPt>
          <c:dPt>
            <c:idx val="24"/>
            <c:invertIfNegative val="0"/>
            <c:bubble3D val="0"/>
            <c:extLst>
              <c:ext xmlns:c16="http://schemas.microsoft.com/office/drawing/2014/chart" uri="{C3380CC4-5D6E-409C-BE32-E72D297353CC}">
                <c16:uniqueId val="{0000011F-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Data'!$B$12:$W$12</c:f>
              <c:numCache>
                <c:formatCode>#,##0_ ;\-#,##0\ </c:formatCode>
                <c:ptCount val="22"/>
                <c:pt idx="0">
                  <c:v>0</c:v>
                </c:pt>
                <c:pt idx="1">
                  <c:v>288.88</c:v>
                </c:pt>
                <c:pt idx="2">
                  <c:v>665.11</c:v>
                </c:pt>
                <c:pt idx="3">
                  <c:v>1011.3399999999999</c:v>
                </c:pt>
                <c:pt idx="4">
                  <c:v>1343.9</c:v>
                </c:pt>
                <c:pt idx="5">
                  <c:v>1663.06</c:v>
                </c:pt>
                <c:pt idx="6">
                  <c:v>1976.1000000000001</c:v>
                </c:pt>
                <c:pt idx="7">
                  <c:v>2275.6899999999996</c:v>
                </c:pt>
                <c:pt idx="8">
                  <c:v>2568.8599999999997</c:v>
                </c:pt>
                <c:pt idx="9">
                  <c:v>2854.41</c:v>
                </c:pt>
                <c:pt idx="10">
                  <c:v>3133.92</c:v>
                </c:pt>
                <c:pt idx="11">
                  <c:v>3411.12</c:v>
                </c:pt>
                <c:pt idx="12">
                  <c:v>3667.8199999999997</c:v>
                </c:pt>
                <c:pt idx="13">
                  <c:v>3900.08</c:v>
                </c:pt>
                <c:pt idx="14">
                  <c:v>4123.63</c:v>
                </c:pt>
                <c:pt idx="15">
                  <c:v>4339.12</c:v>
                </c:pt>
                <c:pt idx="16">
                  <c:v>4548.2699999999995</c:v>
                </c:pt>
                <c:pt idx="17">
                  <c:v>4753.29</c:v>
                </c:pt>
                <c:pt idx="18">
                  <c:v>4949.6899999999996</c:v>
                </c:pt>
                <c:pt idx="19">
                  <c:v>5139.84</c:v>
                </c:pt>
                <c:pt idx="20">
                  <c:v>5280.4</c:v>
                </c:pt>
                <c:pt idx="21">
                  <c:v>5461.92</c:v>
                </c:pt>
              </c:numCache>
            </c:numRef>
          </c:val>
          <c:extLst>
            <c:ext xmlns:c16="http://schemas.microsoft.com/office/drawing/2014/chart" uri="{C3380CC4-5D6E-409C-BE32-E72D297353CC}">
              <c16:uniqueId val="{00000120-42C2-4511-9769-BFD15C129682}"/>
            </c:ext>
          </c:extLst>
        </c:ser>
        <c:ser>
          <c:idx val="12"/>
          <c:order val="10"/>
          <c:tx>
            <c:strRef>
              <c:f>'NewAndRetiredCapacity Data'!$A$13</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123-42C2-4511-9769-BFD15C129682}"/>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125-42C2-4511-9769-BFD15C129682}"/>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127-42C2-4511-9769-BFD15C129682}"/>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129-42C2-4511-9769-BFD15C129682}"/>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12B-42C2-4511-9769-BFD15C129682}"/>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12D-42C2-4511-9769-BFD15C129682}"/>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12F-42C2-4511-9769-BFD15C129682}"/>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131-42C2-4511-9769-BFD15C129682}"/>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133-42C2-4511-9769-BFD15C129682}"/>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135-42C2-4511-9769-BFD15C129682}"/>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137-42C2-4511-9769-BFD15C129682}"/>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139-42C2-4511-9769-BFD15C129682}"/>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13B-42C2-4511-9769-BFD15C129682}"/>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13D-42C2-4511-9769-BFD15C129682}"/>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13F-42C2-4511-9769-BFD15C129682}"/>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141-42C2-4511-9769-BFD15C129682}"/>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143-42C2-4511-9769-BFD15C129682}"/>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145-42C2-4511-9769-BFD15C129682}"/>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147-42C2-4511-9769-BFD15C129682}"/>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149-42C2-4511-9769-BFD15C129682}"/>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14B-42C2-4511-9769-BFD15C129682}"/>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14D-42C2-4511-9769-BFD15C129682}"/>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Data'!$B$13:$W$13</c:f>
              <c:numCache>
                <c:formatCode>#,##0_ ;\-#,##0\ </c:formatCode>
                <c:ptCount val="22"/>
                <c:pt idx="0">
                  <c:v>0</c:v>
                </c:pt>
                <c:pt idx="1">
                  <c:v>940</c:v>
                </c:pt>
                <c:pt idx="2">
                  <c:v>1862</c:v>
                </c:pt>
                <c:pt idx="3">
                  <c:v>2758</c:v>
                </c:pt>
                <c:pt idx="4">
                  <c:v>3634</c:v>
                </c:pt>
                <c:pt idx="5">
                  <c:v>4493</c:v>
                </c:pt>
                <c:pt idx="6">
                  <c:v>5327</c:v>
                </c:pt>
                <c:pt idx="7">
                  <c:v>6135</c:v>
                </c:pt>
                <c:pt idx="8">
                  <c:v>6924</c:v>
                </c:pt>
                <c:pt idx="9">
                  <c:v>7686</c:v>
                </c:pt>
                <c:pt idx="10">
                  <c:v>8415</c:v>
                </c:pt>
                <c:pt idx="11">
                  <c:v>9115</c:v>
                </c:pt>
                <c:pt idx="12">
                  <c:v>9768</c:v>
                </c:pt>
                <c:pt idx="13">
                  <c:v>10377</c:v>
                </c:pt>
                <c:pt idx="14">
                  <c:v>10921</c:v>
                </c:pt>
                <c:pt idx="15">
                  <c:v>11420</c:v>
                </c:pt>
                <c:pt idx="16">
                  <c:v>11890</c:v>
                </c:pt>
                <c:pt idx="17">
                  <c:v>12331</c:v>
                </c:pt>
                <c:pt idx="18">
                  <c:v>12734</c:v>
                </c:pt>
                <c:pt idx="19">
                  <c:v>13062</c:v>
                </c:pt>
                <c:pt idx="20">
                  <c:v>13400</c:v>
                </c:pt>
                <c:pt idx="21">
                  <c:v>13694</c:v>
                </c:pt>
              </c:numCache>
            </c:numRef>
          </c:val>
          <c:extLst>
            <c:ext xmlns:c16="http://schemas.microsoft.com/office/drawing/2014/chart" uri="{C3380CC4-5D6E-409C-BE32-E72D297353CC}">
              <c16:uniqueId val="{0000014E-42C2-4511-9769-BFD15C129682}"/>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7444615998323514"/>
              <c:y val="0.76911129272482814"/>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8732249658749447"/>
          <c:y val="0.80852191077053737"/>
          <c:w val="0.68014288900533126"/>
          <c:h val="0.17080466276210157"/>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sheetPr codeName="Chart2"/>
  <sheetViews>
    <sheetView zoomScale="130" workbookViewId="0"/>
  </sheetViews>
  <pageMargins left="2.6181102362204722" right="2.6181102362204722" top="1.734251968503937" bottom="1.734251968503937"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sheetPr codeName="Chart3"/>
  <sheetViews>
    <sheetView zoomScale="145" workbookViewId="0"/>
  </sheetViews>
  <pageMargins left="2.6181102362204722" right="2.6181102362204722" top="1.734251968503937" bottom="1.734251968503937"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sheetPr codeName="Chart1"/>
  <sheetViews>
    <sheetView zoomScale="130" workbookViewId="0"/>
  </sheetViews>
  <pageMargins left="2.6181102362204722" right="2.6181102362204722" top="1.734251968503937" bottom="1.734251968503937" header="0.3" footer="0.3"/>
  <pageSetup paperSize="9" orientation="landscape" verticalDpi="1200"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5800397" cy="4289534"/>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NewAEMOtheme">
  <a:themeElements>
    <a:clrScheme name="AEMO">
      <a:dk1>
        <a:srgbClr val="222324"/>
      </a:dk1>
      <a:lt1>
        <a:sysClr val="window" lastClr="FFFFFF"/>
      </a:lt1>
      <a:dk2>
        <a:srgbClr val="000000"/>
      </a:dk2>
      <a:lt2>
        <a:srgbClr val="E0E8EA"/>
      </a:lt2>
      <a:accent1>
        <a:srgbClr val="C41230"/>
      </a:accent1>
      <a:accent2>
        <a:srgbClr val="360F3C"/>
      </a:accent2>
      <a:accent3>
        <a:srgbClr val="F37421"/>
      </a:accent3>
      <a:accent4>
        <a:srgbClr val="FFC222"/>
      </a:accent4>
      <a:accent5>
        <a:srgbClr val="82859C"/>
      </a:accent5>
      <a:accent6>
        <a:srgbClr val="B3E0EE"/>
      </a:accent6>
      <a:hlink>
        <a:srgbClr val="C41230"/>
      </a:hlink>
      <a:folHlink>
        <a:srgbClr val="C41230"/>
      </a:folHlink>
    </a:clrScheme>
    <a:fontScheme name="AEMO">
      <a:majorFont>
        <a:latin typeface="Tw Cen MT"/>
        <a:ea typeface=""/>
        <a:cs typeface=""/>
      </a:majorFont>
      <a:minorFont>
        <a:latin typeface="Tw Cen M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rtlCol="0" anchor="ct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F29"/>
  <sheetViews>
    <sheetView tabSelected="1" zoomScaleNormal="100" workbookViewId="0"/>
  </sheetViews>
  <sheetFormatPr defaultColWidth="9.140625" defaultRowHeight="12.75" x14ac:dyDescent="0.2"/>
  <cols>
    <col min="1" max="1" width="3.140625" style="14" customWidth="1"/>
    <col min="2" max="2" width="30" style="14" customWidth="1"/>
    <col min="3" max="3" width="52.42578125" style="14" customWidth="1"/>
    <col min="4" max="16384" width="9.140625" style="14"/>
  </cols>
  <sheetData>
    <row r="2" spans="2:3" ht="25.5" x14ac:dyDescent="0.2">
      <c r="B2" s="16" t="s">
        <v>71</v>
      </c>
      <c r="C2" s="8"/>
    </row>
    <row r="3" spans="2:3" x14ac:dyDescent="0.2">
      <c r="B3" s="93"/>
      <c r="C3" s="93"/>
    </row>
    <row r="4" spans="2:3" ht="49.5" customHeight="1" x14ac:dyDescent="0.2">
      <c r="B4" s="94" t="s">
        <v>23</v>
      </c>
      <c r="C4" s="94"/>
    </row>
    <row r="5" spans="2:3" ht="18" customHeight="1" x14ac:dyDescent="0.2">
      <c r="B5" s="83"/>
      <c r="C5" s="83"/>
    </row>
    <row r="6" spans="2:3" ht="18" customHeight="1" x14ac:dyDescent="0.2">
      <c r="B6" s="17" t="s">
        <v>99</v>
      </c>
      <c r="C6" s="83"/>
    </row>
    <row r="7" spans="2:3" ht="15" customHeight="1" x14ac:dyDescent="0.2">
      <c r="B7" s="17"/>
      <c r="C7" s="83"/>
    </row>
    <row r="8" spans="2:3" ht="18" customHeight="1" x14ac:dyDescent="0.25">
      <c r="B8" s="90" t="s">
        <v>98</v>
      </c>
      <c r="C8" s="18" t="s">
        <v>100</v>
      </c>
    </row>
    <row r="9" spans="2:3" ht="18" customHeight="1" x14ac:dyDescent="0.2">
      <c r="B9" s="88" t="s">
        <v>101</v>
      </c>
      <c r="C9" s="23" t="s">
        <v>103</v>
      </c>
    </row>
    <row r="10" spans="2:3" ht="48" customHeight="1" x14ac:dyDescent="0.2">
      <c r="B10" s="89" t="s">
        <v>102</v>
      </c>
      <c r="C10" s="24" t="s">
        <v>104</v>
      </c>
    </row>
    <row r="11" spans="2:3" x14ac:dyDescent="0.2">
      <c r="B11" s="26"/>
      <c r="C11" s="15"/>
    </row>
    <row r="12" spans="2:3" ht="18" customHeight="1" x14ac:dyDescent="0.2">
      <c r="B12" s="60"/>
      <c r="C12" s="15"/>
    </row>
    <row r="13" spans="2:3" ht="18.75" x14ac:dyDescent="0.2">
      <c r="B13" s="17" t="s">
        <v>43</v>
      </c>
      <c r="C13" s="13"/>
    </row>
    <row r="14" spans="2:3" ht="54" customHeight="1" x14ac:dyDescent="0.2">
      <c r="B14" s="94" t="s">
        <v>76</v>
      </c>
      <c r="C14" s="94"/>
    </row>
    <row r="15" spans="2:3" ht="15" x14ac:dyDescent="0.2">
      <c r="C15" s="9"/>
    </row>
    <row r="16" spans="2:3" ht="18.75" x14ac:dyDescent="0.2">
      <c r="B16" s="17" t="s">
        <v>24</v>
      </c>
      <c r="C16" s="9"/>
    </row>
    <row r="17" spans="2:6" ht="6.75" customHeight="1" x14ac:dyDescent="0.2">
      <c r="B17" s="17"/>
      <c r="C17" s="9"/>
    </row>
    <row r="18" spans="2:6" s="15" customFormat="1" ht="15.75" x14ac:dyDescent="0.25">
      <c r="B18" s="19" t="s">
        <v>25</v>
      </c>
      <c r="C18" s="18" t="s">
        <v>26</v>
      </c>
    </row>
    <row r="19" spans="2:6" s="15" customFormat="1" ht="29.25" customHeight="1" x14ac:dyDescent="0.2">
      <c r="B19" s="22" t="s">
        <v>96</v>
      </c>
      <c r="C19" s="23" t="s">
        <v>97</v>
      </c>
    </row>
    <row r="20" spans="2:6" s="15" customFormat="1" ht="38.25" x14ac:dyDescent="0.2">
      <c r="B20" s="21" t="s">
        <v>105</v>
      </c>
      <c r="C20" s="82" t="s">
        <v>74</v>
      </c>
    </row>
    <row r="21" spans="2:6" s="15" customFormat="1" ht="27" customHeight="1" x14ac:dyDescent="0.2">
      <c r="B21" s="20" t="s">
        <v>27</v>
      </c>
      <c r="C21" s="91" t="s">
        <v>51</v>
      </c>
      <c r="E21" s="60"/>
      <c r="F21" s="60"/>
    </row>
    <row r="22" spans="2:6" s="15" customFormat="1" ht="27" customHeight="1" x14ac:dyDescent="0.2">
      <c r="B22" s="21" t="s">
        <v>28</v>
      </c>
      <c r="C22" s="95"/>
      <c r="E22" s="60"/>
      <c r="F22" s="60"/>
    </row>
    <row r="23" spans="2:6" s="15" customFormat="1" ht="27" customHeight="1" x14ac:dyDescent="0.2">
      <c r="B23" s="21" t="s">
        <v>29</v>
      </c>
      <c r="C23" s="92" t="s">
        <v>72</v>
      </c>
      <c r="E23" s="60"/>
      <c r="F23" s="60"/>
    </row>
    <row r="24" spans="2:6" s="15" customFormat="1" ht="27" customHeight="1" x14ac:dyDescent="0.2">
      <c r="B24" s="21" t="s">
        <v>30</v>
      </c>
      <c r="C24" s="92"/>
      <c r="E24" s="60"/>
      <c r="F24" s="60"/>
    </row>
    <row r="25" spans="2:6" s="15" customFormat="1" ht="27" customHeight="1" x14ac:dyDescent="0.2">
      <c r="B25" s="20" t="s">
        <v>31</v>
      </c>
      <c r="C25" s="91" t="s">
        <v>52</v>
      </c>
    </row>
    <row r="26" spans="2:6" s="15" customFormat="1" ht="27" customHeight="1" x14ac:dyDescent="0.2">
      <c r="B26" s="21" t="s">
        <v>32</v>
      </c>
      <c r="C26" s="92"/>
    </row>
    <row r="27" spans="2:6" s="15" customFormat="1" ht="34.5" customHeight="1" x14ac:dyDescent="0.2">
      <c r="B27" s="25" t="s">
        <v>33</v>
      </c>
      <c r="C27" s="24" t="s">
        <v>53</v>
      </c>
    </row>
    <row r="28" spans="2:6" s="15" customFormat="1" ht="34.5" customHeight="1" x14ac:dyDescent="0.2">
      <c r="B28" s="26"/>
    </row>
    <row r="29" spans="2:6" s="15" customFormat="1" ht="11.25" x14ac:dyDescent="0.2"/>
  </sheetData>
  <mergeCells count="6">
    <mergeCell ref="C25:C26"/>
    <mergeCell ref="B3:C3"/>
    <mergeCell ref="B4:C4"/>
    <mergeCell ref="B14:C14"/>
    <mergeCell ref="C21:C22"/>
    <mergeCell ref="C23:C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T24"/>
  <sheetViews>
    <sheetView zoomScale="90" zoomScaleNormal="90" workbookViewId="0"/>
  </sheetViews>
  <sheetFormatPr defaultRowHeight="14.25" x14ac:dyDescent="0.2"/>
  <cols>
    <col min="1" max="1" width="3" style="62" customWidth="1"/>
    <col min="2" max="2" width="3.5703125" style="62" customWidth="1"/>
    <col min="3" max="6" width="22.7109375" style="62" customWidth="1"/>
    <col min="7" max="9" width="2.140625" style="62" customWidth="1"/>
    <col min="10" max="13" width="22.7109375" style="62" customWidth="1"/>
    <col min="14" max="16" width="2.140625" style="62" customWidth="1"/>
    <col min="17" max="20" width="22.7109375" style="62" customWidth="1"/>
    <col min="21" max="16384" width="9.140625" style="62"/>
  </cols>
  <sheetData>
    <row r="1" spans="3:20" ht="15" thickBot="1" x14ac:dyDescent="0.25"/>
    <row r="2" spans="3:20" x14ac:dyDescent="0.2">
      <c r="I2" s="63"/>
      <c r="J2" s="64"/>
      <c r="K2" s="64"/>
      <c r="L2" s="64"/>
      <c r="M2" s="64"/>
      <c r="N2" s="65"/>
    </row>
    <row r="3" spans="3:20" ht="18.75" customHeight="1" x14ac:dyDescent="0.25">
      <c r="C3" s="67" t="s">
        <v>77</v>
      </c>
      <c r="D3" s="68"/>
      <c r="E3" s="69"/>
      <c r="F3" s="69"/>
      <c r="G3" s="69"/>
      <c r="I3" s="66"/>
      <c r="J3" s="67" t="s">
        <v>78</v>
      </c>
      <c r="K3" s="68"/>
      <c r="L3" s="69"/>
      <c r="M3" s="69"/>
      <c r="N3" s="70"/>
      <c r="Q3" s="67" t="s">
        <v>79</v>
      </c>
      <c r="R3" s="68"/>
    </row>
    <row r="4" spans="3:20" ht="26.25" x14ac:dyDescent="0.25">
      <c r="C4" s="71"/>
      <c r="D4" s="72" t="s">
        <v>80</v>
      </c>
      <c r="E4" s="72" t="s">
        <v>81</v>
      </c>
      <c r="F4" s="73" t="s">
        <v>73</v>
      </c>
      <c r="G4" s="69"/>
      <c r="I4" s="66"/>
      <c r="J4" s="71"/>
      <c r="K4" s="72" t="s">
        <v>82</v>
      </c>
      <c r="L4" s="72" t="s">
        <v>83</v>
      </c>
      <c r="M4" s="73" t="s">
        <v>73</v>
      </c>
      <c r="N4" s="70"/>
      <c r="Q4" s="74"/>
      <c r="R4" s="72" t="s">
        <v>84</v>
      </c>
      <c r="S4" s="72" t="s">
        <v>85</v>
      </c>
      <c r="T4" s="73" t="s">
        <v>73</v>
      </c>
    </row>
    <row r="5" spans="3:20" ht="18.75" customHeight="1" x14ac:dyDescent="0.2">
      <c r="C5" s="75" t="s">
        <v>46</v>
      </c>
      <c r="D5" s="76">
        <v>41916.916936302674</v>
      </c>
      <c r="E5" s="76">
        <v>39961.171508822546</v>
      </c>
      <c r="F5" s="76">
        <v>1955.7454274801275</v>
      </c>
      <c r="G5" s="69"/>
      <c r="I5" s="66"/>
      <c r="J5" s="75" t="s">
        <v>46</v>
      </c>
      <c r="K5" s="76">
        <v>43176.829879668308</v>
      </c>
      <c r="L5" s="76">
        <v>41738.953859835477</v>
      </c>
      <c r="M5" s="76">
        <v>1437.8760198328309</v>
      </c>
      <c r="N5" s="70"/>
      <c r="Q5" s="75" t="s">
        <v>46</v>
      </c>
      <c r="R5" s="76">
        <v>34757.909560715358</v>
      </c>
      <c r="S5" s="76">
        <v>32876.768527767286</v>
      </c>
      <c r="T5" s="76">
        <f>R5-S5</f>
        <v>1881.1410329480714</v>
      </c>
    </row>
    <row r="6" spans="3:20" ht="18.75" customHeight="1" x14ac:dyDescent="0.2">
      <c r="C6" s="75" t="s">
        <v>47</v>
      </c>
      <c r="D6" s="76">
        <v>33920.684891933444</v>
      </c>
      <c r="E6" s="76">
        <v>33899.236952430125</v>
      </c>
      <c r="F6" s="76">
        <v>21.447939503319503</v>
      </c>
      <c r="G6" s="69"/>
      <c r="I6" s="66"/>
      <c r="J6" s="75" t="s">
        <v>47</v>
      </c>
      <c r="K6" s="76">
        <v>35760.208656527386</v>
      </c>
      <c r="L6" s="76">
        <v>35490.113604422251</v>
      </c>
      <c r="M6" s="76">
        <v>270.09505210513453</v>
      </c>
      <c r="N6" s="70"/>
      <c r="Q6" s="75" t="s">
        <v>47</v>
      </c>
      <c r="R6" s="76">
        <v>31879.247558175241</v>
      </c>
      <c r="S6" s="76">
        <v>31494.012745047821</v>
      </c>
      <c r="T6" s="76">
        <f t="shared" ref="T6:T10" si="0">R6-S6</f>
        <v>385.23481312741933</v>
      </c>
    </row>
    <row r="7" spans="3:20" ht="18.75" customHeight="1" x14ac:dyDescent="0.2">
      <c r="C7" s="75" t="s">
        <v>48</v>
      </c>
      <c r="D7" s="76">
        <v>13647.120628245948</v>
      </c>
      <c r="E7" s="76">
        <v>13457.961111861057</v>
      </c>
      <c r="F7" s="76">
        <v>189.15951638489059</v>
      </c>
      <c r="G7" s="69"/>
      <c r="I7" s="66"/>
      <c r="J7" s="75" t="s">
        <v>48</v>
      </c>
      <c r="K7" s="76">
        <v>25498.004789199185</v>
      </c>
      <c r="L7" s="76">
        <v>24823.280490778085</v>
      </c>
      <c r="M7" s="76">
        <v>674.72429842110068</v>
      </c>
      <c r="N7" s="70"/>
      <c r="Q7" s="75" t="s">
        <v>48</v>
      </c>
      <c r="R7" s="76">
        <v>7469.9293274226138</v>
      </c>
      <c r="S7" s="76">
        <v>6813.3785094962204</v>
      </c>
      <c r="T7" s="76">
        <f t="shared" si="0"/>
        <v>656.55081792639339</v>
      </c>
    </row>
    <row r="8" spans="3:20" ht="18.75" customHeight="1" x14ac:dyDescent="0.2">
      <c r="C8" s="75" t="s">
        <v>49</v>
      </c>
      <c r="D8" s="76">
        <v>482.37560886662567</v>
      </c>
      <c r="E8" s="76">
        <v>259.11852081983278</v>
      </c>
      <c r="F8" s="76">
        <v>223.25708804679289</v>
      </c>
      <c r="G8" s="69"/>
      <c r="I8" s="66"/>
      <c r="J8" s="75" t="s">
        <v>49</v>
      </c>
      <c r="K8" s="76">
        <v>1336.0438082055946</v>
      </c>
      <c r="L8" s="76">
        <v>1021.902430177951</v>
      </c>
      <c r="M8" s="76">
        <v>314.14137802764355</v>
      </c>
      <c r="N8" s="70"/>
      <c r="Q8" s="75" t="s">
        <v>49</v>
      </c>
      <c r="R8" s="76">
        <v>156.11488308195149</v>
      </c>
      <c r="S8" s="76">
        <v>103.68994256141953</v>
      </c>
      <c r="T8" s="76">
        <f t="shared" si="0"/>
        <v>52.424940520531962</v>
      </c>
    </row>
    <row r="9" spans="3:20" ht="18.75" customHeight="1" x14ac:dyDescent="0.2">
      <c r="C9" s="75" t="s">
        <v>50</v>
      </c>
      <c r="D9" s="76">
        <v>0</v>
      </c>
      <c r="E9" s="76">
        <v>1198.0852865656811</v>
      </c>
      <c r="F9" s="76">
        <v>-1198.0852865656811</v>
      </c>
      <c r="G9" s="69"/>
      <c r="I9" s="66"/>
      <c r="J9" s="75" t="s">
        <v>50</v>
      </c>
      <c r="K9" s="76">
        <v>0</v>
      </c>
      <c r="L9" s="76">
        <v>1198.0852865656811</v>
      </c>
      <c r="M9" s="76">
        <v>-1198.0852865656811</v>
      </c>
      <c r="N9" s="70"/>
      <c r="Q9" s="75" t="s">
        <v>50</v>
      </c>
      <c r="R9" s="76">
        <v>0</v>
      </c>
      <c r="S9" s="76">
        <v>1198.0852865656811</v>
      </c>
      <c r="T9" s="76">
        <f t="shared" si="0"/>
        <v>-1198.0852865656811</v>
      </c>
    </row>
    <row r="10" spans="3:20" ht="18.75" customHeight="1" x14ac:dyDescent="0.2">
      <c r="C10" s="77" t="s">
        <v>19</v>
      </c>
      <c r="D10" s="78">
        <v>90274.939204871393</v>
      </c>
      <c r="E10" s="78">
        <v>89083.41452002195</v>
      </c>
      <c r="F10" s="78">
        <v>1191.5246848494426</v>
      </c>
      <c r="G10" s="69"/>
      <c r="I10" s="66"/>
      <c r="J10" s="77" t="s">
        <v>19</v>
      </c>
      <c r="K10" s="78">
        <v>106146.24184886776</v>
      </c>
      <c r="L10" s="78">
        <v>104647.49038704675</v>
      </c>
      <c r="M10" s="78">
        <v>1498.7514618210116</v>
      </c>
      <c r="N10" s="70"/>
      <c r="Q10" s="77" t="s">
        <v>19</v>
      </c>
      <c r="R10" s="78">
        <v>74612.667719498902</v>
      </c>
      <c r="S10" s="78">
        <v>72835.401401542156</v>
      </c>
      <c r="T10" s="78">
        <f t="shared" si="0"/>
        <v>1777.2663179567462</v>
      </c>
    </row>
    <row r="11" spans="3:20" x14ac:dyDescent="0.2">
      <c r="C11" s="69"/>
      <c r="D11" s="69"/>
      <c r="E11" s="69"/>
      <c r="F11" s="69"/>
      <c r="G11" s="69"/>
      <c r="I11" s="66"/>
      <c r="J11" s="69"/>
      <c r="K11" s="69"/>
      <c r="L11" s="69"/>
      <c r="M11" s="69"/>
      <c r="N11" s="70"/>
    </row>
    <row r="12" spans="3:20" ht="18.75" customHeight="1" thickBot="1" x14ac:dyDescent="0.25">
      <c r="C12" s="84" t="s">
        <v>86</v>
      </c>
      <c r="D12" s="85">
        <f>SUM(D7:D9)</f>
        <v>14129.496237112573</v>
      </c>
      <c r="E12" s="85">
        <f>SUM(E7:E9)</f>
        <v>14915.164919246572</v>
      </c>
      <c r="F12" s="76"/>
      <c r="G12" s="69"/>
      <c r="I12" s="79"/>
      <c r="J12" s="86" t="s">
        <v>86</v>
      </c>
      <c r="K12" s="87">
        <f>SUM(K7:K9)</f>
        <v>26834.048597404781</v>
      </c>
      <c r="L12" s="87">
        <f>SUM(L7:L9)</f>
        <v>27043.268207521716</v>
      </c>
      <c r="M12" s="81"/>
      <c r="N12" s="80"/>
      <c r="Q12" s="84" t="s">
        <v>86</v>
      </c>
      <c r="R12" s="85">
        <f>SUM(R7:R9)</f>
        <v>7626.0442105045649</v>
      </c>
      <c r="S12" s="85">
        <f>SUM(S7:S9)</f>
        <v>8115.1537386233213</v>
      </c>
    </row>
    <row r="13" spans="3:20" ht="18.75" customHeight="1" x14ac:dyDescent="0.2">
      <c r="C13" s="75"/>
      <c r="D13" s="76"/>
      <c r="E13" s="76"/>
      <c r="F13" s="76"/>
      <c r="G13" s="69"/>
      <c r="I13" s="69"/>
      <c r="J13" s="75"/>
      <c r="K13" s="76"/>
      <c r="L13" s="76"/>
      <c r="M13" s="69"/>
      <c r="N13" s="69"/>
      <c r="Q13" s="75"/>
      <c r="R13" s="76"/>
      <c r="S13" s="76"/>
    </row>
    <row r="14" spans="3:20" ht="18.75" customHeight="1" x14ac:dyDescent="0.2"/>
    <row r="15" spans="3:20" ht="18.75" customHeight="1" x14ac:dyDescent="0.25">
      <c r="C15" s="67" t="s">
        <v>87</v>
      </c>
      <c r="D15" s="68"/>
      <c r="J15" s="67" t="s">
        <v>88</v>
      </c>
      <c r="K15" s="68"/>
      <c r="Q15" s="67" t="s">
        <v>89</v>
      </c>
      <c r="R15" s="68"/>
    </row>
    <row r="16" spans="3:20" ht="39" x14ac:dyDescent="0.25">
      <c r="C16" s="71"/>
      <c r="D16" s="72" t="s">
        <v>90</v>
      </c>
      <c r="E16" s="72" t="s">
        <v>91</v>
      </c>
      <c r="F16" s="73" t="s">
        <v>73</v>
      </c>
      <c r="J16" s="71"/>
      <c r="K16" s="72" t="s">
        <v>92</v>
      </c>
      <c r="L16" s="72" t="s">
        <v>93</v>
      </c>
      <c r="M16" s="73" t="s">
        <v>73</v>
      </c>
      <c r="Q16" s="71"/>
      <c r="R16" s="72" t="s">
        <v>94</v>
      </c>
      <c r="S16" s="72" t="s">
        <v>95</v>
      </c>
      <c r="T16" s="73" t="s">
        <v>73</v>
      </c>
    </row>
    <row r="17" spans="3:20" ht="18.75" customHeight="1" x14ac:dyDescent="0.2">
      <c r="C17" s="75" t="s">
        <v>46</v>
      </c>
      <c r="D17" s="76">
        <v>41129.068367881271</v>
      </c>
      <c r="E17" s="76">
        <v>39483.692500440178</v>
      </c>
      <c r="F17" s="76">
        <v>1645.3758674410929</v>
      </c>
      <c r="J17" s="75" t="s">
        <v>46</v>
      </c>
      <c r="K17" s="76">
        <v>42806.617149024001</v>
      </c>
      <c r="L17" s="76">
        <v>41899.658348325582</v>
      </c>
      <c r="M17" s="76">
        <v>906.95880069841951</v>
      </c>
      <c r="Q17" s="75" t="s">
        <v>46</v>
      </c>
      <c r="R17" s="76">
        <v>40777.839190312872</v>
      </c>
      <c r="S17" s="76">
        <v>39142.285437276907</v>
      </c>
      <c r="T17" s="76">
        <v>1635.5537530359652</v>
      </c>
    </row>
    <row r="18" spans="3:20" ht="18.75" customHeight="1" x14ac:dyDescent="0.2">
      <c r="C18" s="75" t="s">
        <v>47</v>
      </c>
      <c r="D18" s="76">
        <v>34069.113406172262</v>
      </c>
      <c r="E18" s="76">
        <v>33832.037733368037</v>
      </c>
      <c r="F18" s="76">
        <v>237.07567280422518</v>
      </c>
      <c r="J18" s="75" t="s">
        <v>47</v>
      </c>
      <c r="K18" s="76">
        <v>32811.256896692023</v>
      </c>
      <c r="L18" s="76">
        <v>32478.794938746654</v>
      </c>
      <c r="M18" s="76">
        <v>332.46195794536834</v>
      </c>
      <c r="Q18" s="75" t="s">
        <v>47</v>
      </c>
      <c r="R18" s="76">
        <v>33550.659467371901</v>
      </c>
      <c r="S18" s="76">
        <v>33156.007060544202</v>
      </c>
      <c r="T18" s="76">
        <v>394.65240682769945</v>
      </c>
    </row>
    <row r="19" spans="3:20" ht="18.75" customHeight="1" x14ac:dyDescent="0.2">
      <c r="C19" s="75" t="s">
        <v>48</v>
      </c>
      <c r="D19" s="76">
        <v>14306.206083922347</v>
      </c>
      <c r="E19" s="76">
        <v>14009.286175294425</v>
      </c>
      <c r="F19" s="76">
        <v>296.91990862792227</v>
      </c>
      <c r="J19" s="75" t="s">
        <v>48</v>
      </c>
      <c r="K19" s="76">
        <v>9724.3583089290314</v>
      </c>
      <c r="L19" s="76">
        <v>9236.0421884114585</v>
      </c>
      <c r="M19" s="76">
        <v>488.31612051757293</v>
      </c>
      <c r="Q19" s="75" t="s">
        <v>48</v>
      </c>
      <c r="R19" s="76">
        <v>12085.4530990489</v>
      </c>
      <c r="S19" s="76">
        <v>11178.450977064695</v>
      </c>
      <c r="T19" s="76">
        <v>907.00212198420559</v>
      </c>
    </row>
    <row r="20" spans="3:20" ht="18.75" customHeight="1" x14ac:dyDescent="0.2">
      <c r="C20" s="75" t="s">
        <v>49</v>
      </c>
      <c r="D20" s="76">
        <v>510.83656847194226</v>
      </c>
      <c r="E20" s="76">
        <v>243.14726214592395</v>
      </c>
      <c r="F20" s="76">
        <v>267.68930632601831</v>
      </c>
      <c r="J20" s="75" t="s">
        <v>49</v>
      </c>
      <c r="K20" s="76">
        <v>162.52368768906334</v>
      </c>
      <c r="L20" s="76">
        <v>148.27811526915679</v>
      </c>
      <c r="M20" s="76">
        <v>14.245572419906551</v>
      </c>
      <c r="Q20" s="75" t="s">
        <v>49</v>
      </c>
      <c r="R20" s="76">
        <v>417.09090399830336</v>
      </c>
      <c r="S20" s="76">
        <v>170.91702070329706</v>
      </c>
      <c r="T20" s="76">
        <v>246.17388329500631</v>
      </c>
    </row>
    <row r="21" spans="3:20" ht="18.75" customHeight="1" x14ac:dyDescent="0.2">
      <c r="C21" s="75" t="s">
        <v>50</v>
      </c>
      <c r="D21" s="76">
        <v>0</v>
      </c>
      <c r="E21" s="76">
        <v>1198.0852865656811</v>
      </c>
      <c r="F21" s="76">
        <v>-1198.0852865656811</v>
      </c>
      <c r="J21" s="75" t="s">
        <v>50</v>
      </c>
      <c r="K21" s="76">
        <v>0</v>
      </c>
      <c r="L21" s="76">
        <v>1198.0852865656811</v>
      </c>
      <c r="M21" s="76">
        <v>-1198.0852865656811</v>
      </c>
      <c r="Q21" s="75" t="s">
        <v>50</v>
      </c>
      <c r="R21" s="76">
        <v>0</v>
      </c>
      <c r="S21" s="76">
        <v>1198.0852865656811</v>
      </c>
      <c r="T21" s="76">
        <v>-1198.0852865656811</v>
      </c>
    </row>
    <row r="22" spans="3:20" ht="18.75" customHeight="1" x14ac:dyDescent="0.2">
      <c r="C22" s="77" t="s">
        <v>19</v>
      </c>
      <c r="D22" s="78">
        <v>90323.065565970523</v>
      </c>
      <c r="E22" s="78">
        <v>89074.090097336957</v>
      </c>
      <c r="F22" s="78">
        <v>1248.9754686335655</v>
      </c>
      <c r="J22" s="77" t="s">
        <v>19</v>
      </c>
      <c r="K22" s="78">
        <v>85812.597181856821</v>
      </c>
      <c r="L22" s="78">
        <v>85268.700016841234</v>
      </c>
      <c r="M22" s="78">
        <v>543.89716501558723</v>
      </c>
      <c r="Q22" s="77" t="s">
        <v>19</v>
      </c>
      <c r="R22" s="78">
        <v>87149.294998866375</v>
      </c>
      <c r="S22" s="78">
        <v>85163.998120289165</v>
      </c>
      <c r="T22" s="78">
        <v>1985.29687857721</v>
      </c>
    </row>
    <row r="24" spans="3:20" x14ac:dyDescent="0.2">
      <c r="C24" s="84" t="s">
        <v>86</v>
      </c>
      <c r="D24" s="85">
        <f>SUM(D19:D21)</f>
        <v>14817.04265239429</v>
      </c>
      <c r="E24" s="85">
        <f>SUM(E19:E21)</f>
        <v>15450.51872400603</v>
      </c>
      <c r="J24" s="84" t="s">
        <v>86</v>
      </c>
      <c r="K24" s="85">
        <f>SUM(K19:K21)</f>
        <v>9886.8819966180945</v>
      </c>
      <c r="L24" s="85">
        <f>SUM(L19:L21)</f>
        <v>10582.405590246297</v>
      </c>
      <c r="Q24" s="84" t="s">
        <v>86</v>
      </c>
      <c r="R24" s="85">
        <f>SUM(R19:R21)</f>
        <v>12502.544003047204</v>
      </c>
      <c r="S24" s="85">
        <f>SUM(S19:S21)</f>
        <v>12547.453284333673</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9"/>
  <sheetViews>
    <sheetView zoomScaleNormal="100" workbookViewId="0"/>
  </sheetViews>
  <sheetFormatPr defaultColWidth="9.140625" defaultRowHeight="16.5" customHeight="1" x14ac:dyDescent="0.2"/>
  <cols>
    <col min="1" max="1" width="34.42578125" style="7" customWidth="1"/>
    <col min="2" max="2" width="17.42578125" style="7" bestFit="1" customWidth="1"/>
    <col min="3" max="6" width="12.42578125" style="7" customWidth="1"/>
    <col min="7" max="16384" width="9.140625" style="7"/>
  </cols>
  <sheetData>
    <row r="1" spans="1:3" ht="16.5" customHeight="1" x14ac:dyDescent="0.25">
      <c r="A1" s="33" t="s">
        <v>106</v>
      </c>
      <c r="B1" s="27"/>
    </row>
    <row r="2" spans="1:3" ht="16.5" customHeight="1" x14ac:dyDescent="0.25">
      <c r="A2" s="58"/>
      <c r="B2" s="59" t="s">
        <v>73</v>
      </c>
      <c r="C2" s="28"/>
    </row>
    <row r="3" spans="1:3" ht="16.5" customHeight="1" x14ac:dyDescent="0.2">
      <c r="A3" s="29" t="s">
        <v>46</v>
      </c>
      <c r="B3" s="30">
        <v>1437.8760198328309</v>
      </c>
      <c r="C3" s="28"/>
    </row>
    <row r="4" spans="1:3" ht="16.5" customHeight="1" x14ac:dyDescent="0.2">
      <c r="A4" s="29" t="s">
        <v>47</v>
      </c>
      <c r="B4" s="30">
        <v>270.09505210513453</v>
      </c>
      <c r="C4" s="28"/>
    </row>
    <row r="5" spans="1:3" ht="16.5" customHeight="1" x14ac:dyDescent="0.2">
      <c r="A5" s="29" t="s">
        <v>48</v>
      </c>
      <c r="B5" s="30">
        <v>674.72429842110068</v>
      </c>
      <c r="C5" s="28"/>
    </row>
    <row r="6" spans="1:3" ht="16.5" customHeight="1" x14ac:dyDescent="0.2">
      <c r="A6" s="29" t="s">
        <v>49</v>
      </c>
      <c r="B6" s="30">
        <v>314.14137802764355</v>
      </c>
      <c r="C6" s="28"/>
    </row>
    <row r="7" spans="1:3" ht="16.5" customHeight="1" x14ac:dyDescent="0.2">
      <c r="A7" s="29" t="s">
        <v>50</v>
      </c>
      <c r="B7" s="30">
        <v>-1198.0852865656811</v>
      </c>
      <c r="C7" s="28"/>
    </row>
    <row r="8" spans="1:3" ht="16.5" customHeight="1" x14ac:dyDescent="0.2">
      <c r="A8" s="31" t="s">
        <v>19</v>
      </c>
      <c r="B8" s="32">
        <v>1498.7514618210116</v>
      </c>
      <c r="C8" s="28"/>
    </row>
    <row r="9" spans="1:3" ht="16.5" customHeight="1" x14ac:dyDescent="0.2">
      <c r="A9" s="28"/>
      <c r="B9" s="28"/>
      <c r="C9"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R73"/>
  <sheetViews>
    <sheetView zoomScaleNormal="100" workbookViewId="0"/>
  </sheetViews>
  <sheetFormatPr defaultColWidth="9.140625" defaultRowHeight="16.5" customHeight="1" x14ac:dyDescent="0.2"/>
  <cols>
    <col min="1" max="1" width="24.42578125" style="35" customWidth="1"/>
    <col min="2" max="2" width="27.85546875" style="35" customWidth="1"/>
    <col min="3" max="24" width="10.42578125" style="35" customWidth="1"/>
    <col min="25" max="16384" width="9.140625" style="35"/>
  </cols>
  <sheetData>
    <row r="1" spans="1:44" s="43" customFormat="1" ht="16.5" customHeight="1" x14ac:dyDescent="0.25">
      <c r="A1" s="34" t="s">
        <v>22</v>
      </c>
      <c r="F1" s="44"/>
    </row>
    <row r="2" spans="1:44" ht="16.5" customHeight="1" x14ac:dyDescent="0.2">
      <c r="A2" s="50" t="s">
        <v>34</v>
      </c>
      <c r="B2" s="51" t="s">
        <v>20</v>
      </c>
      <c r="C2" s="52" t="s">
        <v>0</v>
      </c>
      <c r="D2" s="53" t="s">
        <v>1</v>
      </c>
      <c r="E2" s="52" t="s">
        <v>2</v>
      </c>
      <c r="F2" s="53" t="s">
        <v>3</v>
      </c>
      <c r="G2" s="52" t="s">
        <v>4</v>
      </c>
      <c r="H2" s="53" t="s">
        <v>5</v>
      </c>
      <c r="I2" s="52" t="s">
        <v>6</v>
      </c>
      <c r="J2" s="53" t="s">
        <v>7</v>
      </c>
      <c r="K2" s="52" t="s">
        <v>8</v>
      </c>
      <c r="L2" s="53" t="s">
        <v>9</v>
      </c>
      <c r="M2" s="52" t="s">
        <v>10</v>
      </c>
      <c r="N2" s="53" t="s">
        <v>11</v>
      </c>
      <c r="O2" s="52" t="s">
        <v>12</v>
      </c>
      <c r="P2" s="53" t="s">
        <v>13</v>
      </c>
      <c r="Q2" s="52" t="s">
        <v>14</v>
      </c>
      <c r="R2" s="53" t="s">
        <v>15</v>
      </c>
      <c r="S2" s="52" t="s">
        <v>16</v>
      </c>
      <c r="T2" s="53" t="s">
        <v>45</v>
      </c>
      <c r="U2" s="52" t="s">
        <v>61</v>
      </c>
      <c r="V2" s="53" t="s">
        <v>62</v>
      </c>
      <c r="W2" s="52" t="s">
        <v>63</v>
      </c>
      <c r="X2" s="53" t="s">
        <v>64</v>
      </c>
    </row>
    <row r="3" spans="1:44" s="39" customFormat="1" ht="16.5" customHeight="1" x14ac:dyDescent="0.2">
      <c r="A3" s="96" t="s">
        <v>42</v>
      </c>
      <c r="B3" s="45" t="s">
        <v>54</v>
      </c>
      <c r="C3" s="38">
        <v>18219</v>
      </c>
      <c r="D3" s="47">
        <v>18219</v>
      </c>
      <c r="E3" s="38">
        <v>18219</v>
      </c>
      <c r="F3" s="47">
        <v>18219</v>
      </c>
      <c r="G3" s="38">
        <v>16419</v>
      </c>
      <c r="H3" s="47">
        <v>16419</v>
      </c>
      <c r="I3" s="38">
        <v>16419</v>
      </c>
      <c r="J3" s="47">
        <v>16419</v>
      </c>
      <c r="K3" s="38">
        <v>15689</v>
      </c>
      <c r="L3" s="47">
        <v>15689</v>
      </c>
      <c r="M3" s="38">
        <v>14369</v>
      </c>
      <c r="N3" s="47">
        <v>12689</v>
      </c>
      <c r="O3" s="38">
        <v>12689</v>
      </c>
      <c r="P3" s="47">
        <v>12689</v>
      </c>
      <c r="Q3" s="38">
        <v>12689</v>
      </c>
      <c r="R3" s="47">
        <v>12689</v>
      </c>
      <c r="S3" s="38">
        <v>9809</v>
      </c>
      <c r="T3" s="47">
        <v>7169</v>
      </c>
      <c r="U3" s="38">
        <v>5769</v>
      </c>
      <c r="V3" s="47">
        <v>5769</v>
      </c>
      <c r="W3" s="38">
        <v>5069</v>
      </c>
      <c r="X3" s="47">
        <v>5069</v>
      </c>
    </row>
    <row r="4" spans="1:44" s="39" customFormat="1" ht="16.5" customHeight="1" x14ac:dyDescent="0.2">
      <c r="A4" s="96"/>
      <c r="B4" s="45" t="s">
        <v>55</v>
      </c>
      <c r="C4" s="38">
        <v>4808</v>
      </c>
      <c r="D4" s="47">
        <v>4808</v>
      </c>
      <c r="E4" s="38">
        <v>4808</v>
      </c>
      <c r="F4" s="47">
        <v>4808</v>
      </c>
      <c r="G4" s="38">
        <v>4808</v>
      </c>
      <c r="H4" s="47">
        <v>4808</v>
      </c>
      <c r="I4" s="38">
        <v>4808</v>
      </c>
      <c r="J4" s="47">
        <v>4808</v>
      </c>
      <c r="K4" s="38">
        <v>4808</v>
      </c>
      <c r="L4" s="47">
        <v>3718</v>
      </c>
      <c r="M4" s="38">
        <v>3718</v>
      </c>
      <c r="N4" s="47">
        <v>3718</v>
      </c>
      <c r="O4" s="38">
        <v>3718</v>
      </c>
      <c r="P4" s="47">
        <v>3718</v>
      </c>
      <c r="Q4" s="38">
        <v>2190</v>
      </c>
      <c r="R4" s="47">
        <v>2190</v>
      </c>
      <c r="S4" s="38">
        <v>2190</v>
      </c>
      <c r="T4" s="47">
        <v>2190</v>
      </c>
      <c r="U4" s="38">
        <v>2190</v>
      </c>
      <c r="V4" s="47">
        <v>2190</v>
      </c>
      <c r="W4" s="38">
        <v>2190</v>
      </c>
      <c r="X4" s="47">
        <v>2190</v>
      </c>
    </row>
    <row r="5" spans="1:44" s="39" customFormat="1" ht="16.5" customHeight="1" x14ac:dyDescent="0.2">
      <c r="A5" s="96"/>
      <c r="B5" s="45" t="s">
        <v>17</v>
      </c>
      <c r="C5" s="38">
        <v>5363.5</v>
      </c>
      <c r="D5" s="47">
        <v>5363.5</v>
      </c>
      <c r="E5" s="38">
        <v>5363.5</v>
      </c>
      <c r="F5" s="47">
        <v>5363.5</v>
      </c>
      <c r="G5" s="38">
        <v>5363.5</v>
      </c>
      <c r="H5" s="47">
        <v>5363.5</v>
      </c>
      <c r="I5" s="38">
        <v>5363.5</v>
      </c>
      <c r="J5" s="47">
        <v>5363.5</v>
      </c>
      <c r="K5" s="38">
        <v>5363.5</v>
      </c>
      <c r="L5" s="47">
        <v>5363.5</v>
      </c>
      <c r="M5" s="38">
        <v>5363.5</v>
      </c>
      <c r="N5" s="47">
        <v>5363.5</v>
      </c>
      <c r="O5" s="38">
        <v>5363.5</v>
      </c>
      <c r="P5" s="47">
        <v>5363.5</v>
      </c>
      <c r="Q5" s="38">
        <v>5363.5</v>
      </c>
      <c r="R5" s="47">
        <v>5363.5</v>
      </c>
      <c r="S5" s="38">
        <v>5363.5</v>
      </c>
      <c r="T5" s="47">
        <v>5363.5</v>
      </c>
      <c r="U5" s="38">
        <v>5363.5</v>
      </c>
      <c r="V5" s="47">
        <v>5363.5</v>
      </c>
      <c r="W5" s="38">
        <v>5363.5</v>
      </c>
      <c r="X5" s="47">
        <v>5363.5</v>
      </c>
    </row>
    <row r="6" spans="1:44" s="39" customFormat="1" ht="16.5" customHeight="1" x14ac:dyDescent="0.2">
      <c r="A6" s="96"/>
      <c r="B6" s="45" t="s">
        <v>44</v>
      </c>
      <c r="C6" s="38">
        <v>4111</v>
      </c>
      <c r="D6" s="47">
        <v>4111</v>
      </c>
      <c r="E6" s="38">
        <v>4111</v>
      </c>
      <c r="F6" s="47">
        <v>4111</v>
      </c>
      <c r="G6" s="38">
        <v>4111</v>
      </c>
      <c r="H6" s="47">
        <v>4111</v>
      </c>
      <c r="I6" s="38">
        <v>2649</v>
      </c>
      <c r="J6" s="47">
        <v>2649</v>
      </c>
      <c r="K6" s="38">
        <v>2649</v>
      </c>
      <c r="L6" s="47">
        <v>2649</v>
      </c>
      <c r="M6" s="38">
        <v>2649</v>
      </c>
      <c r="N6" s="47">
        <v>2649</v>
      </c>
      <c r="O6" s="38">
        <v>2649</v>
      </c>
      <c r="P6" s="47">
        <v>2139</v>
      </c>
      <c r="Q6" s="38">
        <v>2139</v>
      </c>
      <c r="R6" s="47">
        <v>2139</v>
      </c>
      <c r="S6" s="38">
        <v>2139</v>
      </c>
      <c r="T6" s="47">
        <v>2539</v>
      </c>
      <c r="U6" s="38">
        <v>2539</v>
      </c>
      <c r="V6" s="47">
        <v>2539</v>
      </c>
      <c r="W6" s="38">
        <v>2539</v>
      </c>
      <c r="X6" s="47">
        <v>2539</v>
      </c>
    </row>
    <row r="7" spans="1:44" s="39" customFormat="1" ht="16.5" customHeight="1" x14ac:dyDescent="0.2">
      <c r="A7" s="96"/>
      <c r="B7" s="45" t="s">
        <v>56</v>
      </c>
      <c r="C7" s="38">
        <v>6967</v>
      </c>
      <c r="D7" s="47">
        <v>6943</v>
      </c>
      <c r="E7" s="38">
        <v>7112</v>
      </c>
      <c r="F7" s="47">
        <v>6838</v>
      </c>
      <c r="G7" s="38">
        <v>7119</v>
      </c>
      <c r="H7" s="47">
        <v>7119</v>
      </c>
      <c r="I7" s="38">
        <v>7119</v>
      </c>
      <c r="J7" s="47">
        <v>7119</v>
      </c>
      <c r="K7" s="38">
        <v>7119</v>
      </c>
      <c r="L7" s="47">
        <v>7119</v>
      </c>
      <c r="M7" s="38">
        <v>7072</v>
      </c>
      <c r="N7" s="47">
        <v>7072</v>
      </c>
      <c r="O7" s="38">
        <v>7072</v>
      </c>
      <c r="P7" s="47">
        <v>7072</v>
      </c>
      <c r="Q7" s="38">
        <v>7072</v>
      </c>
      <c r="R7" s="47">
        <v>7072</v>
      </c>
      <c r="S7" s="38">
        <v>7072</v>
      </c>
      <c r="T7" s="47">
        <v>7180</v>
      </c>
      <c r="U7" s="38">
        <v>7370</v>
      </c>
      <c r="V7" s="47">
        <v>7370</v>
      </c>
      <c r="W7" s="38">
        <v>9284</v>
      </c>
      <c r="X7" s="47">
        <v>9284</v>
      </c>
    </row>
    <row r="8" spans="1:44" s="39" customFormat="1" ht="16.5" customHeight="1" x14ac:dyDescent="0.2">
      <c r="A8" s="96"/>
      <c r="B8" s="45" t="s">
        <v>18</v>
      </c>
      <c r="C8" s="38">
        <v>5824.2999999999993</v>
      </c>
      <c r="D8" s="47">
        <v>8460.6324456500006</v>
      </c>
      <c r="E8" s="38">
        <v>8460.6324456500006</v>
      </c>
      <c r="F8" s="47">
        <v>8860.6324456499988</v>
      </c>
      <c r="G8" s="38">
        <v>9260.6324456500006</v>
      </c>
      <c r="H8" s="47">
        <v>10153.632445649999</v>
      </c>
      <c r="I8" s="38">
        <v>10592.828246709998</v>
      </c>
      <c r="J8" s="47">
        <v>10801.03147224</v>
      </c>
      <c r="K8" s="38">
        <v>11394.665123209999</v>
      </c>
      <c r="L8" s="47">
        <v>11763.217944</v>
      </c>
      <c r="M8" s="38">
        <v>12402.343988660001</v>
      </c>
      <c r="N8" s="47">
        <v>13031.151606000001</v>
      </c>
      <c r="O8" s="38">
        <v>13707.714040349998</v>
      </c>
      <c r="P8" s="47">
        <v>14015.230326059998</v>
      </c>
      <c r="Q8" s="38">
        <v>14015.230326059998</v>
      </c>
      <c r="R8" s="47">
        <v>14260.292804249999</v>
      </c>
      <c r="S8" s="38">
        <v>14570.442049639998</v>
      </c>
      <c r="T8" s="47">
        <v>16106.685559929998</v>
      </c>
      <c r="U8" s="38">
        <v>16868.706528989998</v>
      </c>
      <c r="V8" s="47">
        <v>16869.054055379998</v>
      </c>
      <c r="W8" s="38">
        <v>17011.78884148</v>
      </c>
      <c r="X8" s="47">
        <v>17011.78884148</v>
      </c>
    </row>
    <row r="9" spans="1:44" s="39" customFormat="1" ht="16.5" customHeight="1" x14ac:dyDescent="0.2">
      <c r="A9" s="96"/>
      <c r="B9" s="45" t="s">
        <v>57</v>
      </c>
      <c r="C9" s="38">
        <v>2211.9</v>
      </c>
      <c r="D9" s="47">
        <v>3056.49531656</v>
      </c>
      <c r="E9" s="38">
        <v>3056.49531656</v>
      </c>
      <c r="F9" s="47">
        <v>3152.49531656</v>
      </c>
      <c r="G9" s="38">
        <v>4971.8377527500006</v>
      </c>
      <c r="H9" s="47">
        <v>6099.2662346500001</v>
      </c>
      <c r="I9" s="38">
        <v>8533.1443776199994</v>
      </c>
      <c r="J9" s="47">
        <v>11462.325562259999</v>
      </c>
      <c r="K9" s="38">
        <v>13639.46656035</v>
      </c>
      <c r="L9" s="47">
        <v>16028.97477642</v>
      </c>
      <c r="M9" s="38">
        <v>17143.848122380001</v>
      </c>
      <c r="N9" s="47">
        <v>19399.799594500004</v>
      </c>
      <c r="O9" s="38">
        <v>22001.999665669999</v>
      </c>
      <c r="P9" s="47">
        <v>24310.49790979</v>
      </c>
      <c r="Q9" s="38">
        <v>25672.157893290001</v>
      </c>
      <c r="R9" s="47">
        <v>27280.579721589998</v>
      </c>
      <c r="S9" s="38">
        <v>31147.37687294</v>
      </c>
      <c r="T9" s="47">
        <v>33412.16050043</v>
      </c>
      <c r="U9" s="38">
        <v>36046.900000010006</v>
      </c>
      <c r="V9" s="47">
        <v>36046.900000010006</v>
      </c>
      <c r="W9" s="38">
        <v>36046.900000010006</v>
      </c>
      <c r="X9" s="47">
        <v>36046.900000010006</v>
      </c>
    </row>
    <row r="10" spans="1:44" s="39" customFormat="1" ht="16.5" customHeight="1" x14ac:dyDescent="0.2">
      <c r="A10" s="96"/>
      <c r="B10" s="45" t="s">
        <v>58</v>
      </c>
      <c r="C10" s="38">
        <v>2681.4</v>
      </c>
      <c r="D10" s="47">
        <v>2701.4</v>
      </c>
      <c r="E10" s="38">
        <v>2801.4</v>
      </c>
      <c r="F10" s="47">
        <v>2801.4</v>
      </c>
      <c r="G10" s="38">
        <v>2911.6822279500002</v>
      </c>
      <c r="H10" s="47">
        <v>2937.9399012599997</v>
      </c>
      <c r="I10" s="38">
        <v>3618.0929513599999</v>
      </c>
      <c r="J10" s="47">
        <v>3974.8385473600001</v>
      </c>
      <c r="K10" s="38">
        <v>4733.3797973600003</v>
      </c>
      <c r="L10" s="47">
        <v>5673.5784393600006</v>
      </c>
      <c r="M10" s="38">
        <v>6451.8015485100004</v>
      </c>
      <c r="N10" s="47">
        <v>8455.07012751</v>
      </c>
      <c r="O10" s="38">
        <v>10231.545624509999</v>
      </c>
      <c r="P10" s="47">
        <v>12490.97372951</v>
      </c>
      <c r="Q10" s="38">
        <v>13898.34172251</v>
      </c>
      <c r="R10" s="47">
        <v>15211.93445151</v>
      </c>
      <c r="S10" s="38">
        <v>17780.494590509996</v>
      </c>
      <c r="T10" s="47">
        <v>20026.609247510001</v>
      </c>
      <c r="U10" s="38">
        <v>22175.253172509998</v>
      </c>
      <c r="V10" s="47">
        <v>22510.36364403</v>
      </c>
      <c r="W10" s="38">
        <v>22510.36364652</v>
      </c>
      <c r="X10" s="47">
        <v>22486.969546519998</v>
      </c>
    </row>
    <row r="11" spans="1:44" s="39" customFormat="1" ht="16.5" customHeight="1" x14ac:dyDescent="0.2">
      <c r="A11" s="96"/>
      <c r="B11" s="45" t="s">
        <v>59</v>
      </c>
      <c r="C11" s="38">
        <v>0</v>
      </c>
      <c r="D11" s="47">
        <v>0</v>
      </c>
      <c r="E11" s="38">
        <v>0</v>
      </c>
      <c r="F11" s="47">
        <v>0</v>
      </c>
      <c r="G11" s="38">
        <v>0</v>
      </c>
      <c r="H11" s="47">
        <v>0</v>
      </c>
      <c r="I11" s="38">
        <v>0</v>
      </c>
      <c r="J11" s="47">
        <v>0</v>
      </c>
      <c r="K11" s="38">
        <v>0</v>
      </c>
      <c r="L11" s="47">
        <v>0</v>
      </c>
      <c r="M11" s="38">
        <v>171.567432</v>
      </c>
      <c r="N11" s="47">
        <v>200</v>
      </c>
      <c r="O11" s="38">
        <v>200</v>
      </c>
      <c r="P11" s="47">
        <v>200</v>
      </c>
      <c r="Q11" s="38">
        <v>200</v>
      </c>
      <c r="R11" s="47">
        <v>200</v>
      </c>
      <c r="S11" s="38">
        <v>300</v>
      </c>
      <c r="T11" s="47">
        <v>300</v>
      </c>
      <c r="U11" s="38">
        <v>300</v>
      </c>
      <c r="V11" s="47">
        <v>390.65633724999998</v>
      </c>
      <c r="W11" s="38">
        <v>394.0393345</v>
      </c>
      <c r="X11" s="47">
        <v>394.0393345</v>
      </c>
    </row>
    <row r="12" spans="1:44" s="39" customFormat="1" ht="16.5" customHeight="1" x14ac:dyDescent="0.2">
      <c r="A12" s="96"/>
      <c r="B12" s="45" t="s">
        <v>60</v>
      </c>
      <c r="C12" s="38">
        <v>312.26</v>
      </c>
      <c r="D12" s="47">
        <v>601.14</v>
      </c>
      <c r="E12" s="38">
        <v>977.37</v>
      </c>
      <c r="F12" s="47">
        <v>1323.6</v>
      </c>
      <c r="G12" s="38">
        <v>1656.16</v>
      </c>
      <c r="H12" s="47">
        <v>1975.32</v>
      </c>
      <c r="I12" s="38">
        <v>2288.36</v>
      </c>
      <c r="J12" s="47">
        <v>2587.9499999999998</v>
      </c>
      <c r="K12" s="38">
        <v>2881.12</v>
      </c>
      <c r="L12" s="47">
        <v>3166.67</v>
      </c>
      <c r="M12" s="38">
        <v>3446.18</v>
      </c>
      <c r="N12" s="47">
        <v>3723.38</v>
      </c>
      <c r="O12" s="38">
        <v>3980.08</v>
      </c>
      <c r="P12" s="47">
        <v>4212.34</v>
      </c>
      <c r="Q12" s="38">
        <v>4435.8900000000003</v>
      </c>
      <c r="R12" s="47">
        <v>4651.38</v>
      </c>
      <c r="S12" s="38">
        <v>4860.53</v>
      </c>
      <c r="T12" s="47">
        <v>5065.55</v>
      </c>
      <c r="U12" s="38">
        <v>5261.95</v>
      </c>
      <c r="V12" s="47">
        <v>5452.1</v>
      </c>
      <c r="W12" s="38">
        <v>5592.66</v>
      </c>
      <c r="X12" s="47">
        <v>5774.18</v>
      </c>
    </row>
    <row r="13" spans="1:44" s="39" customFormat="1" ht="16.5" customHeight="1" x14ac:dyDescent="0.2">
      <c r="A13" s="96"/>
      <c r="B13" s="45" t="s">
        <v>41</v>
      </c>
      <c r="C13" s="38">
        <v>7324</v>
      </c>
      <c r="D13" s="47">
        <v>8264</v>
      </c>
      <c r="E13" s="38">
        <v>9186</v>
      </c>
      <c r="F13" s="47">
        <v>10082</v>
      </c>
      <c r="G13" s="38">
        <v>10958</v>
      </c>
      <c r="H13" s="47">
        <v>11817</v>
      </c>
      <c r="I13" s="38">
        <v>12651</v>
      </c>
      <c r="J13" s="47">
        <v>13459</v>
      </c>
      <c r="K13" s="38">
        <v>14248</v>
      </c>
      <c r="L13" s="47">
        <v>15010</v>
      </c>
      <c r="M13" s="38">
        <v>15739</v>
      </c>
      <c r="N13" s="47">
        <v>16439</v>
      </c>
      <c r="O13" s="38">
        <v>17092</v>
      </c>
      <c r="P13" s="47">
        <v>17701</v>
      </c>
      <c r="Q13" s="38">
        <v>18245</v>
      </c>
      <c r="R13" s="47">
        <v>18744</v>
      </c>
      <c r="S13" s="38">
        <v>19214</v>
      </c>
      <c r="T13" s="47">
        <v>19655</v>
      </c>
      <c r="U13" s="38">
        <v>20058</v>
      </c>
      <c r="V13" s="47">
        <v>20386</v>
      </c>
      <c r="W13" s="38">
        <v>20724</v>
      </c>
      <c r="X13" s="47">
        <v>21018</v>
      </c>
    </row>
    <row r="14" spans="1:44" s="39" customFormat="1" ht="16.5" customHeight="1" x14ac:dyDescent="0.2">
      <c r="A14" s="96"/>
      <c r="B14" s="46" t="s">
        <v>19</v>
      </c>
      <c r="C14" s="40">
        <f>SUM(C3:C13)</f>
        <v>57822.360000000008</v>
      </c>
      <c r="D14" s="48">
        <f t="shared" ref="D14:X14" si="0">SUM(D3:D13)</f>
        <v>62528.167762210003</v>
      </c>
      <c r="E14" s="40">
        <f t="shared" si="0"/>
        <v>64095.397762210006</v>
      </c>
      <c r="F14" s="48">
        <f t="shared" si="0"/>
        <v>65559.627762210002</v>
      </c>
      <c r="G14" s="40">
        <f t="shared" si="0"/>
        <v>67578.812426349992</v>
      </c>
      <c r="H14" s="48">
        <f t="shared" si="0"/>
        <v>70803.658581559997</v>
      </c>
      <c r="I14" s="40">
        <f t="shared" si="0"/>
        <v>74041.925575689995</v>
      </c>
      <c r="J14" s="48">
        <f t="shared" si="0"/>
        <v>78643.645581859993</v>
      </c>
      <c r="K14" s="40">
        <f t="shared" si="0"/>
        <v>82525.131480919998</v>
      </c>
      <c r="L14" s="48">
        <f t="shared" si="0"/>
        <v>86180.941159780006</v>
      </c>
      <c r="M14" s="40">
        <f t="shared" si="0"/>
        <v>88526.241091549993</v>
      </c>
      <c r="N14" s="48">
        <f t="shared" si="0"/>
        <v>92739.901328010004</v>
      </c>
      <c r="O14" s="40">
        <f t="shared" si="0"/>
        <v>98704.839330529983</v>
      </c>
      <c r="P14" s="48">
        <f t="shared" si="0"/>
        <v>103911.54196536</v>
      </c>
      <c r="Q14" s="40">
        <f t="shared" si="0"/>
        <v>105920.11994186</v>
      </c>
      <c r="R14" s="48">
        <f t="shared" si="0"/>
        <v>109801.68697734999</v>
      </c>
      <c r="S14" s="40">
        <f t="shared" si="0"/>
        <v>114446.34351308999</v>
      </c>
      <c r="T14" s="48">
        <f t="shared" si="0"/>
        <v>119007.50530787</v>
      </c>
      <c r="U14" s="40">
        <f t="shared" si="0"/>
        <v>123942.30970151001</v>
      </c>
      <c r="V14" s="48">
        <f t="shared" si="0"/>
        <v>124886.57403667</v>
      </c>
      <c r="W14" s="40">
        <f t="shared" si="0"/>
        <v>126725.25182251001</v>
      </c>
      <c r="X14" s="48">
        <f t="shared" si="0"/>
        <v>127177.37772250999</v>
      </c>
    </row>
    <row r="15" spans="1:44" s="39" customFormat="1" ht="16.5" customHeight="1" x14ac:dyDescent="0.2">
      <c r="B15" s="41"/>
      <c r="C15" s="41"/>
      <c r="D15" s="41"/>
      <c r="E15" s="41"/>
      <c r="F15" s="41"/>
      <c r="G15" s="41"/>
      <c r="H15" s="41"/>
      <c r="I15" s="41"/>
      <c r="J15" s="41"/>
      <c r="K15" s="41"/>
      <c r="L15" s="41"/>
      <c r="M15" s="41"/>
      <c r="N15" s="41"/>
      <c r="O15" s="41"/>
      <c r="P15" s="41"/>
      <c r="Q15" s="41"/>
      <c r="R15" s="41"/>
      <c r="S15" s="41"/>
      <c r="T15" s="41"/>
      <c r="U15" s="41"/>
      <c r="AP15" s="41"/>
      <c r="AQ15" s="41"/>
      <c r="AR15" s="41"/>
    </row>
    <row r="16" spans="1:44" s="39" customFormat="1" ht="16.5" customHeight="1" x14ac:dyDescent="0.2">
      <c r="AP16" s="41"/>
      <c r="AQ16" s="41"/>
      <c r="AR16" s="41"/>
    </row>
    <row r="17" spans="1:44" ht="16.5" customHeight="1" x14ac:dyDescent="0.2">
      <c r="C17" s="36"/>
      <c r="D17" s="36"/>
      <c r="E17" s="36"/>
      <c r="F17" s="36"/>
      <c r="G17" s="36"/>
      <c r="H17" s="36"/>
      <c r="I17" s="36"/>
      <c r="J17" s="36"/>
      <c r="K17" s="36"/>
      <c r="L17" s="36"/>
      <c r="M17" s="36"/>
      <c r="N17" s="36"/>
      <c r="O17" s="36"/>
      <c r="P17" s="36"/>
      <c r="Q17" s="36"/>
      <c r="R17" s="36"/>
      <c r="S17" s="36"/>
      <c r="T17" s="36"/>
      <c r="U17" s="36"/>
      <c r="V17" s="36"/>
      <c r="W17" s="36"/>
      <c r="X17" s="36"/>
      <c r="AP17" s="36"/>
      <c r="AQ17" s="36"/>
      <c r="AR17" s="36"/>
    </row>
    <row r="18" spans="1:44" ht="16.5" customHeight="1" x14ac:dyDescent="0.2">
      <c r="A18" s="50" t="s">
        <v>34</v>
      </c>
      <c r="B18" s="51" t="s">
        <v>20</v>
      </c>
      <c r="C18" s="52" t="s">
        <v>0</v>
      </c>
      <c r="D18" s="53" t="s">
        <v>1</v>
      </c>
      <c r="E18" s="52" t="s">
        <v>2</v>
      </c>
      <c r="F18" s="53" t="s">
        <v>3</v>
      </c>
      <c r="G18" s="52" t="s">
        <v>4</v>
      </c>
      <c r="H18" s="53" t="s">
        <v>5</v>
      </c>
      <c r="I18" s="52" t="s">
        <v>6</v>
      </c>
      <c r="J18" s="53" t="s">
        <v>7</v>
      </c>
      <c r="K18" s="52" t="s">
        <v>8</v>
      </c>
      <c r="L18" s="53" t="s">
        <v>9</v>
      </c>
      <c r="M18" s="52" t="s">
        <v>10</v>
      </c>
      <c r="N18" s="53" t="s">
        <v>11</v>
      </c>
      <c r="O18" s="52" t="s">
        <v>12</v>
      </c>
      <c r="P18" s="53" t="s">
        <v>13</v>
      </c>
      <c r="Q18" s="52" t="s">
        <v>14</v>
      </c>
      <c r="R18" s="53" t="s">
        <v>15</v>
      </c>
      <c r="S18" s="52" t="s">
        <v>16</v>
      </c>
      <c r="T18" s="53" t="s">
        <v>45</v>
      </c>
      <c r="U18" s="52" t="s">
        <v>61</v>
      </c>
      <c r="V18" s="53" t="s">
        <v>62</v>
      </c>
      <c r="W18" s="52" t="s">
        <v>63</v>
      </c>
      <c r="X18" s="53" t="s">
        <v>64</v>
      </c>
    </row>
    <row r="19" spans="1:44" ht="16.5" customHeight="1" x14ac:dyDescent="0.2">
      <c r="A19" s="96" t="s">
        <v>35</v>
      </c>
      <c r="B19" s="45" t="s">
        <v>54</v>
      </c>
      <c r="C19" s="38">
        <v>10040</v>
      </c>
      <c r="D19" s="47">
        <v>10040</v>
      </c>
      <c r="E19" s="38">
        <v>10040</v>
      </c>
      <c r="F19" s="47">
        <v>10040</v>
      </c>
      <c r="G19" s="38">
        <v>8240</v>
      </c>
      <c r="H19" s="47">
        <v>8240</v>
      </c>
      <c r="I19" s="38">
        <v>8240</v>
      </c>
      <c r="J19" s="47">
        <v>8240</v>
      </c>
      <c r="K19" s="38">
        <v>8240</v>
      </c>
      <c r="L19" s="47">
        <v>8240</v>
      </c>
      <c r="M19" s="38">
        <v>6920</v>
      </c>
      <c r="N19" s="47">
        <v>6920</v>
      </c>
      <c r="O19" s="38">
        <v>6920</v>
      </c>
      <c r="P19" s="47">
        <v>6920</v>
      </c>
      <c r="Q19" s="38">
        <v>6920</v>
      </c>
      <c r="R19" s="47">
        <v>6920</v>
      </c>
      <c r="S19" s="38">
        <v>4040</v>
      </c>
      <c r="T19" s="47">
        <v>1400</v>
      </c>
      <c r="U19" s="38">
        <v>1400</v>
      </c>
      <c r="V19" s="47">
        <v>1400</v>
      </c>
      <c r="W19" s="38">
        <v>1400</v>
      </c>
      <c r="X19" s="47">
        <v>1400</v>
      </c>
    </row>
    <row r="20" spans="1:44" ht="16.5" customHeight="1" x14ac:dyDescent="0.2">
      <c r="A20" s="96"/>
      <c r="B20" s="45" t="s">
        <v>55</v>
      </c>
      <c r="C20" s="38">
        <v>0</v>
      </c>
      <c r="D20" s="47">
        <v>0</v>
      </c>
      <c r="E20" s="38">
        <v>0</v>
      </c>
      <c r="F20" s="47">
        <v>0</v>
      </c>
      <c r="G20" s="38">
        <v>0</v>
      </c>
      <c r="H20" s="47">
        <v>0</v>
      </c>
      <c r="I20" s="38">
        <v>0</v>
      </c>
      <c r="J20" s="47">
        <v>0</v>
      </c>
      <c r="K20" s="38">
        <v>0</v>
      </c>
      <c r="L20" s="47">
        <v>0</v>
      </c>
      <c r="M20" s="38">
        <v>0</v>
      </c>
      <c r="N20" s="47">
        <v>0</v>
      </c>
      <c r="O20" s="38">
        <v>0</v>
      </c>
      <c r="P20" s="47">
        <v>0</v>
      </c>
      <c r="Q20" s="38">
        <v>0</v>
      </c>
      <c r="R20" s="47">
        <v>0</v>
      </c>
      <c r="S20" s="38">
        <v>0</v>
      </c>
      <c r="T20" s="47">
        <v>0</v>
      </c>
      <c r="U20" s="38">
        <v>0</v>
      </c>
      <c r="V20" s="47">
        <v>0</v>
      </c>
      <c r="W20" s="38">
        <v>0</v>
      </c>
      <c r="X20" s="47">
        <v>0</v>
      </c>
    </row>
    <row r="21" spans="1:44" ht="16.5" customHeight="1" x14ac:dyDescent="0.2">
      <c r="A21" s="96"/>
      <c r="B21" s="45" t="s">
        <v>17</v>
      </c>
      <c r="C21" s="38">
        <v>822</v>
      </c>
      <c r="D21" s="47">
        <v>822</v>
      </c>
      <c r="E21" s="38">
        <v>822</v>
      </c>
      <c r="F21" s="47">
        <v>822</v>
      </c>
      <c r="G21" s="38">
        <v>822</v>
      </c>
      <c r="H21" s="47">
        <v>822</v>
      </c>
      <c r="I21" s="38">
        <v>822</v>
      </c>
      <c r="J21" s="47">
        <v>822</v>
      </c>
      <c r="K21" s="38">
        <v>822</v>
      </c>
      <c r="L21" s="47">
        <v>822</v>
      </c>
      <c r="M21" s="38">
        <v>822</v>
      </c>
      <c r="N21" s="47">
        <v>822</v>
      </c>
      <c r="O21" s="38">
        <v>822</v>
      </c>
      <c r="P21" s="47">
        <v>822</v>
      </c>
      <c r="Q21" s="38">
        <v>822</v>
      </c>
      <c r="R21" s="47">
        <v>822</v>
      </c>
      <c r="S21" s="38">
        <v>822</v>
      </c>
      <c r="T21" s="47">
        <v>822</v>
      </c>
      <c r="U21" s="38">
        <v>822</v>
      </c>
      <c r="V21" s="47">
        <v>822</v>
      </c>
      <c r="W21" s="38">
        <v>822</v>
      </c>
      <c r="X21" s="47">
        <v>822</v>
      </c>
    </row>
    <row r="22" spans="1:44" ht="16.5" customHeight="1" x14ac:dyDescent="0.2">
      <c r="A22" s="96"/>
      <c r="B22" s="45" t="s">
        <v>44</v>
      </c>
      <c r="C22" s="38">
        <v>618</v>
      </c>
      <c r="D22" s="47">
        <v>618</v>
      </c>
      <c r="E22" s="38">
        <v>618</v>
      </c>
      <c r="F22" s="47">
        <v>618</v>
      </c>
      <c r="G22" s="38">
        <v>618</v>
      </c>
      <c r="H22" s="47">
        <v>618</v>
      </c>
      <c r="I22" s="38">
        <v>618</v>
      </c>
      <c r="J22" s="47">
        <v>618</v>
      </c>
      <c r="K22" s="38">
        <v>618</v>
      </c>
      <c r="L22" s="47">
        <v>618</v>
      </c>
      <c r="M22" s="38">
        <v>618</v>
      </c>
      <c r="N22" s="47">
        <v>618</v>
      </c>
      <c r="O22" s="38">
        <v>618</v>
      </c>
      <c r="P22" s="47">
        <v>618</v>
      </c>
      <c r="Q22" s="38">
        <v>618</v>
      </c>
      <c r="R22" s="47">
        <v>618</v>
      </c>
      <c r="S22" s="38">
        <v>618</v>
      </c>
      <c r="T22" s="47">
        <v>618</v>
      </c>
      <c r="U22" s="38">
        <v>618</v>
      </c>
      <c r="V22" s="47">
        <v>618</v>
      </c>
      <c r="W22" s="38">
        <v>618</v>
      </c>
      <c r="X22" s="47">
        <v>618</v>
      </c>
    </row>
    <row r="23" spans="1:44" ht="16.5" customHeight="1" x14ac:dyDescent="0.2">
      <c r="A23" s="96"/>
      <c r="B23" s="45" t="s">
        <v>56</v>
      </c>
      <c r="C23" s="38">
        <v>1438</v>
      </c>
      <c r="D23" s="47">
        <v>1438</v>
      </c>
      <c r="E23" s="38">
        <v>1438</v>
      </c>
      <c r="F23" s="47">
        <v>1438</v>
      </c>
      <c r="G23" s="38">
        <v>1718.1281200000001</v>
      </c>
      <c r="H23" s="47">
        <v>1718.1281200000001</v>
      </c>
      <c r="I23" s="38">
        <v>1718.1281200000001</v>
      </c>
      <c r="J23" s="47">
        <v>1718.1281200000001</v>
      </c>
      <c r="K23" s="38">
        <v>1718.1281200000001</v>
      </c>
      <c r="L23" s="47">
        <v>1718.1281200000001</v>
      </c>
      <c r="M23" s="38">
        <v>1718.123194</v>
      </c>
      <c r="N23" s="47">
        <v>1718.123194</v>
      </c>
      <c r="O23" s="38">
        <v>1718.123194</v>
      </c>
      <c r="P23" s="47">
        <v>1718.123194</v>
      </c>
      <c r="Q23" s="38">
        <v>1718.123194</v>
      </c>
      <c r="R23" s="47">
        <v>1718.123194</v>
      </c>
      <c r="S23" s="38">
        <v>1718.123194</v>
      </c>
      <c r="T23" s="47">
        <v>1718.123194</v>
      </c>
      <c r="U23" s="38">
        <v>1718.123194</v>
      </c>
      <c r="V23" s="47">
        <v>1718.123194</v>
      </c>
      <c r="W23" s="38">
        <v>2225.3171170000001</v>
      </c>
      <c r="X23" s="47">
        <v>2225.3171170000001</v>
      </c>
    </row>
    <row r="24" spans="1:44" ht="16.5" customHeight="1" x14ac:dyDescent="0.2">
      <c r="A24" s="96"/>
      <c r="B24" s="45" t="s">
        <v>18</v>
      </c>
      <c r="C24" s="38">
        <v>1301.0999999999999</v>
      </c>
      <c r="D24" s="47">
        <v>1500.1</v>
      </c>
      <c r="E24" s="38">
        <v>1500.1</v>
      </c>
      <c r="F24" s="47">
        <v>1500.1</v>
      </c>
      <c r="G24" s="38">
        <v>1500.1</v>
      </c>
      <c r="H24" s="47">
        <v>1500.1</v>
      </c>
      <c r="I24" s="38">
        <v>1500.1</v>
      </c>
      <c r="J24" s="47">
        <v>1500.1</v>
      </c>
      <c r="K24" s="38">
        <v>1500.1</v>
      </c>
      <c r="L24" s="47">
        <v>1500.1</v>
      </c>
      <c r="M24" s="38">
        <v>1500.1</v>
      </c>
      <c r="N24" s="47">
        <v>1500.1</v>
      </c>
      <c r="O24" s="38">
        <v>1500.1</v>
      </c>
      <c r="P24" s="47">
        <v>1500.1</v>
      </c>
      <c r="Q24" s="38">
        <v>1500.1</v>
      </c>
      <c r="R24" s="47">
        <v>1500.1</v>
      </c>
      <c r="S24" s="38">
        <v>1500.1</v>
      </c>
      <c r="T24" s="47">
        <v>1900.1</v>
      </c>
      <c r="U24" s="38">
        <v>2386.8233879700001</v>
      </c>
      <c r="V24" s="47">
        <v>2386.8233879700001</v>
      </c>
      <c r="W24" s="38">
        <v>2529.55817407</v>
      </c>
      <c r="X24" s="47">
        <v>2529.55817407</v>
      </c>
    </row>
    <row r="25" spans="1:44" ht="16.5" customHeight="1" x14ac:dyDescent="0.2">
      <c r="A25" s="96"/>
      <c r="B25" s="45" t="s">
        <v>57</v>
      </c>
      <c r="C25" s="38">
        <v>345.9</v>
      </c>
      <c r="D25" s="47">
        <v>733.80391478999991</v>
      </c>
      <c r="E25" s="38">
        <v>733.80391478999991</v>
      </c>
      <c r="F25" s="47">
        <v>733.80391478999991</v>
      </c>
      <c r="G25" s="38">
        <v>2393.1463509799996</v>
      </c>
      <c r="H25" s="47">
        <v>2782.9239355599998</v>
      </c>
      <c r="I25" s="38">
        <v>2782.9239355599998</v>
      </c>
      <c r="J25" s="47">
        <v>4550.71855684</v>
      </c>
      <c r="K25" s="38">
        <v>4550.71855684</v>
      </c>
      <c r="L25" s="47">
        <v>5408.9269920299994</v>
      </c>
      <c r="M25" s="38">
        <v>6407.50029404</v>
      </c>
      <c r="N25" s="47">
        <v>7571.5775100999999</v>
      </c>
      <c r="O25" s="38">
        <v>8753.1543847399989</v>
      </c>
      <c r="P25" s="47">
        <v>9603.6405123799996</v>
      </c>
      <c r="Q25" s="38">
        <v>9603.6405123799996</v>
      </c>
      <c r="R25" s="47">
        <v>11212.06234068</v>
      </c>
      <c r="S25" s="38">
        <v>15078.859492029998</v>
      </c>
      <c r="T25" s="47">
        <v>17245.900000009999</v>
      </c>
      <c r="U25" s="38">
        <v>17245.900000009999</v>
      </c>
      <c r="V25" s="47">
        <v>17245.900000009999</v>
      </c>
      <c r="W25" s="38">
        <v>17245.900000009999</v>
      </c>
      <c r="X25" s="47">
        <v>17245.900000009999</v>
      </c>
    </row>
    <row r="26" spans="1:44" ht="16.5" customHeight="1" x14ac:dyDescent="0.2">
      <c r="A26" s="96"/>
      <c r="B26" s="45" t="s">
        <v>58</v>
      </c>
      <c r="C26" s="38">
        <v>2040</v>
      </c>
      <c r="D26" s="47">
        <v>2040</v>
      </c>
      <c r="E26" s="38">
        <v>2040</v>
      </c>
      <c r="F26" s="47">
        <v>2040</v>
      </c>
      <c r="G26" s="38">
        <v>2150.2822279500001</v>
      </c>
      <c r="H26" s="47">
        <v>2176.5399012600001</v>
      </c>
      <c r="I26" s="38">
        <v>2208.0315083599999</v>
      </c>
      <c r="J26" s="47">
        <v>2478.6553823600002</v>
      </c>
      <c r="K26" s="38">
        <v>2478.6553823600002</v>
      </c>
      <c r="L26" s="47">
        <v>2478.6553823600002</v>
      </c>
      <c r="M26" s="38">
        <v>3007.9707765100002</v>
      </c>
      <c r="N26" s="47">
        <v>3709.2818845100001</v>
      </c>
      <c r="O26" s="38">
        <v>4607.87184351</v>
      </c>
      <c r="P26" s="47">
        <v>5520.7818775099995</v>
      </c>
      <c r="Q26" s="38">
        <v>5520.7818775099995</v>
      </c>
      <c r="R26" s="47">
        <v>6800.2816555099998</v>
      </c>
      <c r="S26" s="38">
        <v>9135.2684335099984</v>
      </c>
      <c r="T26" s="47">
        <v>10896.321161509999</v>
      </c>
      <c r="U26" s="38">
        <v>11256.532964509999</v>
      </c>
      <c r="V26" s="47">
        <v>11544.788456030001</v>
      </c>
      <c r="W26" s="38">
        <v>11544.788458520001</v>
      </c>
      <c r="X26" s="47">
        <v>11521.394358520001</v>
      </c>
    </row>
    <row r="27" spans="1:44" ht="16.5" customHeight="1" x14ac:dyDescent="0.2">
      <c r="A27" s="96"/>
      <c r="B27" s="45" t="s">
        <v>59</v>
      </c>
      <c r="C27" s="38">
        <v>0</v>
      </c>
      <c r="D27" s="47">
        <v>0</v>
      </c>
      <c r="E27" s="38">
        <v>0</v>
      </c>
      <c r="F27" s="47">
        <v>0</v>
      </c>
      <c r="G27" s="38">
        <v>0</v>
      </c>
      <c r="H27" s="47">
        <v>0</v>
      </c>
      <c r="I27" s="38">
        <v>0</v>
      </c>
      <c r="J27" s="47">
        <v>0</v>
      </c>
      <c r="K27" s="38">
        <v>0</v>
      </c>
      <c r="L27" s="47">
        <v>0</v>
      </c>
      <c r="M27" s="38">
        <v>100</v>
      </c>
      <c r="N27" s="47">
        <v>100</v>
      </c>
      <c r="O27" s="38">
        <v>100</v>
      </c>
      <c r="P27" s="47">
        <v>100</v>
      </c>
      <c r="Q27" s="38">
        <v>100</v>
      </c>
      <c r="R27" s="47">
        <v>100</v>
      </c>
      <c r="S27" s="38">
        <v>100</v>
      </c>
      <c r="T27" s="47">
        <v>100</v>
      </c>
      <c r="U27" s="38">
        <v>100</v>
      </c>
      <c r="V27" s="47">
        <v>100</v>
      </c>
      <c r="W27" s="38">
        <v>100</v>
      </c>
      <c r="X27" s="47">
        <v>100</v>
      </c>
    </row>
    <row r="28" spans="1:44" ht="16.5" customHeight="1" x14ac:dyDescent="0.2">
      <c r="A28" s="96"/>
      <c r="B28" s="45" t="s">
        <v>60</v>
      </c>
      <c r="C28" s="38">
        <v>132.4</v>
      </c>
      <c r="D28" s="47">
        <v>251.09</v>
      </c>
      <c r="E28" s="38">
        <v>408.31</v>
      </c>
      <c r="F28" s="47">
        <v>564.98</v>
      </c>
      <c r="G28" s="38">
        <v>720.25</v>
      </c>
      <c r="H28" s="47">
        <v>876.43</v>
      </c>
      <c r="I28" s="38">
        <v>1030.74</v>
      </c>
      <c r="J28" s="47">
        <v>1179.27</v>
      </c>
      <c r="K28" s="38">
        <v>1324.4</v>
      </c>
      <c r="L28" s="47">
        <v>1465.4</v>
      </c>
      <c r="M28" s="38">
        <v>1602.21</v>
      </c>
      <c r="N28" s="47">
        <v>1736.65</v>
      </c>
      <c r="O28" s="38">
        <v>1851.52</v>
      </c>
      <c r="P28" s="47">
        <v>1943.84</v>
      </c>
      <c r="Q28" s="38">
        <v>2031.79</v>
      </c>
      <c r="R28" s="47">
        <v>2121.0100000000002</v>
      </c>
      <c r="S28" s="38">
        <v>2209.36</v>
      </c>
      <c r="T28" s="47">
        <v>2299.16</v>
      </c>
      <c r="U28" s="38">
        <v>2387.54</v>
      </c>
      <c r="V28" s="47">
        <v>2474.54</v>
      </c>
      <c r="W28" s="38">
        <v>2518.3200000000002</v>
      </c>
      <c r="X28" s="47">
        <v>2606.6</v>
      </c>
    </row>
    <row r="29" spans="1:44" ht="16.5" customHeight="1" x14ac:dyDescent="0.2">
      <c r="A29" s="96"/>
      <c r="B29" s="45" t="s">
        <v>41</v>
      </c>
      <c r="C29" s="38">
        <v>2129</v>
      </c>
      <c r="D29" s="47">
        <v>2488</v>
      </c>
      <c r="E29" s="38">
        <v>2848</v>
      </c>
      <c r="F29" s="47">
        <v>3206</v>
      </c>
      <c r="G29" s="38">
        <v>3567</v>
      </c>
      <c r="H29" s="47">
        <v>3923</v>
      </c>
      <c r="I29" s="38">
        <v>4267</v>
      </c>
      <c r="J29" s="47">
        <v>4603</v>
      </c>
      <c r="K29" s="38">
        <v>4936</v>
      </c>
      <c r="L29" s="47">
        <v>5263</v>
      </c>
      <c r="M29" s="38">
        <v>5577</v>
      </c>
      <c r="N29" s="47">
        <v>5872</v>
      </c>
      <c r="O29" s="38">
        <v>6142</v>
      </c>
      <c r="P29" s="47">
        <v>6401</v>
      </c>
      <c r="Q29" s="38">
        <v>6628</v>
      </c>
      <c r="R29" s="47">
        <v>6829</v>
      </c>
      <c r="S29" s="38">
        <v>7022</v>
      </c>
      <c r="T29" s="47">
        <v>7208</v>
      </c>
      <c r="U29" s="38">
        <v>7382</v>
      </c>
      <c r="V29" s="47">
        <v>7508</v>
      </c>
      <c r="W29" s="38">
        <v>7658</v>
      </c>
      <c r="X29" s="47">
        <v>7783</v>
      </c>
    </row>
    <row r="30" spans="1:44" ht="16.5" customHeight="1" x14ac:dyDescent="0.2">
      <c r="A30" s="97" t="s">
        <v>36</v>
      </c>
      <c r="B30" s="37" t="s">
        <v>54</v>
      </c>
      <c r="C30" s="49">
        <v>8179</v>
      </c>
      <c r="D30" s="42">
        <v>8179</v>
      </c>
      <c r="E30" s="49">
        <v>8179</v>
      </c>
      <c r="F30" s="42">
        <v>8179</v>
      </c>
      <c r="G30" s="49">
        <v>8179</v>
      </c>
      <c r="H30" s="42">
        <v>8179</v>
      </c>
      <c r="I30" s="49">
        <v>8179</v>
      </c>
      <c r="J30" s="42">
        <v>8179</v>
      </c>
      <c r="K30" s="49">
        <v>7449</v>
      </c>
      <c r="L30" s="42">
        <v>7449</v>
      </c>
      <c r="M30" s="49">
        <v>7449</v>
      </c>
      <c r="N30" s="42">
        <v>5769</v>
      </c>
      <c r="O30" s="49">
        <v>5769</v>
      </c>
      <c r="P30" s="42">
        <v>5769</v>
      </c>
      <c r="Q30" s="49">
        <v>5769</v>
      </c>
      <c r="R30" s="42">
        <v>5769</v>
      </c>
      <c r="S30" s="49">
        <v>5769</v>
      </c>
      <c r="T30" s="42">
        <v>5769</v>
      </c>
      <c r="U30" s="49">
        <v>4369</v>
      </c>
      <c r="V30" s="42">
        <v>4369</v>
      </c>
      <c r="W30" s="49">
        <v>3669</v>
      </c>
      <c r="X30" s="42">
        <v>3669</v>
      </c>
    </row>
    <row r="31" spans="1:44" ht="16.5" customHeight="1" x14ac:dyDescent="0.2">
      <c r="A31" s="97"/>
      <c r="B31" s="37" t="s">
        <v>55</v>
      </c>
      <c r="C31" s="49">
        <v>0</v>
      </c>
      <c r="D31" s="42">
        <v>0</v>
      </c>
      <c r="E31" s="49">
        <v>0</v>
      </c>
      <c r="F31" s="42">
        <v>0</v>
      </c>
      <c r="G31" s="49">
        <v>0</v>
      </c>
      <c r="H31" s="42">
        <v>0</v>
      </c>
      <c r="I31" s="49">
        <v>0</v>
      </c>
      <c r="J31" s="42">
        <v>0</v>
      </c>
      <c r="K31" s="49">
        <v>0</v>
      </c>
      <c r="L31" s="42">
        <v>0</v>
      </c>
      <c r="M31" s="49">
        <v>0</v>
      </c>
      <c r="N31" s="42">
        <v>0</v>
      </c>
      <c r="O31" s="49">
        <v>0</v>
      </c>
      <c r="P31" s="42">
        <v>0</v>
      </c>
      <c r="Q31" s="49">
        <v>0</v>
      </c>
      <c r="R31" s="42">
        <v>0</v>
      </c>
      <c r="S31" s="49">
        <v>0</v>
      </c>
      <c r="T31" s="42">
        <v>0</v>
      </c>
      <c r="U31" s="49">
        <v>0</v>
      </c>
      <c r="V31" s="42">
        <v>0</v>
      </c>
      <c r="W31" s="49">
        <v>0</v>
      </c>
      <c r="X31" s="42">
        <v>0</v>
      </c>
    </row>
    <row r="32" spans="1:44" ht="16.5" customHeight="1" x14ac:dyDescent="0.2">
      <c r="A32" s="97"/>
      <c r="B32" s="37" t="s">
        <v>17</v>
      </c>
      <c r="C32" s="49">
        <v>152.4</v>
      </c>
      <c r="D32" s="42">
        <v>152.4</v>
      </c>
      <c r="E32" s="49">
        <v>152.4</v>
      </c>
      <c r="F32" s="42">
        <v>152.4</v>
      </c>
      <c r="G32" s="49">
        <v>152.4</v>
      </c>
      <c r="H32" s="42">
        <v>152.4</v>
      </c>
      <c r="I32" s="49">
        <v>152.4</v>
      </c>
      <c r="J32" s="42">
        <v>152.4</v>
      </c>
      <c r="K32" s="49">
        <v>152.4</v>
      </c>
      <c r="L32" s="42">
        <v>152.4</v>
      </c>
      <c r="M32" s="49">
        <v>152.4</v>
      </c>
      <c r="N32" s="42">
        <v>152.4</v>
      </c>
      <c r="O32" s="49">
        <v>152.4</v>
      </c>
      <c r="P32" s="42">
        <v>152.4</v>
      </c>
      <c r="Q32" s="49">
        <v>152.4</v>
      </c>
      <c r="R32" s="42">
        <v>152.4</v>
      </c>
      <c r="S32" s="49">
        <v>152.4</v>
      </c>
      <c r="T32" s="42">
        <v>152.4</v>
      </c>
      <c r="U32" s="49">
        <v>152.4</v>
      </c>
      <c r="V32" s="42">
        <v>152.4</v>
      </c>
      <c r="W32" s="49">
        <v>152.4</v>
      </c>
      <c r="X32" s="42">
        <v>152.4</v>
      </c>
    </row>
    <row r="33" spans="1:24" ht="16.5" customHeight="1" x14ac:dyDescent="0.2">
      <c r="A33" s="97"/>
      <c r="B33" s="37" t="s">
        <v>44</v>
      </c>
      <c r="C33" s="49">
        <v>1521</v>
      </c>
      <c r="D33" s="42">
        <v>1521</v>
      </c>
      <c r="E33" s="49">
        <v>1521</v>
      </c>
      <c r="F33" s="42">
        <v>1521</v>
      </c>
      <c r="G33" s="49">
        <v>1521</v>
      </c>
      <c r="H33" s="42">
        <v>1521</v>
      </c>
      <c r="I33" s="49">
        <v>1521</v>
      </c>
      <c r="J33" s="42">
        <v>1521</v>
      </c>
      <c r="K33" s="49">
        <v>1521</v>
      </c>
      <c r="L33" s="42">
        <v>1521</v>
      </c>
      <c r="M33" s="49">
        <v>1521</v>
      </c>
      <c r="N33" s="42">
        <v>1521</v>
      </c>
      <c r="O33" s="49">
        <v>1521</v>
      </c>
      <c r="P33" s="42">
        <v>1521</v>
      </c>
      <c r="Q33" s="49">
        <v>1521</v>
      </c>
      <c r="R33" s="42">
        <v>1521</v>
      </c>
      <c r="S33" s="49">
        <v>1521</v>
      </c>
      <c r="T33" s="42">
        <v>1521</v>
      </c>
      <c r="U33" s="49">
        <v>1521</v>
      </c>
      <c r="V33" s="42">
        <v>1521</v>
      </c>
      <c r="W33" s="49">
        <v>1521</v>
      </c>
      <c r="X33" s="42">
        <v>1521</v>
      </c>
    </row>
    <row r="34" spans="1:24" ht="16.5" customHeight="1" x14ac:dyDescent="0.2">
      <c r="A34" s="97"/>
      <c r="B34" s="37" t="s">
        <v>56</v>
      </c>
      <c r="C34" s="49">
        <v>1931.5</v>
      </c>
      <c r="D34" s="42">
        <v>1931.5</v>
      </c>
      <c r="E34" s="49">
        <v>1931.5</v>
      </c>
      <c r="F34" s="42">
        <v>1897.5</v>
      </c>
      <c r="G34" s="49">
        <v>1897.5</v>
      </c>
      <c r="H34" s="42">
        <v>1897.5</v>
      </c>
      <c r="I34" s="49">
        <v>1897.5</v>
      </c>
      <c r="J34" s="42">
        <v>1897.5</v>
      </c>
      <c r="K34" s="49">
        <v>1897.5</v>
      </c>
      <c r="L34" s="42">
        <v>1897.5</v>
      </c>
      <c r="M34" s="49">
        <v>1897.5</v>
      </c>
      <c r="N34" s="42">
        <v>1897.5</v>
      </c>
      <c r="O34" s="49">
        <v>1897.5</v>
      </c>
      <c r="P34" s="42">
        <v>1897.5</v>
      </c>
      <c r="Q34" s="49">
        <v>1897.5</v>
      </c>
      <c r="R34" s="42">
        <v>1897.5</v>
      </c>
      <c r="S34" s="49">
        <v>1897.5</v>
      </c>
      <c r="T34" s="42">
        <v>1897.5</v>
      </c>
      <c r="U34" s="49">
        <v>1897.5</v>
      </c>
      <c r="V34" s="42">
        <v>1897.5</v>
      </c>
      <c r="W34" s="49">
        <v>3304.8724499999998</v>
      </c>
      <c r="X34" s="42">
        <v>3304.8724499999998</v>
      </c>
    </row>
    <row r="35" spans="1:24" ht="16.5" customHeight="1" x14ac:dyDescent="0.2">
      <c r="A35" s="97"/>
      <c r="B35" s="37" t="s">
        <v>18</v>
      </c>
      <c r="C35" s="49">
        <v>223</v>
      </c>
      <c r="D35" s="42">
        <v>676</v>
      </c>
      <c r="E35" s="49">
        <v>676</v>
      </c>
      <c r="F35" s="42">
        <v>676</v>
      </c>
      <c r="G35" s="49">
        <v>676</v>
      </c>
      <c r="H35" s="42">
        <v>676</v>
      </c>
      <c r="I35" s="49">
        <v>676</v>
      </c>
      <c r="J35" s="42">
        <v>695.03355684999997</v>
      </c>
      <c r="K35" s="49">
        <v>1141</v>
      </c>
      <c r="L35" s="42">
        <v>1361</v>
      </c>
      <c r="M35" s="49">
        <v>1669.03458572</v>
      </c>
      <c r="N35" s="42">
        <v>2250.7561423000002</v>
      </c>
      <c r="O35" s="49">
        <v>2602.8997985999999</v>
      </c>
      <c r="P35" s="42">
        <v>2615.2981018999999</v>
      </c>
      <c r="Q35" s="49">
        <v>2615.2981018999999</v>
      </c>
      <c r="R35" s="42">
        <v>2615.2981018999999</v>
      </c>
      <c r="S35" s="49">
        <v>2615.2981018999999</v>
      </c>
      <c r="T35" s="42">
        <v>2615.2981018999999</v>
      </c>
      <c r="U35" s="49">
        <v>2615.2981018999999</v>
      </c>
      <c r="V35" s="42">
        <v>2615.2981018999999</v>
      </c>
      <c r="W35" s="49">
        <v>2615.2981018999999</v>
      </c>
      <c r="X35" s="42">
        <v>2615.2981018999999</v>
      </c>
    </row>
    <row r="36" spans="1:24" ht="16.5" customHeight="1" x14ac:dyDescent="0.2">
      <c r="A36" s="97"/>
      <c r="B36" s="37" t="s">
        <v>57</v>
      </c>
      <c r="C36" s="49">
        <v>1222</v>
      </c>
      <c r="D36" s="42">
        <v>1222</v>
      </c>
      <c r="E36" s="49">
        <v>1222</v>
      </c>
      <c r="F36" s="42">
        <v>1222</v>
      </c>
      <c r="G36" s="49">
        <v>1222</v>
      </c>
      <c r="H36" s="42">
        <v>1375.65089732</v>
      </c>
      <c r="I36" s="49">
        <v>3104.1866931100003</v>
      </c>
      <c r="J36" s="42">
        <v>4006.1423665100001</v>
      </c>
      <c r="K36" s="49">
        <v>5515.6158102500003</v>
      </c>
      <c r="L36" s="42">
        <v>6216.0645832099999</v>
      </c>
      <c r="M36" s="49">
        <v>6222</v>
      </c>
      <c r="N36" s="42">
        <v>7209.3270494099997</v>
      </c>
      <c r="O36" s="49">
        <v>8598.1268524900006</v>
      </c>
      <c r="P36" s="42">
        <v>9399.2206348600012</v>
      </c>
      <c r="Q36" s="49">
        <v>9399.2206348600012</v>
      </c>
      <c r="R36" s="42">
        <v>9399.2206348600012</v>
      </c>
      <c r="S36" s="49">
        <v>9399.2206348600012</v>
      </c>
      <c r="T36" s="42">
        <v>9399.2206348600012</v>
      </c>
      <c r="U36" s="49">
        <v>11307</v>
      </c>
      <c r="V36" s="42">
        <v>11307</v>
      </c>
      <c r="W36" s="49">
        <v>11307</v>
      </c>
      <c r="X36" s="42">
        <v>11307</v>
      </c>
    </row>
    <row r="37" spans="1:24" ht="16.5" customHeight="1" x14ac:dyDescent="0.2">
      <c r="A37" s="97"/>
      <c r="B37" s="37" t="s">
        <v>58</v>
      </c>
      <c r="C37" s="49">
        <v>501.4</v>
      </c>
      <c r="D37" s="42">
        <v>501.4</v>
      </c>
      <c r="E37" s="49">
        <v>601.4</v>
      </c>
      <c r="F37" s="42">
        <v>601.4</v>
      </c>
      <c r="G37" s="49">
        <v>601.4</v>
      </c>
      <c r="H37" s="42">
        <v>601.4</v>
      </c>
      <c r="I37" s="49">
        <v>601.4</v>
      </c>
      <c r="J37" s="42">
        <v>601.4</v>
      </c>
      <c r="K37" s="49">
        <v>1019.1339380000001</v>
      </c>
      <c r="L37" s="42">
        <v>1149.3679040000002</v>
      </c>
      <c r="M37" s="49">
        <v>1385.8811620000001</v>
      </c>
      <c r="N37" s="42">
        <v>2505.4296509999999</v>
      </c>
      <c r="O37" s="49">
        <v>3383.3151889999999</v>
      </c>
      <c r="P37" s="42">
        <v>4214.6639039999991</v>
      </c>
      <c r="Q37" s="49">
        <v>4214.6639039999991</v>
      </c>
      <c r="R37" s="42">
        <v>4248.7568549999996</v>
      </c>
      <c r="S37" s="49">
        <v>4482.3302160000003</v>
      </c>
      <c r="T37" s="42">
        <v>4967.3921449999998</v>
      </c>
      <c r="U37" s="49">
        <v>6448.7914059999994</v>
      </c>
      <c r="V37" s="42">
        <v>6495.6463859999994</v>
      </c>
      <c r="W37" s="49">
        <v>6495.6463859999994</v>
      </c>
      <c r="X37" s="42">
        <v>6495.6463859999994</v>
      </c>
    </row>
    <row r="38" spans="1:24" ht="16.5" customHeight="1" x14ac:dyDescent="0.2">
      <c r="A38" s="97"/>
      <c r="B38" s="37" t="s">
        <v>59</v>
      </c>
      <c r="C38" s="49">
        <v>0</v>
      </c>
      <c r="D38" s="42">
        <v>0</v>
      </c>
      <c r="E38" s="49">
        <v>0</v>
      </c>
      <c r="F38" s="42">
        <v>0</v>
      </c>
      <c r="G38" s="49">
        <v>0</v>
      </c>
      <c r="H38" s="42">
        <v>0</v>
      </c>
      <c r="I38" s="49">
        <v>0</v>
      </c>
      <c r="J38" s="42">
        <v>0</v>
      </c>
      <c r="K38" s="49">
        <v>0</v>
      </c>
      <c r="L38" s="42">
        <v>0</v>
      </c>
      <c r="M38" s="49">
        <v>0</v>
      </c>
      <c r="N38" s="42">
        <v>0</v>
      </c>
      <c r="O38" s="49">
        <v>0</v>
      </c>
      <c r="P38" s="42">
        <v>0</v>
      </c>
      <c r="Q38" s="49">
        <v>0</v>
      </c>
      <c r="R38" s="42">
        <v>0</v>
      </c>
      <c r="S38" s="49">
        <v>0</v>
      </c>
      <c r="T38" s="42">
        <v>0</v>
      </c>
      <c r="U38" s="49">
        <v>0</v>
      </c>
      <c r="V38" s="42">
        <v>90.656337250000007</v>
      </c>
      <c r="W38" s="49">
        <v>94.039334499999995</v>
      </c>
      <c r="X38" s="42">
        <v>94.039334499999995</v>
      </c>
    </row>
    <row r="39" spans="1:24" ht="16.5" customHeight="1" x14ac:dyDescent="0.2">
      <c r="A39" s="97"/>
      <c r="B39" s="37" t="s">
        <v>60</v>
      </c>
      <c r="C39" s="49">
        <v>71.2</v>
      </c>
      <c r="D39" s="42">
        <v>136.66</v>
      </c>
      <c r="E39" s="49">
        <v>225.27</v>
      </c>
      <c r="F39" s="42">
        <v>305.48</v>
      </c>
      <c r="G39" s="49">
        <v>380.04</v>
      </c>
      <c r="H39" s="42">
        <v>448.25</v>
      </c>
      <c r="I39" s="49">
        <v>512.38</v>
      </c>
      <c r="J39" s="42">
        <v>572.39</v>
      </c>
      <c r="K39" s="49">
        <v>630.85</v>
      </c>
      <c r="L39" s="42">
        <v>688.66</v>
      </c>
      <c r="M39" s="49">
        <v>745.92</v>
      </c>
      <c r="N39" s="42">
        <v>802.76</v>
      </c>
      <c r="O39" s="49">
        <v>859.3</v>
      </c>
      <c r="P39" s="42">
        <v>915.59</v>
      </c>
      <c r="Q39" s="49">
        <v>970.53</v>
      </c>
      <c r="R39" s="42">
        <v>1025.32</v>
      </c>
      <c r="S39" s="49">
        <v>1080.04</v>
      </c>
      <c r="T39" s="42">
        <v>1131.97</v>
      </c>
      <c r="U39" s="49">
        <v>1181.52</v>
      </c>
      <c r="V39" s="42">
        <v>1228.6400000000001</v>
      </c>
      <c r="W39" s="49">
        <v>1272.46</v>
      </c>
      <c r="X39" s="42">
        <v>1314.51</v>
      </c>
    </row>
    <row r="40" spans="1:24" ht="16.5" customHeight="1" x14ac:dyDescent="0.2">
      <c r="A40" s="97"/>
      <c r="B40" s="37" t="s">
        <v>41</v>
      </c>
      <c r="C40" s="49">
        <v>2454</v>
      </c>
      <c r="D40" s="42">
        <v>2706</v>
      </c>
      <c r="E40" s="49">
        <v>2951</v>
      </c>
      <c r="F40" s="42">
        <v>3185</v>
      </c>
      <c r="G40" s="49">
        <v>3408</v>
      </c>
      <c r="H40" s="42">
        <v>3626</v>
      </c>
      <c r="I40" s="49">
        <v>3837</v>
      </c>
      <c r="J40" s="42">
        <v>4041</v>
      </c>
      <c r="K40" s="49">
        <v>4243</v>
      </c>
      <c r="L40" s="42">
        <v>4442</v>
      </c>
      <c r="M40" s="49">
        <v>4638</v>
      </c>
      <c r="N40" s="42">
        <v>4829</v>
      </c>
      <c r="O40" s="49">
        <v>5007</v>
      </c>
      <c r="P40" s="42">
        <v>5171</v>
      </c>
      <c r="Q40" s="49">
        <v>5316</v>
      </c>
      <c r="R40" s="42">
        <v>5450</v>
      </c>
      <c r="S40" s="49">
        <v>5577</v>
      </c>
      <c r="T40" s="42">
        <v>5691</v>
      </c>
      <c r="U40" s="49">
        <v>5786</v>
      </c>
      <c r="V40" s="42">
        <v>5865</v>
      </c>
      <c r="W40" s="49">
        <v>5935</v>
      </c>
      <c r="X40" s="42">
        <v>5999</v>
      </c>
    </row>
    <row r="41" spans="1:24" ht="16.5" customHeight="1" x14ac:dyDescent="0.2">
      <c r="A41" s="96" t="s">
        <v>38</v>
      </c>
      <c r="B41" s="45" t="s">
        <v>54</v>
      </c>
      <c r="C41" s="38">
        <v>0</v>
      </c>
      <c r="D41" s="47">
        <v>0</v>
      </c>
      <c r="E41" s="38">
        <v>0</v>
      </c>
      <c r="F41" s="47">
        <v>0</v>
      </c>
      <c r="G41" s="38">
        <v>0</v>
      </c>
      <c r="H41" s="47">
        <v>0</v>
      </c>
      <c r="I41" s="38">
        <v>0</v>
      </c>
      <c r="J41" s="47">
        <v>0</v>
      </c>
      <c r="K41" s="38">
        <v>0</v>
      </c>
      <c r="L41" s="47">
        <v>0</v>
      </c>
      <c r="M41" s="38">
        <v>0</v>
      </c>
      <c r="N41" s="47">
        <v>0</v>
      </c>
      <c r="O41" s="38">
        <v>0</v>
      </c>
      <c r="P41" s="47">
        <v>0</v>
      </c>
      <c r="Q41" s="38">
        <v>0</v>
      </c>
      <c r="R41" s="47">
        <v>0</v>
      </c>
      <c r="S41" s="38">
        <v>0</v>
      </c>
      <c r="T41" s="47">
        <v>0</v>
      </c>
      <c r="U41" s="38">
        <v>0</v>
      </c>
      <c r="V41" s="47">
        <v>0</v>
      </c>
      <c r="W41" s="38">
        <v>0</v>
      </c>
      <c r="X41" s="47">
        <v>0</v>
      </c>
    </row>
    <row r="42" spans="1:24" ht="16.5" customHeight="1" x14ac:dyDescent="0.2">
      <c r="A42" s="96"/>
      <c r="B42" s="45" t="s">
        <v>55</v>
      </c>
      <c r="C42" s="38">
        <v>0</v>
      </c>
      <c r="D42" s="47">
        <v>0</v>
      </c>
      <c r="E42" s="38">
        <v>0</v>
      </c>
      <c r="F42" s="47">
        <v>0</v>
      </c>
      <c r="G42" s="38">
        <v>0</v>
      </c>
      <c r="H42" s="47">
        <v>0</v>
      </c>
      <c r="I42" s="38">
        <v>0</v>
      </c>
      <c r="J42" s="47">
        <v>0</v>
      </c>
      <c r="K42" s="38">
        <v>0</v>
      </c>
      <c r="L42" s="47">
        <v>0</v>
      </c>
      <c r="M42" s="38">
        <v>0</v>
      </c>
      <c r="N42" s="47">
        <v>0</v>
      </c>
      <c r="O42" s="38">
        <v>0</v>
      </c>
      <c r="P42" s="47">
        <v>0</v>
      </c>
      <c r="Q42" s="38">
        <v>0</v>
      </c>
      <c r="R42" s="47">
        <v>0</v>
      </c>
      <c r="S42" s="38">
        <v>0</v>
      </c>
      <c r="T42" s="47">
        <v>0</v>
      </c>
      <c r="U42" s="38">
        <v>0</v>
      </c>
      <c r="V42" s="47">
        <v>0</v>
      </c>
      <c r="W42" s="38">
        <v>0</v>
      </c>
      <c r="X42" s="47">
        <v>0</v>
      </c>
    </row>
    <row r="43" spans="1:24" ht="16.5" customHeight="1" x14ac:dyDescent="0.2">
      <c r="A43" s="96"/>
      <c r="B43" s="45" t="s">
        <v>17</v>
      </c>
      <c r="C43" s="38">
        <v>0</v>
      </c>
      <c r="D43" s="47">
        <v>0</v>
      </c>
      <c r="E43" s="38">
        <v>0</v>
      </c>
      <c r="F43" s="47">
        <v>0</v>
      </c>
      <c r="G43" s="38">
        <v>0</v>
      </c>
      <c r="H43" s="47">
        <v>0</v>
      </c>
      <c r="I43" s="38">
        <v>0</v>
      </c>
      <c r="J43" s="47">
        <v>0</v>
      </c>
      <c r="K43" s="38">
        <v>0</v>
      </c>
      <c r="L43" s="47">
        <v>0</v>
      </c>
      <c r="M43" s="38">
        <v>0</v>
      </c>
      <c r="N43" s="47">
        <v>0</v>
      </c>
      <c r="O43" s="38">
        <v>0</v>
      </c>
      <c r="P43" s="47">
        <v>0</v>
      </c>
      <c r="Q43" s="38">
        <v>0</v>
      </c>
      <c r="R43" s="47">
        <v>0</v>
      </c>
      <c r="S43" s="38">
        <v>0</v>
      </c>
      <c r="T43" s="47">
        <v>0</v>
      </c>
      <c r="U43" s="38">
        <v>0</v>
      </c>
      <c r="V43" s="47">
        <v>0</v>
      </c>
      <c r="W43" s="38">
        <v>0</v>
      </c>
      <c r="X43" s="47">
        <v>0</v>
      </c>
    </row>
    <row r="44" spans="1:24" ht="16.5" customHeight="1" x14ac:dyDescent="0.2">
      <c r="A44" s="96"/>
      <c r="B44" s="45" t="s">
        <v>44</v>
      </c>
      <c r="C44" s="38">
        <v>1462</v>
      </c>
      <c r="D44" s="47">
        <v>1462</v>
      </c>
      <c r="E44" s="38">
        <v>1462</v>
      </c>
      <c r="F44" s="47">
        <v>1462</v>
      </c>
      <c r="G44" s="38">
        <v>1462</v>
      </c>
      <c r="H44" s="47">
        <v>1462</v>
      </c>
      <c r="I44" s="38">
        <v>0</v>
      </c>
      <c r="J44" s="47">
        <v>0</v>
      </c>
      <c r="K44" s="38">
        <v>0</v>
      </c>
      <c r="L44" s="47">
        <v>0</v>
      </c>
      <c r="M44" s="38">
        <v>0</v>
      </c>
      <c r="N44" s="47">
        <v>0</v>
      </c>
      <c r="O44" s="38">
        <v>0</v>
      </c>
      <c r="P44" s="47">
        <v>0</v>
      </c>
      <c r="Q44" s="38">
        <v>0</v>
      </c>
      <c r="R44" s="47">
        <v>0</v>
      </c>
      <c r="S44" s="38">
        <v>0</v>
      </c>
      <c r="T44" s="47">
        <v>0</v>
      </c>
      <c r="U44" s="38">
        <v>0</v>
      </c>
      <c r="V44" s="47">
        <v>0</v>
      </c>
      <c r="W44" s="38">
        <v>0</v>
      </c>
      <c r="X44" s="47">
        <v>0</v>
      </c>
    </row>
    <row r="45" spans="1:24" ht="16.5" customHeight="1" x14ac:dyDescent="0.2">
      <c r="A45" s="96"/>
      <c r="B45" s="45" t="s">
        <v>56</v>
      </c>
      <c r="C45" s="38">
        <v>1527</v>
      </c>
      <c r="D45" s="47">
        <v>1503</v>
      </c>
      <c r="E45" s="38">
        <v>1503</v>
      </c>
      <c r="F45" s="47">
        <v>1263</v>
      </c>
      <c r="G45" s="38">
        <v>1263</v>
      </c>
      <c r="H45" s="47">
        <v>1263</v>
      </c>
      <c r="I45" s="38">
        <v>1263</v>
      </c>
      <c r="J45" s="47">
        <v>1263</v>
      </c>
      <c r="K45" s="38">
        <v>1263</v>
      </c>
      <c r="L45" s="47">
        <v>1263</v>
      </c>
      <c r="M45" s="38">
        <v>1263</v>
      </c>
      <c r="N45" s="47">
        <v>1263</v>
      </c>
      <c r="O45" s="38">
        <v>1263</v>
      </c>
      <c r="P45" s="47">
        <v>1263</v>
      </c>
      <c r="Q45" s="38">
        <v>1263</v>
      </c>
      <c r="R45" s="47">
        <v>1263</v>
      </c>
      <c r="S45" s="38">
        <v>1263</v>
      </c>
      <c r="T45" s="47">
        <v>1263</v>
      </c>
      <c r="U45" s="38">
        <v>1263</v>
      </c>
      <c r="V45" s="47">
        <v>1263</v>
      </c>
      <c r="W45" s="38">
        <v>1263</v>
      </c>
      <c r="X45" s="47">
        <v>1263</v>
      </c>
    </row>
    <row r="46" spans="1:24" ht="16.5" customHeight="1" x14ac:dyDescent="0.2">
      <c r="A46" s="96"/>
      <c r="B46" s="45" t="s">
        <v>18</v>
      </c>
      <c r="C46" s="38">
        <v>2051</v>
      </c>
      <c r="D46" s="47">
        <v>2393.33244565</v>
      </c>
      <c r="E46" s="38">
        <v>2393.33244565</v>
      </c>
      <c r="F46" s="47">
        <v>2393.33244565</v>
      </c>
      <c r="G46" s="38">
        <v>2393.33244565</v>
      </c>
      <c r="H46" s="47">
        <v>2393.33244565</v>
      </c>
      <c r="I46" s="38">
        <v>2393.33244565</v>
      </c>
      <c r="J46" s="47">
        <v>2393.33244565</v>
      </c>
      <c r="K46" s="38">
        <v>2393.33244565</v>
      </c>
      <c r="L46" s="47">
        <v>2393.33244565</v>
      </c>
      <c r="M46" s="38">
        <v>2391.94775523</v>
      </c>
      <c r="N46" s="47">
        <v>2391.94775523</v>
      </c>
      <c r="O46" s="38">
        <v>2558.0782573199999</v>
      </c>
      <c r="P46" s="47">
        <v>2575.81179561</v>
      </c>
      <c r="Q46" s="38">
        <v>2575.81179561</v>
      </c>
      <c r="R46" s="47">
        <v>2820.8742738000001</v>
      </c>
      <c r="S46" s="38">
        <v>3131.0235191900001</v>
      </c>
      <c r="T46" s="47">
        <v>3365.5433471199999</v>
      </c>
      <c r="U46" s="38">
        <v>3365.5433471199999</v>
      </c>
      <c r="V46" s="47">
        <v>3365.5433471199999</v>
      </c>
      <c r="W46" s="38">
        <v>3365.5433471199999</v>
      </c>
      <c r="X46" s="47">
        <v>3365.5433471199999</v>
      </c>
    </row>
    <row r="47" spans="1:24" ht="16.5" customHeight="1" x14ac:dyDescent="0.2">
      <c r="A47" s="96"/>
      <c r="B47" s="45" t="s">
        <v>57</v>
      </c>
      <c r="C47" s="38">
        <v>220</v>
      </c>
      <c r="D47" s="47">
        <v>676.69140176999997</v>
      </c>
      <c r="E47" s="38">
        <v>676.69140176999997</v>
      </c>
      <c r="F47" s="47">
        <v>676.69140176999997</v>
      </c>
      <c r="G47" s="38">
        <v>676.69140176999997</v>
      </c>
      <c r="H47" s="47">
        <v>676.69140176999997</v>
      </c>
      <c r="I47" s="38">
        <v>1222.03374895</v>
      </c>
      <c r="J47" s="47">
        <v>1481.4646389099998</v>
      </c>
      <c r="K47" s="38">
        <v>2149.1321932600003</v>
      </c>
      <c r="L47" s="47">
        <v>2979.9832011799999</v>
      </c>
      <c r="M47" s="38">
        <v>3090.34782834</v>
      </c>
      <c r="N47" s="47">
        <v>3194.8950349899997</v>
      </c>
      <c r="O47" s="38">
        <v>3226.71842844</v>
      </c>
      <c r="P47" s="47">
        <v>3245.2967460499999</v>
      </c>
      <c r="Q47" s="38">
        <v>3245.2967460499999</v>
      </c>
      <c r="R47" s="47">
        <v>3245.2967460499999</v>
      </c>
      <c r="S47" s="38">
        <v>3245.2967460499999</v>
      </c>
      <c r="T47" s="47">
        <v>3343.0398655600002</v>
      </c>
      <c r="U47" s="38">
        <v>4070</v>
      </c>
      <c r="V47" s="47">
        <v>4070</v>
      </c>
      <c r="W47" s="38">
        <v>4070</v>
      </c>
      <c r="X47" s="47">
        <v>4070</v>
      </c>
    </row>
    <row r="48" spans="1:24" ht="16.5" customHeight="1" x14ac:dyDescent="0.2">
      <c r="A48" s="96"/>
      <c r="B48" s="45" t="s">
        <v>58</v>
      </c>
      <c r="C48" s="38">
        <v>100</v>
      </c>
      <c r="D48" s="47">
        <v>100</v>
      </c>
      <c r="E48" s="38">
        <v>100</v>
      </c>
      <c r="F48" s="47">
        <v>100</v>
      </c>
      <c r="G48" s="38">
        <v>100</v>
      </c>
      <c r="H48" s="47">
        <v>100</v>
      </c>
      <c r="I48" s="38">
        <v>748.66144299999996</v>
      </c>
      <c r="J48" s="47">
        <v>834.78316500000005</v>
      </c>
      <c r="K48" s="38">
        <v>1175.590477</v>
      </c>
      <c r="L48" s="47">
        <v>1804.6480750000001</v>
      </c>
      <c r="M48" s="38">
        <v>1807.5093420000001</v>
      </c>
      <c r="N48" s="47">
        <v>1839.0889139999999</v>
      </c>
      <c r="O48" s="38">
        <v>1839.0889139999999</v>
      </c>
      <c r="P48" s="47">
        <v>1839.0889139999999</v>
      </c>
      <c r="Q48" s="38">
        <v>1839.0889139999999</v>
      </c>
      <c r="R48" s="47">
        <v>1839.0889139999999</v>
      </c>
      <c r="S48" s="38">
        <v>1839.0889139999999</v>
      </c>
      <c r="T48" s="47">
        <v>1839.0889139999999</v>
      </c>
      <c r="U48" s="38">
        <v>2146.1217750000001</v>
      </c>
      <c r="V48" s="47">
        <v>2146.1217750000001</v>
      </c>
      <c r="W48" s="38">
        <v>2146.1217750000001</v>
      </c>
      <c r="X48" s="47">
        <v>2146.1217750000001</v>
      </c>
    </row>
    <row r="49" spans="1:24" ht="16.5" customHeight="1" x14ac:dyDescent="0.2">
      <c r="A49" s="96"/>
      <c r="B49" s="45" t="s">
        <v>59</v>
      </c>
      <c r="C49" s="38">
        <v>0</v>
      </c>
      <c r="D49" s="47">
        <v>0</v>
      </c>
      <c r="E49" s="38">
        <v>0</v>
      </c>
      <c r="F49" s="47">
        <v>0</v>
      </c>
      <c r="G49" s="38">
        <v>0</v>
      </c>
      <c r="H49" s="47">
        <v>0</v>
      </c>
      <c r="I49" s="38">
        <v>0</v>
      </c>
      <c r="J49" s="47">
        <v>0</v>
      </c>
      <c r="K49" s="38">
        <v>0</v>
      </c>
      <c r="L49" s="47">
        <v>0</v>
      </c>
      <c r="M49" s="38">
        <v>0</v>
      </c>
      <c r="N49" s="47">
        <v>0</v>
      </c>
      <c r="O49" s="38">
        <v>0</v>
      </c>
      <c r="P49" s="47">
        <v>0</v>
      </c>
      <c r="Q49" s="38">
        <v>0</v>
      </c>
      <c r="R49" s="47">
        <v>0</v>
      </c>
      <c r="S49" s="38">
        <v>100</v>
      </c>
      <c r="T49" s="47">
        <v>100</v>
      </c>
      <c r="U49" s="38">
        <v>100</v>
      </c>
      <c r="V49" s="47">
        <v>100</v>
      </c>
      <c r="W49" s="38">
        <v>100</v>
      </c>
      <c r="X49" s="47">
        <v>100</v>
      </c>
    </row>
    <row r="50" spans="1:24" ht="16.5" customHeight="1" x14ac:dyDescent="0.2">
      <c r="A50" s="96"/>
      <c r="B50" s="45" t="s">
        <v>60</v>
      </c>
      <c r="C50" s="38">
        <v>24.23</v>
      </c>
      <c r="D50" s="47">
        <v>46.9</v>
      </c>
      <c r="E50" s="38">
        <v>77.290000000000006</v>
      </c>
      <c r="F50" s="47">
        <v>107.66</v>
      </c>
      <c r="G50" s="38">
        <v>137.99</v>
      </c>
      <c r="H50" s="47">
        <v>168.29</v>
      </c>
      <c r="I50" s="38">
        <v>199.68</v>
      </c>
      <c r="J50" s="47">
        <v>231.03</v>
      </c>
      <c r="K50" s="38">
        <v>262.33999999999997</v>
      </c>
      <c r="L50" s="47">
        <v>293.61</v>
      </c>
      <c r="M50" s="38">
        <v>324.91000000000003</v>
      </c>
      <c r="N50" s="47">
        <v>356.26</v>
      </c>
      <c r="O50" s="38">
        <v>386.57</v>
      </c>
      <c r="P50" s="47">
        <v>414.76</v>
      </c>
      <c r="Q50" s="38">
        <v>440.84</v>
      </c>
      <c r="R50" s="47">
        <v>461.52</v>
      </c>
      <c r="S50" s="38">
        <v>480.12</v>
      </c>
      <c r="T50" s="47">
        <v>498.84</v>
      </c>
      <c r="U50" s="38">
        <v>516.02</v>
      </c>
      <c r="V50" s="47">
        <v>533.27</v>
      </c>
      <c r="W50" s="38">
        <v>550.45000000000005</v>
      </c>
      <c r="X50" s="47">
        <v>567.74</v>
      </c>
    </row>
    <row r="51" spans="1:24" ht="16.5" customHeight="1" x14ac:dyDescent="0.2">
      <c r="A51" s="96"/>
      <c r="B51" s="45" t="s">
        <v>41</v>
      </c>
      <c r="C51" s="38">
        <v>965</v>
      </c>
      <c r="D51" s="47">
        <v>1037</v>
      </c>
      <c r="E51" s="38">
        <v>1110</v>
      </c>
      <c r="F51" s="47">
        <v>1183</v>
      </c>
      <c r="G51" s="38">
        <v>1255</v>
      </c>
      <c r="H51" s="47">
        <v>1330</v>
      </c>
      <c r="I51" s="38">
        <v>1404</v>
      </c>
      <c r="J51" s="47">
        <v>1477</v>
      </c>
      <c r="K51" s="38">
        <v>1551</v>
      </c>
      <c r="L51" s="47">
        <v>1624</v>
      </c>
      <c r="M51" s="38">
        <v>1697</v>
      </c>
      <c r="N51" s="47">
        <v>1769</v>
      </c>
      <c r="O51" s="38">
        <v>1839</v>
      </c>
      <c r="P51" s="47">
        <v>1906</v>
      </c>
      <c r="Q51" s="38">
        <v>1969</v>
      </c>
      <c r="R51" s="47">
        <v>2029</v>
      </c>
      <c r="S51" s="38">
        <v>2086</v>
      </c>
      <c r="T51" s="47">
        <v>2140</v>
      </c>
      <c r="U51" s="38">
        <v>2193</v>
      </c>
      <c r="V51" s="47">
        <v>2242</v>
      </c>
      <c r="W51" s="38">
        <v>2289</v>
      </c>
      <c r="X51" s="47">
        <v>2329</v>
      </c>
    </row>
    <row r="52" spans="1:24" ht="16.5" customHeight="1" x14ac:dyDescent="0.2">
      <c r="A52" s="97" t="s">
        <v>37</v>
      </c>
      <c r="B52" s="37" t="s">
        <v>54</v>
      </c>
      <c r="C52" s="49">
        <v>0</v>
      </c>
      <c r="D52" s="42">
        <v>0</v>
      </c>
      <c r="E52" s="49">
        <v>0</v>
      </c>
      <c r="F52" s="42">
        <v>0</v>
      </c>
      <c r="G52" s="49">
        <v>0</v>
      </c>
      <c r="H52" s="42">
        <v>0</v>
      </c>
      <c r="I52" s="49">
        <v>0</v>
      </c>
      <c r="J52" s="42">
        <v>0</v>
      </c>
      <c r="K52" s="49">
        <v>0</v>
      </c>
      <c r="L52" s="42">
        <v>0</v>
      </c>
      <c r="M52" s="49">
        <v>0</v>
      </c>
      <c r="N52" s="42">
        <v>0</v>
      </c>
      <c r="O52" s="49">
        <v>0</v>
      </c>
      <c r="P52" s="42">
        <v>0</v>
      </c>
      <c r="Q52" s="49">
        <v>0</v>
      </c>
      <c r="R52" s="42">
        <v>0</v>
      </c>
      <c r="S52" s="49">
        <v>0</v>
      </c>
      <c r="T52" s="42">
        <v>0</v>
      </c>
      <c r="U52" s="49">
        <v>0</v>
      </c>
      <c r="V52" s="42">
        <v>0</v>
      </c>
      <c r="W52" s="49">
        <v>0</v>
      </c>
      <c r="X52" s="42">
        <v>0</v>
      </c>
    </row>
    <row r="53" spans="1:24" ht="16.5" customHeight="1" x14ac:dyDescent="0.2">
      <c r="A53" s="97"/>
      <c r="B53" s="37" t="s">
        <v>55</v>
      </c>
      <c r="C53" s="49">
        <v>4808</v>
      </c>
      <c r="D53" s="42">
        <v>4808</v>
      </c>
      <c r="E53" s="49">
        <v>4808</v>
      </c>
      <c r="F53" s="42">
        <v>4808</v>
      </c>
      <c r="G53" s="49">
        <v>4808</v>
      </c>
      <c r="H53" s="42">
        <v>4808</v>
      </c>
      <c r="I53" s="49">
        <v>4808</v>
      </c>
      <c r="J53" s="42">
        <v>4808</v>
      </c>
      <c r="K53" s="49">
        <v>4808</v>
      </c>
      <c r="L53" s="42">
        <v>3718</v>
      </c>
      <c r="M53" s="49">
        <v>3718</v>
      </c>
      <c r="N53" s="42">
        <v>3718</v>
      </c>
      <c r="O53" s="49">
        <v>3718</v>
      </c>
      <c r="P53" s="42">
        <v>3718</v>
      </c>
      <c r="Q53" s="49">
        <v>2190</v>
      </c>
      <c r="R53" s="42">
        <v>2190</v>
      </c>
      <c r="S53" s="49">
        <v>2190</v>
      </c>
      <c r="T53" s="42">
        <v>2190</v>
      </c>
      <c r="U53" s="49">
        <v>2190</v>
      </c>
      <c r="V53" s="42">
        <v>2190</v>
      </c>
      <c r="W53" s="49">
        <v>2190</v>
      </c>
      <c r="X53" s="42">
        <v>2190</v>
      </c>
    </row>
    <row r="54" spans="1:24" ht="16.5" customHeight="1" x14ac:dyDescent="0.2">
      <c r="A54" s="97"/>
      <c r="B54" s="37" t="s">
        <v>17</v>
      </c>
      <c r="C54" s="49">
        <v>2219</v>
      </c>
      <c r="D54" s="42">
        <v>2219</v>
      </c>
      <c r="E54" s="49">
        <v>2219</v>
      </c>
      <c r="F54" s="42">
        <v>2219</v>
      </c>
      <c r="G54" s="49">
        <v>2219</v>
      </c>
      <c r="H54" s="42">
        <v>2219</v>
      </c>
      <c r="I54" s="49">
        <v>2219</v>
      </c>
      <c r="J54" s="42">
        <v>2219</v>
      </c>
      <c r="K54" s="49">
        <v>2219</v>
      </c>
      <c r="L54" s="42">
        <v>2219</v>
      </c>
      <c r="M54" s="49">
        <v>2219</v>
      </c>
      <c r="N54" s="42">
        <v>2219</v>
      </c>
      <c r="O54" s="49">
        <v>2219</v>
      </c>
      <c r="P54" s="42">
        <v>2219</v>
      </c>
      <c r="Q54" s="49">
        <v>2219</v>
      </c>
      <c r="R54" s="42">
        <v>2219</v>
      </c>
      <c r="S54" s="49">
        <v>2219</v>
      </c>
      <c r="T54" s="42">
        <v>2219</v>
      </c>
      <c r="U54" s="49">
        <v>2219</v>
      </c>
      <c r="V54" s="42">
        <v>2219</v>
      </c>
      <c r="W54" s="49">
        <v>2219</v>
      </c>
      <c r="X54" s="42">
        <v>2219</v>
      </c>
    </row>
    <row r="55" spans="1:24" ht="16.5" customHeight="1" x14ac:dyDescent="0.2">
      <c r="A55" s="97"/>
      <c r="B55" s="37" t="s">
        <v>44</v>
      </c>
      <c r="C55" s="49">
        <v>510</v>
      </c>
      <c r="D55" s="42">
        <v>510</v>
      </c>
      <c r="E55" s="49">
        <v>510</v>
      </c>
      <c r="F55" s="42">
        <v>510</v>
      </c>
      <c r="G55" s="49">
        <v>510</v>
      </c>
      <c r="H55" s="42">
        <v>510</v>
      </c>
      <c r="I55" s="49">
        <v>510</v>
      </c>
      <c r="J55" s="42">
        <v>510</v>
      </c>
      <c r="K55" s="49">
        <v>510</v>
      </c>
      <c r="L55" s="42">
        <v>510</v>
      </c>
      <c r="M55" s="49">
        <v>510</v>
      </c>
      <c r="N55" s="42">
        <v>510</v>
      </c>
      <c r="O55" s="49">
        <v>510</v>
      </c>
      <c r="P55" s="42">
        <v>0</v>
      </c>
      <c r="Q55" s="49">
        <v>0</v>
      </c>
      <c r="R55" s="42">
        <v>0</v>
      </c>
      <c r="S55" s="49">
        <v>0</v>
      </c>
      <c r="T55" s="42">
        <v>400</v>
      </c>
      <c r="U55" s="49">
        <v>400</v>
      </c>
      <c r="V55" s="42">
        <v>400</v>
      </c>
      <c r="W55" s="49">
        <v>400</v>
      </c>
      <c r="X55" s="42">
        <v>400</v>
      </c>
    </row>
    <row r="56" spans="1:24" ht="16.5" customHeight="1" x14ac:dyDescent="0.2">
      <c r="A56" s="97"/>
      <c r="B56" s="37" t="s">
        <v>56</v>
      </c>
      <c r="C56" s="49">
        <v>1908</v>
      </c>
      <c r="D56" s="42">
        <v>1908</v>
      </c>
      <c r="E56" s="49">
        <v>2077.1400330000001</v>
      </c>
      <c r="F56" s="42">
        <v>2077.1400330000001</v>
      </c>
      <c r="G56" s="49">
        <v>2077.1400330000001</v>
      </c>
      <c r="H56" s="42">
        <v>2077.1400330000001</v>
      </c>
      <c r="I56" s="49">
        <v>2077.1400330000001</v>
      </c>
      <c r="J56" s="42">
        <v>2077.1400330000001</v>
      </c>
      <c r="K56" s="49">
        <v>2077.1400330000001</v>
      </c>
      <c r="L56" s="42">
        <v>2077.1400330000001</v>
      </c>
      <c r="M56" s="49">
        <v>2030.763537</v>
      </c>
      <c r="N56" s="42">
        <v>2030.763537</v>
      </c>
      <c r="O56" s="49">
        <v>2030.763537</v>
      </c>
      <c r="P56" s="42">
        <v>2030.763537</v>
      </c>
      <c r="Q56" s="49">
        <v>2030.763537</v>
      </c>
      <c r="R56" s="42">
        <v>2030.763537</v>
      </c>
      <c r="S56" s="49">
        <v>2030.763537</v>
      </c>
      <c r="T56" s="42">
        <v>2138.7240179999999</v>
      </c>
      <c r="U56" s="49">
        <v>2328.5073480000001</v>
      </c>
      <c r="V56" s="42">
        <v>2328.5073480000001</v>
      </c>
      <c r="W56" s="49">
        <v>2328.5073480000001</v>
      </c>
      <c r="X56" s="42">
        <v>2328.5073480000001</v>
      </c>
    </row>
    <row r="57" spans="1:24" ht="16.5" customHeight="1" x14ac:dyDescent="0.2">
      <c r="A57" s="97"/>
      <c r="B57" s="37" t="s">
        <v>18</v>
      </c>
      <c r="C57" s="49">
        <v>1941.2</v>
      </c>
      <c r="D57" s="42">
        <v>3583.2</v>
      </c>
      <c r="E57" s="49">
        <v>3583.2</v>
      </c>
      <c r="F57" s="42">
        <v>3983.2</v>
      </c>
      <c r="G57" s="49">
        <v>4383.2</v>
      </c>
      <c r="H57" s="42">
        <v>5276.2</v>
      </c>
      <c r="I57" s="49">
        <v>5676.2</v>
      </c>
      <c r="J57" s="42">
        <v>5676.2</v>
      </c>
      <c r="K57" s="49">
        <v>5676.2</v>
      </c>
      <c r="L57" s="42">
        <v>5676.2</v>
      </c>
      <c r="M57" s="49">
        <v>5903.2616477000001</v>
      </c>
      <c r="N57" s="42">
        <v>5950.3477084599999</v>
      </c>
      <c r="O57" s="49">
        <v>5995.81555587</v>
      </c>
      <c r="P57" s="42">
        <v>6273.1999999899999</v>
      </c>
      <c r="Q57" s="49">
        <v>6273.1999999899999</v>
      </c>
      <c r="R57" s="42">
        <v>6273.1999999899999</v>
      </c>
      <c r="S57" s="49">
        <v>6273.1999999899999</v>
      </c>
      <c r="T57" s="42">
        <v>7064.76448265</v>
      </c>
      <c r="U57" s="49">
        <v>7235.1999999899999</v>
      </c>
      <c r="V57" s="42">
        <v>7235.1999999899999</v>
      </c>
      <c r="W57" s="49">
        <v>7235.1999999899999</v>
      </c>
      <c r="X57" s="42">
        <v>7235.1999999899999</v>
      </c>
    </row>
    <row r="58" spans="1:24" ht="16.5" customHeight="1" x14ac:dyDescent="0.2">
      <c r="A58" s="97"/>
      <c r="B58" s="37" t="s">
        <v>57</v>
      </c>
      <c r="C58" s="49">
        <v>424</v>
      </c>
      <c r="D58" s="42">
        <v>424</v>
      </c>
      <c r="E58" s="49">
        <v>424</v>
      </c>
      <c r="F58" s="42">
        <v>520</v>
      </c>
      <c r="G58" s="49">
        <v>680</v>
      </c>
      <c r="H58" s="42">
        <v>1264</v>
      </c>
      <c r="I58" s="49">
        <v>1424</v>
      </c>
      <c r="J58" s="42">
        <v>1424</v>
      </c>
      <c r="K58" s="49">
        <v>1424</v>
      </c>
      <c r="L58" s="42">
        <v>1424</v>
      </c>
      <c r="M58" s="49">
        <v>1424</v>
      </c>
      <c r="N58" s="42">
        <v>1424</v>
      </c>
      <c r="O58" s="49">
        <v>1424</v>
      </c>
      <c r="P58" s="42">
        <v>2062.3400165000003</v>
      </c>
      <c r="Q58" s="49">
        <v>3424</v>
      </c>
      <c r="R58" s="42">
        <v>3424</v>
      </c>
      <c r="S58" s="49">
        <v>3424</v>
      </c>
      <c r="T58" s="42">
        <v>3424</v>
      </c>
      <c r="U58" s="49">
        <v>3424</v>
      </c>
      <c r="V58" s="42">
        <v>3424</v>
      </c>
      <c r="W58" s="49">
        <v>3424</v>
      </c>
      <c r="X58" s="42">
        <v>3424</v>
      </c>
    </row>
    <row r="59" spans="1:24" ht="16.5" customHeight="1" x14ac:dyDescent="0.2">
      <c r="A59" s="97"/>
      <c r="B59" s="37" t="s">
        <v>58</v>
      </c>
      <c r="C59" s="49">
        <v>40</v>
      </c>
      <c r="D59" s="42">
        <v>60</v>
      </c>
      <c r="E59" s="49">
        <v>60</v>
      </c>
      <c r="F59" s="42">
        <v>60</v>
      </c>
      <c r="G59" s="49">
        <v>60</v>
      </c>
      <c r="H59" s="42">
        <v>60</v>
      </c>
      <c r="I59" s="49">
        <v>60</v>
      </c>
      <c r="J59" s="42">
        <v>60</v>
      </c>
      <c r="K59" s="49">
        <v>60</v>
      </c>
      <c r="L59" s="42">
        <v>240.90707800000001</v>
      </c>
      <c r="M59" s="49">
        <v>250.440268</v>
      </c>
      <c r="N59" s="42">
        <v>401.269678</v>
      </c>
      <c r="O59" s="49">
        <v>401.269678</v>
      </c>
      <c r="P59" s="42">
        <v>916.43903399999999</v>
      </c>
      <c r="Q59" s="49">
        <v>2323.8070269999998</v>
      </c>
      <c r="R59" s="42">
        <v>2323.8070269999998</v>
      </c>
      <c r="S59" s="49">
        <v>2323.8070269999998</v>
      </c>
      <c r="T59" s="42">
        <v>2323.8070269999998</v>
      </c>
      <c r="U59" s="49">
        <v>2323.8070269999998</v>
      </c>
      <c r="V59" s="42">
        <v>2323.8070269999998</v>
      </c>
      <c r="W59" s="49">
        <v>2323.8070269999998</v>
      </c>
      <c r="X59" s="42">
        <v>2323.8070269999998</v>
      </c>
    </row>
    <row r="60" spans="1:24" ht="16.5" customHeight="1" x14ac:dyDescent="0.2">
      <c r="A60" s="97"/>
      <c r="B60" s="37" t="s">
        <v>59</v>
      </c>
      <c r="C60" s="49">
        <v>0</v>
      </c>
      <c r="D60" s="42">
        <v>0</v>
      </c>
      <c r="E60" s="49">
        <v>0</v>
      </c>
      <c r="F60" s="42">
        <v>0</v>
      </c>
      <c r="G60" s="49">
        <v>0</v>
      </c>
      <c r="H60" s="42">
        <v>0</v>
      </c>
      <c r="I60" s="49">
        <v>0</v>
      </c>
      <c r="J60" s="42">
        <v>0</v>
      </c>
      <c r="K60" s="49">
        <v>0</v>
      </c>
      <c r="L60" s="42">
        <v>0</v>
      </c>
      <c r="M60" s="49">
        <v>71.567431999999997</v>
      </c>
      <c r="N60" s="42">
        <v>100</v>
      </c>
      <c r="O60" s="49">
        <v>100</v>
      </c>
      <c r="P60" s="42">
        <v>100</v>
      </c>
      <c r="Q60" s="49">
        <v>100</v>
      </c>
      <c r="R60" s="42">
        <v>100</v>
      </c>
      <c r="S60" s="49">
        <v>100</v>
      </c>
      <c r="T60" s="42">
        <v>100</v>
      </c>
      <c r="U60" s="49">
        <v>100</v>
      </c>
      <c r="V60" s="42">
        <v>100</v>
      </c>
      <c r="W60" s="49">
        <v>100</v>
      </c>
      <c r="X60" s="42">
        <v>100</v>
      </c>
    </row>
    <row r="61" spans="1:24" ht="16.5" customHeight="1" x14ac:dyDescent="0.2">
      <c r="A61" s="97"/>
      <c r="B61" s="37" t="s">
        <v>60</v>
      </c>
      <c r="C61" s="49">
        <v>78.650000000000006</v>
      </c>
      <c r="D61" s="42">
        <v>155.44</v>
      </c>
      <c r="E61" s="49">
        <v>249</v>
      </c>
      <c r="F61" s="42">
        <v>322.11</v>
      </c>
      <c r="G61" s="49">
        <v>388.15</v>
      </c>
      <c r="H61" s="42">
        <v>449.18</v>
      </c>
      <c r="I61" s="49">
        <v>510.13</v>
      </c>
      <c r="J61" s="42">
        <v>568.84</v>
      </c>
      <c r="K61" s="49">
        <v>626.16</v>
      </c>
      <c r="L61" s="42">
        <v>680.88</v>
      </c>
      <c r="M61" s="49">
        <v>734.48</v>
      </c>
      <c r="N61" s="42">
        <v>788.43</v>
      </c>
      <c r="O61" s="49">
        <v>842.78</v>
      </c>
      <c r="P61" s="42">
        <v>897.59</v>
      </c>
      <c r="Q61" s="49">
        <v>951.52</v>
      </c>
      <c r="R61" s="42">
        <v>1001.65</v>
      </c>
      <c r="S61" s="49">
        <v>1048.46</v>
      </c>
      <c r="T61" s="42">
        <v>1092.3599999999999</v>
      </c>
      <c r="U61" s="49">
        <v>1132.96</v>
      </c>
      <c r="V61" s="42">
        <v>1171.04</v>
      </c>
      <c r="W61" s="49">
        <v>1206.1600000000001</v>
      </c>
      <c r="X61" s="42">
        <v>1239.3800000000001</v>
      </c>
    </row>
    <row r="62" spans="1:24" ht="16.5" customHeight="1" x14ac:dyDescent="0.2">
      <c r="A62" s="97"/>
      <c r="B62" s="37" t="s">
        <v>41</v>
      </c>
      <c r="C62" s="49">
        <v>1626</v>
      </c>
      <c r="D62" s="42">
        <v>1864</v>
      </c>
      <c r="E62" s="49">
        <v>2090</v>
      </c>
      <c r="F62" s="42">
        <v>2307</v>
      </c>
      <c r="G62" s="49">
        <v>2517</v>
      </c>
      <c r="H62" s="42">
        <v>2724</v>
      </c>
      <c r="I62" s="49">
        <v>2928</v>
      </c>
      <c r="J62" s="42">
        <v>3120</v>
      </c>
      <c r="K62" s="49">
        <v>3300</v>
      </c>
      <c r="L62" s="42">
        <v>3462</v>
      </c>
      <c r="M62" s="49">
        <v>3606</v>
      </c>
      <c r="N62" s="42">
        <v>3747</v>
      </c>
      <c r="O62" s="49">
        <v>3881</v>
      </c>
      <c r="P62" s="42">
        <v>3998</v>
      </c>
      <c r="Q62" s="49">
        <v>4106</v>
      </c>
      <c r="R62" s="42">
        <v>4207</v>
      </c>
      <c r="S62" s="49">
        <v>4300</v>
      </c>
      <c r="T62" s="42">
        <v>4386</v>
      </c>
      <c r="U62" s="49">
        <v>4465</v>
      </c>
      <c r="V62" s="42">
        <v>4537</v>
      </c>
      <c r="W62" s="49">
        <v>4606</v>
      </c>
      <c r="X62" s="42">
        <v>4671</v>
      </c>
    </row>
    <row r="63" spans="1:24" ht="16.5" customHeight="1" x14ac:dyDescent="0.2">
      <c r="A63" s="96" t="s">
        <v>39</v>
      </c>
      <c r="B63" s="45" t="s">
        <v>54</v>
      </c>
      <c r="C63" s="38">
        <v>0</v>
      </c>
      <c r="D63" s="47">
        <v>0</v>
      </c>
      <c r="E63" s="38">
        <v>0</v>
      </c>
      <c r="F63" s="47">
        <v>0</v>
      </c>
      <c r="G63" s="38">
        <v>0</v>
      </c>
      <c r="H63" s="47">
        <v>0</v>
      </c>
      <c r="I63" s="38">
        <v>0</v>
      </c>
      <c r="J63" s="47">
        <v>0</v>
      </c>
      <c r="K63" s="38">
        <v>0</v>
      </c>
      <c r="L63" s="47">
        <v>0</v>
      </c>
      <c r="M63" s="38">
        <v>0</v>
      </c>
      <c r="N63" s="47">
        <v>0</v>
      </c>
      <c r="O63" s="38">
        <v>0</v>
      </c>
      <c r="P63" s="47">
        <v>0</v>
      </c>
      <c r="Q63" s="38">
        <v>0</v>
      </c>
      <c r="R63" s="47">
        <v>0</v>
      </c>
      <c r="S63" s="38">
        <v>0</v>
      </c>
      <c r="T63" s="47">
        <v>0</v>
      </c>
      <c r="U63" s="38">
        <v>0</v>
      </c>
      <c r="V63" s="47">
        <v>0</v>
      </c>
      <c r="W63" s="38">
        <v>0</v>
      </c>
      <c r="X63" s="47">
        <v>0</v>
      </c>
    </row>
    <row r="64" spans="1:24" ht="16.5" customHeight="1" x14ac:dyDescent="0.2">
      <c r="A64" s="96"/>
      <c r="B64" s="45" t="s">
        <v>55</v>
      </c>
      <c r="C64" s="38">
        <v>0</v>
      </c>
      <c r="D64" s="47">
        <v>0</v>
      </c>
      <c r="E64" s="38">
        <v>0</v>
      </c>
      <c r="F64" s="47">
        <v>0</v>
      </c>
      <c r="G64" s="38">
        <v>0</v>
      </c>
      <c r="H64" s="47">
        <v>0</v>
      </c>
      <c r="I64" s="38">
        <v>0</v>
      </c>
      <c r="J64" s="47">
        <v>0</v>
      </c>
      <c r="K64" s="38">
        <v>0</v>
      </c>
      <c r="L64" s="47">
        <v>0</v>
      </c>
      <c r="M64" s="38">
        <v>0</v>
      </c>
      <c r="N64" s="47">
        <v>0</v>
      </c>
      <c r="O64" s="38">
        <v>0</v>
      </c>
      <c r="P64" s="47">
        <v>0</v>
      </c>
      <c r="Q64" s="38">
        <v>0</v>
      </c>
      <c r="R64" s="47">
        <v>0</v>
      </c>
      <c r="S64" s="38">
        <v>0</v>
      </c>
      <c r="T64" s="47">
        <v>0</v>
      </c>
      <c r="U64" s="38">
        <v>0</v>
      </c>
      <c r="V64" s="47">
        <v>0</v>
      </c>
      <c r="W64" s="38">
        <v>0</v>
      </c>
      <c r="X64" s="47">
        <v>0</v>
      </c>
    </row>
    <row r="65" spans="1:24" ht="16.5" customHeight="1" x14ac:dyDescent="0.2">
      <c r="A65" s="96"/>
      <c r="B65" s="45" t="s">
        <v>17</v>
      </c>
      <c r="C65" s="38">
        <v>2170.1</v>
      </c>
      <c r="D65" s="47">
        <v>2170.1</v>
      </c>
      <c r="E65" s="38">
        <v>2170.1</v>
      </c>
      <c r="F65" s="47">
        <v>2170.1</v>
      </c>
      <c r="G65" s="38">
        <v>2170.1</v>
      </c>
      <c r="H65" s="47">
        <v>2170.1</v>
      </c>
      <c r="I65" s="38">
        <v>2170.1</v>
      </c>
      <c r="J65" s="47">
        <v>2170.1</v>
      </c>
      <c r="K65" s="38">
        <v>2170.1</v>
      </c>
      <c r="L65" s="47">
        <v>2170.1</v>
      </c>
      <c r="M65" s="38">
        <v>2170.1</v>
      </c>
      <c r="N65" s="47">
        <v>2170.1</v>
      </c>
      <c r="O65" s="38">
        <v>2170.1</v>
      </c>
      <c r="P65" s="47">
        <v>2170.1</v>
      </c>
      <c r="Q65" s="38">
        <v>2170.1</v>
      </c>
      <c r="R65" s="47">
        <v>2170.1</v>
      </c>
      <c r="S65" s="38">
        <v>2170.1</v>
      </c>
      <c r="T65" s="47">
        <v>2170.1</v>
      </c>
      <c r="U65" s="38">
        <v>2170.1</v>
      </c>
      <c r="V65" s="47">
        <v>2170.1</v>
      </c>
      <c r="W65" s="38">
        <v>2170.1</v>
      </c>
      <c r="X65" s="47">
        <v>2170.1</v>
      </c>
    </row>
    <row r="66" spans="1:24" ht="16.5" customHeight="1" x14ac:dyDescent="0.2">
      <c r="A66" s="96"/>
      <c r="B66" s="45" t="s">
        <v>44</v>
      </c>
      <c r="C66" s="38">
        <v>0</v>
      </c>
      <c r="D66" s="47">
        <v>0</v>
      </c>
      <c r="E66" s="38">
        <v>0</v>
      </c>
      <c r="F66" s="47">
        <v>0</v>
      </c>
      <c r="G66" s="38">
        <v>0</v>
      </c>
      <c r="H66" s="47">
        <v>0</v>
      </c>
      <c r="I66" s="38">
        <v>0</v>
      </c>
      <c r="J66" s="47">
        <v>0</v>
      </c>
      <c r="K66" s="38">
        <v>0</v>
      </c>
      <c r="L66" s="47">
        <v>0</v>
      </c>
      <c r="M66" s="38">
        <v>0</v>
      </c>
      <c r="N66" s="47">
        <v>0</v>
      </c>
      <c r="O66" s="38">
        <v>0</v>
      </c>
      <c r="P66" s="47">
        <v>0</v>
      </c>
      <c r="Q66" s="38">
        <v>0</v>
      </c>
      <c r="R66" s="47">
        <v>0</v>
      </c>
      <c r="S66" s="38">
        <v>0</v>
      </c>
      <c r="T66" s="47">
        <v>0</v>
      </c>
      <c r="U66" s="38">
        <v>0</v>
      </c>
      <c r="V66" s="47">
        <v>0</v>
      </c>
      <c r="W66" s="38">
        <v>0</v>
      </c>
      <c r="X66" s="47">
        <v>0</v>
      </c>
    </row>
    <row r="67" spans="1:24" ht="16.5" customHeight="1" x14ac:dyDescent="0.2">
      <c r="A67" s="96"/>
      <c r="B67" s="45" t="s">
        <v>56</v>
      </c>
      <c r="C67" s="38">
        <v>163</v>
      </c>
      <c r="D67" s="47">
        <v>163</v>
      </c>
      <c r="E67" s="38">
        <v>163</v>
      </c>
      <c r="F67" s="47">
        <v>163</v>
      </c>
      <c r="G67" s="38">
        <v>163</v>
      </c>
      <c r="H67" s="47">
        <v>163</v>
      </c>
      <c r="I67" s="38">
        <v>163</v>
      </c>
      <c r="J67" s="47">
        <v>163</v>
      </c>
      <c r="K67" s="38">
        <v>163</v>
      </c>
      <c r="L67" s="47">
        <v>163</v>
      </c>
      <c r="M67" s="38">
        <v>163</v>
      </c>
      <c r="N67" s="47">
        <v>163</v>
      </c>
      <c r="O67" s="38">
        <v>163</v>
      </c>
      <c r="P67" s="47">
        <v>163</v>
      </c>
      <c r="Q67" s="38">
        <v>163</v>
      </c>
      <c r="R67" s="47">
        <v>163</v>
      </c>
      <c r="S67" s="38">
        <v>163</v>
      </c>
      <c r="T67" s="47">
        <v>163</v>
      </c>
      <c r="U67" s="38">
        <v>163</v>
      </c>
      <c r="V67" s="47">
        <v>163</v>
      </c>
      <c r="W67" s="38">
        <v>163</v>
      </c>
      <c r="X67" s="47">
        <v>163</v>
      </c>
    </row>
    <row r="68" spans="1:24" ht="16.5" customHeight="1" x14ac:dyDescent="0.2">
      <c r="A68" s="96"/>
      <c r="B68" s="45" t="s">
        <v>18</v>
      </c>
      <c r="C68" s="38">
        <v>308</v>
      </c>
      <c r="D68" s="47">
        <v>308</v>
      </c>
      <c r="E68" s="38">
        <v>308</v>
      </c>
      <c r="F68" s="47">
        <v>308</v>
      </c>
      <c r="G68" s="38">
        <v>308</v>
      </c>
      <c r="H68" s="47">
        <v>308</v>
      </c>
      <c r="I68" s="38">
        <v>347.19580106000001</v>
      </c>
      <c r="J68" s="47">
        <v>536.36546973999998</v>
      </c>
      <c r="K68" s="38">
        <v>684.03267756000002</v>
      </c>
      <c r="L68" s="47">
        <v>832.58549835000008</v>
      </c>
      <c r="M68" s="38">
        <v>938.00000001000001</v>
      </c>
      <c r="N68" s="47">
        <v>938.00000001000001</v>
      </c>
      <c r="O68" s="38">
        <v>1050.82042856</v>
      </c>
      <c r="P68" s="47">
        <v>1050.82042856</v>
      </c>
      <c r="Q68" s="38">
        <v>1050.82042856</v>
      </c>
      <c r="R68" s="47">
        <v>1050.82042856</v>
      </c>
      <c r="S68" s="38">
        <v>1050.82042856</v>
      </c>
      <c r="T68" s="47">
        <v>1160.97962826</v>
      </c>
      <c r="U68" s="38">
        <v>1265.8416920100001</v>
      </c>
      <c r="V68" s="47">
        <v>1266.1892184000001</v>
      </c>
      <c r="W68" s="38">
        <v>1266.1892184000001</v>
      </c>
      <c r="X68" s="47">
        <v>1266.1892184000001</v>
      </c>
    </row>
    <row r="69" spans="1:24" ht="16.5" customHeight="1" x14ac:dyDescent="0.2">
      <c r="A69" s="96"/>
      <c r="B69" s="45" t="s">
        <v>57</v>
      </c>
      <c r="C69" s="38">
        <v>0</v>
      </c>
      <c r="D69" s="47">
        <v>0</v>
      </c>
      <c r="E69" s="38">
        <v>0</v>
      </c>
      <c r="F69" s="47">
        <v>0</v>
      </c>
      <c r="G69" s="38">
        <v>0</v>
      </c>
      <c r="H69" s="47">
        <v>0</v>
      </c>
      <c r="I69" s="38">
        <v>0</v>
      </c>
      <c r="J69" s="47">
        <v>0</v>
      </c>
      <c r="K69" s="38">
        <v>0</v>
      </c>
      <c r="L69" s="47">
        <v>0</v>
      </c>
      <c r="M69" s="38">
        <v>0</v>
      </c>
      <c r="N69" s="47">
        <v>0</v>
      </c>
      <c r="O69" s="38">
        <v>0</v>
      </c>
      <c r="P69" s="47">
        <v>0</v>
      </c>
      <c r="Q69" s="38">
        <v>0</v>
      </c>
      <c r="R69" s="47">
        <v>0</v>
      </c>
      <c r="S69" s="38">
        <v>0</v>
      </c>
      <c r="T69" s="47">
        <v>0</v>
      </c>
      <c r="U69" s="38">
        <v>0</v>
      </c>
      <c r="V69" s="47">
        <v>0</v>
      </c>
      <c r="W69" s="38">
        <v>0</v>
      </c>
      <c r="X69" s="47">
        <v>0</v>
      </c>
    </row>
    <row r="70" spans="1:24" ht="16.5" customHeight="1" x14ac:dyDescent="0.2">
      <c r="A70" s="96"/>
      <c r="B70" s="45" t="s">
        <v>58</v>
      </c>
      <c r="C70" s="38">
        <v>0</v>
      </c>
      <c r="D70" s="47">
        <v>0</v>
      </c>
      <c r="E70" s="38">
        <v>0</v>
      </c>
      <c r="F70" s="47">
        <v>0</v>
      </c>
      <c r="G70" s="38">
        <v>0</v>
      </c>
      <c r="H70" s="47">
        <v>0</v>
      </c>
      <c r="I70" s="38">
        <v>0</v>
      </c>
      <c r="J70" s="47">
        <v>0</v>
      </c>
      <c r="K70" s="38">
        <v>0</v>
      </c>
      <c r="L70" s="47">
        <v>0</v>
      </c>
      <c r="M70" s="38">
        <v>0</v>
      </c>
      <c r="N70" s="47">
        <v>0</v>
      </c>
      <c r="O70" s="38">
        <v>0</v>
      </c>
      <c r="P70" s="47">
        <v>0</v>
      </c>
      <c r="Q70" s="38">
        <v>0</v>
      </c>
      <c r="R70" s="47">
        <v>0</v>
      </c>
      <c r="S70" s="38">
        <v>0</v>
      </c>
      <c r="T70" s="47">
        <v>0</v>
      </c>
      <c r="U70" s="38">
        <v>0</v>
      </c>
      <c r="V70" s="47">
        <v>0</v>
      </c>
      <c r="W70" s="38">
        <v>0</v>
      </c>
      <c r="X70" s="47">
        <v>0</v>
      </c>
    </row>
    <row r="71" spans="1:24" ht="16.5" customHeight="1" x14ac:dyDescent="0.2">
      <c r="A71" s="96"/>
      <c r="B71" s="45" t="s">
        <v>59</v>
      </c>
      <c r="C71" s="38">
        <v>0</v>
      </c>
      <c r="D71" s="47">
        <v>0</v>
      </c>
      <c r="E71" s="38">
        <v>0</v>
      </c>
      <c r="F71" s="47">
        <v>0</v>
      </c>
      <c r="G71" s="38">
        <v>0</v>
      </c>
      <c r="H71" s="47">
        <v>0</v>
      </c>
      <c r="I71" s="38">
        <v>0</v>
      </c>
      <c r="J71" s="47">
        <v>0</v>
      </c>
      <c r="K71" s="38">
        <v>0</v>
      </c>
      <c r="L71" s="47">
        <v>0</v>
      </c>
      <c r="M71" s="38">
        <v>0</v>
      </c>
      <c r="N71" s="47">
        <v>0</v>
      </c>
      <c r="O71" s="38">
        <v>0</v>
      </c>
      <c r="P71" s="47">
        <v>0</v>
      </c>
      <c r="Q71" s="38">
        <v>0</v>
      </c>
      <c r="R71" s="47">
        <v>0</v>
      </c>
      <c r="S71" s="38">
        <v>0</v>
      </c>
      <c r="T71" s="47">
        <v>0</v>
      </c>
      <c r="U71" s="38">
        <v>0</v>
      </c>
      <c r="V71" s="47">
        <v>0</v>
      </c>
      <c r="W71" s="38">
        <v>0</v>
      </c>
      <c r="X71" s="47">
        <v>0</v>
      </c>
    </row>
    <row r="72" spans="1:24" ht="16.5" customHeight="1" x14ac:dyDescent="0.2">
      <c r="A72" s="96"/>
      <c r="B72" s="45" t="s">
        <v>60</v>
      </c>
      <c r="C72" s="38">
        <v>5.78</v>
      </c>
      <c r="D72" s="47">
        <v>11.05</v>
      </c>
      <c r="E72" s="38">
        <v>17.489999999999998</v>
      </c>
      <c r="F72" s="47">
        <v>23.36</v>
      </c>
      <c r="G72" s="38">
        <v>29.72</v>
      </c>
      <c r="H72" s="47">
        <v>33.159999999999997</v>
      </c>
      <c r="I72" s="38">
        <v>35.43</v>
      </c>
      <c r="J72" s="47">
        <v>36.409999999999997</v>
      </c>
      <c r="K72" s="38">
        <v>37.369999999999997</v>
      </c>
      <c r="L72" s="47">
        <v>38.119999999999997</v>
      </c>
      <c r="M72" s="38">
        <v>38.659999999999997</v>
      </c>
      <c r="N72" s="47">
        <v>39.270000000000003</v>
      </c>
      <c r="O72" s="38">
        <v>39.909999999999997</v>
      </c>
      <c r="P72" s="47">
        <v>40.549999999999997</v>
      </c>
      <c r="Q72" s="38">
        <v>41.21</v>
      </c>
      <c r="R72" s="47">
        <v>41.88</v>
      </c>
      <c r="S72" s="38">
        <v>42.55</v>
      </c>
      <c r="T72" s="47">
        <v>43.23</v>
      </c>
      <c r="U72" s="38">
        <v>43.91</v>
      </c>
      <c r="V72" s="47">
        <v>44.59</v>
      </c>
      <c r="W72" s="38">
        <v>45.27</v>
      </c>
      <c r="X72" s="47">
        <v>45.95</v>
      </c>
    </row>
    <row r="73" spans="1:24" ht="16.5" customHeight="1" x14ac:dyDescent="0.2">
      <c r="A73" s="96"/>
      <c r="B73" s="45" t="s">
        <v>41</v>
      </c>
      <c r="C73" s="38">
        <v>150</v>
      </c>
      <c r="D73" s="47">
        <v>169</v>
      </c>
      <c r="E73" s="38">
        <v>187</v>
      </c>
      <c r="F73" s="47">
        <v>201</v>
      </c>
      <c r="G73" s="38">
        <v>210</v>
      </c>
      <c r="H73" s="47">
        <v>214</v>
      </c>
      <c r="I73" s="38">
        <v>216</v>
      </c>
      <c r="J73" s="47">
        <v>218</v>
      </c>
      <c r="K73" s="38">
        <v>219</v>
      </c>
      <c r="L73" s="47">
        <v>220</v>
      </c>
      <c r="M73" s="38">
        <v>222</v>
      </c>
      <c r="N73" s="47">
        <v>223</v>
      </c>
      <c r="O73" s="38">
        <v>224</v>
      </c>
      <c r="P73" s="47">
        <v>225</v>
      </c>
      <c r="Q73" s="38">
        <v>227</v>
      </c>
      <c r="R73" s="47">
        <v>228</v>
      </c>
      <c r="S73" s="38">
        <v>229</v>
      </c>
      <c r="T73" s="47">
        <v>231</v>
      </c>
      <c r="U73" s="38">
        <v>232</v>
      </c>
      <c r="V73" s="47">
        <v>233</v>
      </c>
      <c r="W73" s="38">
        <v>235</v>
      </c>
      <c r="X73" s="47">
        <v>236</v>
      </c>
    </row>
  </sheetData>
  <mergeCells count="6">
    <mergeCell ref="A63:A73"/>
    <mergeCell ref="A3:A14"/>
    <mergeCell ref="A19:A29"/>
    <mergeCell ref="A30:A40"/>
    <mergeCell ref="A41:A51"/>
    <mergeCell ref="A52:A6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85"/>
  <sheetViews>
    <sheetView zoomScaleNormal="100" workbookViewId="0"/>
  </sheetViews>
  <sheetFormatPr defaultColWidth="9.140625" defaultRowHeight="16.5" customHeight="1" x14ac:dyDescent="0.2"/>
  <cols>
    <col min="1" max="1" width="24.42578125" style="7" customWidth="1"/>
    <col min="2" max="2" width="19.5703125" style="7" customWidth="1"/>
    <col min="3" max="24" width="10.42578125" style="54" customWidth="1"/>
    <col min="25" max="16384" width="9.140625" style="7"/>
  </cols>
  <sheetData>
    <row r="1" spans="1:24" ht="16.5" customHeight="1" x14ac:dyDescent="0.25">
      <c r="A1" s="34" t="s">
        <v>69</v>
      </c>
    </row>
    <row r="2" spans="1:24" s="35" customFormat="1" ht="16.5" customHeight="1" x14ac:dyDescent="0.2">
      <c r="A2" s="50" t="s">
        <v>34</v>
      </c>
      <c r="B2" s="51" t="s">
        <v>20</v>
      </c>
      <c r="C2" s="55" t="s">
        <v>0</v>
      </c>
      <c r="D2" s="56" t="s">
        <v>1</v>
      </c>
      <c r="E2" s="55" t="s">
        <v>2</v>
      </c>
      <c r="F2" s="56" t="s">
        <v>3</v>
      </c>
      <c r="G2" s="55" t="s">
        <v>4</v>
      </c>
      <c r="H2" s="56" t="s">
        <v>5</v>
      </c>
      <c r="I2" s="55" t="s">
        <v>6</v>
      </c>
      <c r="J2" s="56" t="s">
        <v>7</v>
      </c>
      <c r="K2" s="55" t="s">
        <v>8</v>
      </c>
      <c r="L2" s="56" t="s">
        <v>9</v>
      </c>
      <c r="M2" s="55" t="s">
        <v>10</v>
      </c>
      <c r="N2" s="56" t="s">
        <v>11</v>
      </c>
      <c r="O2" s="55" t="s">
        <v>12</v>
      </c>
      <c r="P2" s="56" t="s">
        <v>13</v>
      </c>
      <c r="Q2" s="55" t="s">
        <v>14</v>
      </c>
      <c r="R2" s="56" t="s">
        <v>15</v>
      </c>
      <c r="S2" s="55" t="s">
        <v>16</v>
      </c>
      <c r="T2" s="56" t="s">
        <v>45</v>
      </c>
      <c r="U2" s="55" t="s">
        <v>61</v>
      </c>
      <c r="V2" s="56" t="s">
        <v>62</v>
      </c>
      <c r="W2" s="55" t="s">
        <v>63</v>
      </c>
      <c r="X2" s="56" t="s">
        <v>64</v>
      </c>
    </row>
    <row r="3" spans="1:24" ht="16.5" customHeight="1" x14ac:dyDescent="0.2">
      <c r="A3" s="98" t="s">
        <v>42</v>
      </c>
      <c r="B3" s="45" t="s">
        <v>54</v>
      </c>
      <c r="C3" s="38">
        <v>106017.19420071451</v>
      </c>
      <c r="D3" s="47">
        <v>103493.1851893381</v>
      </c>
      <c r="E3" s="38">
        <v>103614.32511572413</v>
      </c>
      <c r="F3" s="47">
        <v>106762.96066707766</v>
      </c>
      <c r="G3" s="38">
        <v>96873.970339352629</v>
      </c>
      <c r="H3" s="47">
        <v>94150.49346536964</v>
      </c>
      <c r="I3" s="38">
        <v>87043.010388100491</v>
      </c>
      <c r="J3" s="47">
        <v>80866.89152807447</v>
      </c>
      <c r="K3" s="38">
        <v>77156.760780146316</v>
      </c>
      <c r="L3" s="47">
        <v>77266.681256647382</v>
      </c>
      <c r="M3" s="38">
        <v>72522.331144714539</v>
      </c>
      <c r="N3" s="47">
        <v>66430.036614070385</v>
      </c>
      <c r="O3" s="38">
        <v>63088.285518887118</v>
      </c>
      <c r="P3" s="47">
        <v>60109.238268932757</v>
      </c>
      <c r="Q3" s="38">
        <v>63765.048436388228</v>
      </c>
      <c r="R3" s="47">
        <v>60996.581546183537</v>
      </c>
      <c r="S3" s="38">
        <v>55120.064703425451</v>
      </c>
      <c r="T3" s="47">
        <v>42549.963945019037</v>
      </c>
      <c r="U3" s="38">
        <v>33704.206086678802</v>
      </c>
      <c r="V3" s="47">
        <v>31508.41921826683</v>
      </c>
      <c r="W3" s="38">
        <v>30572.087115458831</v>
      </c>
      <c r="X3" s="47">
        <v>30631.753829444271</v>
      </c>
    </row>
    <row r="4" spans="1:24" ht="16.5" customHeight="1" x14ac:dyDescent="0.2">
      <c r="A4" s="99"/>
      <c r="B4" s="45" t="s">
        <v>55</v>
      </c>
      <c r="C4" s="38">
        <v>32166.890696543047</v>
      </c>
      <c r="D4" s="47">
        <v>32229.926367054028</v>
      </c>
      <c r="E4" s="38">
        <v>32307.405312418683</v>
      </c>
      <c r="F4" s="47">
        <v>32592.507599193279</v>
      </c>
      <c r="G4" s="38">
        <v>30131.768956811531</v>
      </c>
      <c r="H4" s="47">
        <v>27903.305063563246</v>
      </c>
      <c r="I4" s="38">
        <v>30554.465247540149</v>
      </c>
      <c r="J4" s="47">
        <v>30066.696897314076</v>
      </c>
      <c r="K4" s="38">
        <v>26670.009459098797</v>
      </c>
      <c r="L4" s="47">
        <v>22428.623705001271</v>
      </c>
      <c r="M4" s="38">
        <v>20698.698279448319</v>
      </c>
      <c r="N4" s="47">
        <v>20705.065407971419</v>
      </c>
      <c r="O4" s="38">
        <v>20550.968749561231</v>
      </c>
      <c r="P4" s="47">
        <v>19932.963499354279</v>
      </c>
      <c r="Q4" s="38">
        <v>14168.84837156803</v>
      </c>
      <c r="R4" s="47">
        <v>13675.23602094725</v>
      </c>
      <c r="S4" s="38">
        <v>14140.238748832791</v>
      </c>
      <c r="T4" s="47">
        <v>14766.0298938632</v>
      </c>
      <c r="U4" s="38">
        <v>11102.80069681605</v>
      </c>
      <c r="V4" s="47">
        <v>14764.97679520669</v>
      </c>
      <c r="W4" s="38">
        <v>12947.190659198381</v>
      </c>
      <c r="X4" s="47">
        <v>12976.660984021741</v>
      </c>
    </row>
    <row r="5" spans="1:24" ht="16.5" customHeight="1" x14ac:dyDescent="0.2">
      <c r="A5" s="99"/>
      <c r="B5" s="45" t="s">
        <v>17</v>
      </c>
      <c r="C5" s="38">
        <v>15797.1507984491</v>
      </c>
      <c r="D5" s="47">
        <v>15840.43066365005</v>
      </c>
      <c r="E5" s="38">
        <v>15797.150798448931</v>
      </c>
      <c r="F5" s="47">
        <v>15797.150798448993</v>
      </c>
      <c r="G5" s="38">
        <v>15797.150798449202</v>
      </c>
      <c r="H5" s="47">
        <v>15840.430663650352</v>
      </c>
      <c r="I5" s="38">
        <v>15729.268557402822</v>
      </c>
      <c r="J5" s="47">
        <v>15797.150798448321</v>
      </c>
      <c r="K5" s="38">
        <v>15797.150798449609</v>
      </c>
      <c r="L5" s="47">
        <v>15840.430663650302</v>
      </c>
      <c r="M5" s="38">
        <v>15797.150798449051</v>
      </c>
      <c r="N5" s="47">
        <v>15797.150798448878</v>
      </c>
      <c r="O5" s="38">
        <v>15797.150798448834</v>
      </c>
      <c r="P5" s="47">
        <v>15840.430663650171</v>
      </c>
      <c r="Q5" s="38">
        <v>15797.150798448962</v>
      </c>
      <c r="R5" s="47">
        <v>15797.150798448944</v>
      </c>
      <c r="S5" s="38">
        <v>15797.150798448973</v>
      </c>
      <c r="T5" s="47">
        <v>15840.430663650051</v>
      </c>
      <c r="U5" s="38">
        <v>15797.150798449014</v>
      </c>
      <c r="V5" s="47">
        <v>15797.150798449031</v>
      </c>
      <c r="W5" s="38">
        <v>15797.150798449073</v>
      </c>
      <c r="X5" s="47">
        <v>15840.430663650162</v>
      </c>
    </row>
    <row r="6" spans="1:24" ht="16.5" customHeight="1" x14ac:dyDescent="0.2">
      <c r="A6" s="99"/>
      <c r="B6" s="45" t="s">
        <v>44</v>
      </c>
      <c r="C6" s="38">
        <v>16918</v>
      </c>
      <c r="D6" s="47">
        <v>11341</v>
      </c>
      <c r="E6" s="38">
        <v>11128</v>
      </c>
      <c r="F6" s="47">
        <v>8642</v>
      </c>
      <c r="G6" s="38">
        <v>11162</v>
      </c>
      <c r="H6" s="47">
        <v>10573</v>
      </c>
      <c r="I6" s="38">
        <v>5574</v>
      </c>
      <c r="J6" s="47">
        <v>6047</v>
      </c>
      <c r="K6" s="38">
        <v>7692</v>
      </c>
      <c r="L6" s="47">
        <v>6682</v>
      </c>
      <c r="M6" s="38">
        <v>7714</v>
      </c>
      <c r="N6" s="47">
        <v>7736</v>
      </c>
      <c r="O6" s="38">
        <v>6117</v>
      </c>
      <c r="P6" s="47">
        <v>6124</v>
      </c>
      <c r="Q6" s="38">
        <v>6338</v>
      </c>
      <c r="R6" s="47">
        <v>6721</v>
      </c>
      <c r="S6" s="38">
        <v>6944</v>
      </c>
      <c r="T6" s="47">
        <v>9796</v>
      </c>
      <c r="U6" s="38">
        <v>10945</v>
      </c>
      <c r="V6" s="47">
        <v>10338</v>
      </c>
      <c r="W6" s="38">
        <v>10052</v>
      </c>
      <c r="X6" s="47">
        <v>8404</v>
      </c>
    </row>
    <row r="7" spans="1:24" ht="16.5" customHeight="1" x14ac:dyDescent="0.2">
      <c r="A7" s="99"/>
      <c r="B7" s="45" t="s">
        <v>56</v>
      </c>
      <c r="C7" s="38">
        <v>2147</v>
      </c>
      <c r="D7" s="47">
        <v>559</v>
      </c>
      <c r="E7" s="38">
        <v>523</v>
      </c>
      <c r="F7" s="47">
        <v>233</v>
      </c>
      <c r="G7" s="38">
        <v>729</v>
      </c>
      <c r="H7" s="47">
        <v>627</v>
      </c>
      <c r="I7" s="38">
        <v>600</v>
      </c>
      <c r="J7" s="47">
        <v>827</v>
      </c>
      <c r="K7" s="38">
        <v>1442</v>
      </c>
      <c r="L7" s="47">
        <v>865</v>
      </c>
      <c r="M7" s="38">
        <v>1065</v>
      </c>
      <c r="N7" s="47">
        <v>1235</v>
      </c>
      <c r="O7" s="38">
        <v>495</v>
      </c>
      <c r="P7" s="47">
        <v>549</v>
      </c>
      <c r="Q7" s="38">
        <v>1863</v>
      </c>
      <c r="R7" s="47">
        <v>1288</v>
      </c>
      <c r="S7" s="38">
        <v>3293</v>
      </c>
      <c r="T7" s="47">
        <v>5911</v>
      </c>
      <c r="U7" s="38">
        <v>7412</v>
      </c>
      <c r="V7" s="47">
        <v>6470</v>
      </c>
      <c r="W7" s="38">
        <v>6427</v>
      </c>
      <c r="X7" s="47">
        <v>3822</v>
      </c>
    </row>
    <row r="8" spans="1:24" ht="16.5" customHeight="1" x14ac:dyDescent="0.2">
      <c r="A8" s="99"/>
      <c r="B8" s="45" t="s">
        <v>18</v>
      </c>
      <c r="C8" s="38">
        <v>18200.050799190656</v>
      </c>
      <c r="D8" s="47">
        <v>26420.871599276532</v>
      </c>
      <c r="E8" s="38">
        <v>27074.716046898408</v>
      </c>
      <c r="F8" s="47">
        <v>28169.170135650747</v>
      </c>
      <c r="G8" s="38">
        <v>29810.220457429914</v>
      </c>
      <c r="H8" s="47">
        <v>33868.48445051664</v>
      </c>
      <c r="I8" s="38">
        <v>35235.835876371595</v>
      </c>
      <c r="J8" s="47">
        <v>35329.190648932607</v>
      </c>
      <c r="K8" s="38">
        <v>37392.681458980544</v>
      </c>
      <c r="L8" s="47">
        <v>38174.306770672898</v>
      </c>
      <c r="M8" s="38">
        <v>40909.869340863508</v>
      </c>
      <c r="N8" s="47">
        <v>42645.827785394518</v>
      </c>
      <c r="O8" s="38">
        <v>43991.817203734099</v>
      </c>
      <c r="P8" s="47">
        <v>45285.148718316748</v>
      </c>
      <c r="Q8" s="38">
        <v>45813.759020819663</v>
      </c>
      <c r="R8" s="47">
        <v>47077.40236250317</v>
      </c>
      <c r="S8" s="38">
        <v>47458.803724911006</v>
      </c>
      <c r="T8" s="47">
        <v>51691.468840249683</v>
      </c>
      <c r="U8" s="38">
        <v>53866.304441184206</v>
      </c>
      <c r="V8" s="47">
        <v>53753.1234329832</v>
      </c>
      <c r="W8" s="38">
        <v>54567.858311796597</v>
      </c>
      <c r="X8" s="47">
        <v>55759.349559837756</v>
      </c>
    </row>
    <row r="9" spans="1:24" ht="16.5" customHeight="1" x14ac:dyDescent="0.2">
      <c r="A9" s="99"/>
      <c r="B9" s="45" t="s">
        <v>57</v>
      </c>
      <c r="C9" s="38">
        <v>4830.3847271585801</v>
      </c>
      <c r="D9" s="47">
        <v>8018.8767549546492</v>
      </c>
      <c r="E9" s="38">
        <v>7987.3457829014696</v>
      </c>
      <c r="F9" s="47">
        <v>8226.21707622959</v>
      </c>
      <c r="G9" s="38">
        <v>12972.00785127897</v>
      </c>
      <c r="H9" s="47">
        <v>15860.778894985428</v>
      </c>
      <c r="I9" s="38">
        <v>22651.257281149487</v>
      </c>
      <c r="J9" s="47">
        <v>30423.183298237636</v>
      </c>
      <c r="K9" s="38">
        <v>36248.145131862853</v>
      </c>
      <c r="L9" s="47">
        <v>42496.621972782144</v>
      </c>
      <c r="M9" s="38">
        <v>45429.908717736929</v>
      </c>
      <c r="N9" s="47">
        <v>51439.356568609044</v>
      </c>
      <c r="O9" s="38">
        <v>58072.170542048756</v>
      </c>
      <c r="P9" s="47">
        <v>64219.869983975273</v>
      </c>
      <c r="Q9" s="38">
        <v>67428.986407038319</v>
      </c>
      <c r="R9" s="47">
        <v>71596.864232957814</v>
      </c>
      <c r="S9" s="38">
        <v>81407.214220580048</v>
      </c>
      <c r="T9" s="47">
        <v>87739.021581780151</v>
      </c>
      <c r="U9" s="38">
        <v>94303.790358055281</v>
      </c>
      <c r="V9" s="47">
        <v>94565.068354333867</v>
      </c>
      <c r="W9" s="38">
        <v>94430.095237664485</v>
      </c>
      <c r="X9" s="47">
        <v>94644.853582702854</v>
      </c>
    </row>
    <row r="10" spans="1:24" ht="16.5" customHeight="1" x14ac:dyDescent="0.2">
      <c r="A10" s="99"/>
      <c r="B10" s="45" t="s">
        <v>65</v>
      </c>
      <c r="C10" s="38">
        <v>-124.03092488888888</v>
      </c>
      <c r="D10" s="47">
        <v>-241.65412000803332</v>
      </c>
      <c r="E10" s="38">
        <v>-388.65596470727775</v>
      </c>
      <c r="F10" s="47">
        <v>-544.29422807444428</v>
      </c>
      <c r="G10" s="38">
        <v>-686.51302076703325</v>
      </c>
      <c r="H10" s="47">
        <v>-819.29801316553392</v>
      </c>
      <c r="I10" s="38">
        <v>-953.68186414658862</v>
      </c>
      <c r="J10" s="47">
        <v>-1081.4674340600889</v>
      </c>
      <c r="K10" s="38">
        <v>-1206.7673939389331</v>
      </c>
      <c r="L10" s="47">
        <v>-1330.4596645531005</v>
      </c>
      <c r="M10" s="38">
        <v>-1451.8152255399552</v>
      </c>
      <c r="N10" s="47">
        <v>-1572.7256600294447</v>
      </c>
      <c r="O10" s="38">
        <v>-1687.3393440329778</v>
      </c>
      <c r="P10" s="47">
        <v>-1790.610494778367</v>
      </c>
      <c r="Q10" s="38">
        <v>-1889.1291360723224</v>
      </c>
      <c r="R10" s="47">
        <v>-1984.9755502885112</v>
      </c>
      <c r="S10" s="38">
        <v>-2077.7071413765666</v>
      </c>
      <c r="T10" s="47">
        <v>-2170.8875705396777</v>
      </c>
      <c r="U10" s="38">
        <v>-2257.5170048886989</v>
      </c>
      <c r="V10" s="47">
        <v>-2342.6974000787773</v>
      </c>
      <c r="W10" s="38">
        <v>-2405.4195488888904</v>
      </c>
      <c r="X10" s="47">
        <v>-2488.0803388166323</v>
      </c>
    </row>
    <row r="11" spans="1:24" ht="16.5" customHeight="1" x14ac:dyDescent="0.2">
      <c r="A11" s="99"/>
      <c r="B11" s="45" t="s">
        <v>66</v>
      </c>
      <c r="C11" s="38">
        <v>1080.0859680045503</v>
      </c>
      <c r="D11" s="47">
        <v>205.31619274281991</v>
      </c>
      <c r="E11" s="38">
        <v>160.70462405702995</v>
      </c>
      <c r="F11" s="47">
        <v>580.09916390043054</v>
      </c>
      <c r="G11" s="38">
        <v>1232.1694446610011</v>
      </c>
      <c r="H11" s="47">
        <v>1096.2158381215304</v>
      </c>
      <c r="I11" s="38">
        <v>2007.6960974993108</v>
      </c>
      <c r="J11" s="47">
        <v>3130.4576291007224</v>
      </c>
      <c r="K11" s="38">
        <v>4975.5755405679165</v>
      </c>
      <c r="L11" s="47">
        <v>6503.1775854365023</v>
      </c>
      <c r="M11" s="38">
        <v>8327.3927755026507</v>
      </c>
      <c r="N11" s="47">
        <v>12571.26253748318</v>
      </c>
      <c r="O11" s="38">
        <v>15455.797475907892</v>
      </c>
      <c r="P11" s="47">
        <v>19705.219610815577</v>
      </c>
      <c r="Q11" s="38">
        <v>23670.148674131397</v>
      </c>
      <c r="R11" s="47">
        <v>26430.833327213073</v>
      </c>
      <c r="S11" s="38">
        <v>32030.326166925021</v>
      </c>
      <c r="T11" s="47">
        <v>36153.896085650296</v>
      </c>
      <c r="U11" s="38">
        <v>40375.144288939518</v>
      </c>
      <c r="V11" s="47">
        <v>41219.567975020727</v>
      </c>
      <c r="W11" s="38">
        <v>41136.569626304445</v>
      </c>
      <c r="X11" s="47">
        <v>42176.807400514415</v>
      </c>
    </row>
    <row r="12" spans="1:24" ht="16.5" customHeight="1" x14ac:dyDescent="0.2">
      <c r="A12" s="99"/>
      <c r="B12" s="45" t="s">
        <v>59</v>
      </c>
      <c r="C12" s="38">
        <v>0</v>
      </c>
      <c r="D12" s="47">
        <v>0</v>
      </c>
      <c r="E12" s="38">
        <v>0</v>
      </c>
      <c r="F12" s="47">
        <v>0</v>
      </c>
      <c r="G12" s="38">
        <v>0</v>
      </c>
      <c r="H12" s="47">
        <v>0</v>
      </c>
      <c r="I12" s="38">
        <v>0</v>
      </c>
      <c r="J12" s="47">
        <v>0</v>
      </c>
      <c r="K12" s="38">
        <v>0</v>
      </c>
      <c r="L12" s="47">
        <v>0</v>
      </c>
      <c r="M12" s="38">
        <v>751.46535224851004</v>
      </c>
      <c r="N12" s="47">
        <v>876</v>
      </c>
      <c r="O12" s="38">
        <v>876.00000000001899</v>
      </c>
      <c r="P12" s="47">
        <v>878.40000000004898</v>
      </c>
      <c r="Q12" s="38">
        <v>875.99999999999795</v>
      </c>
      <c r="R12" s="47">
        <v>875.99999999999898</v>
      </c>
      <c r="S12" s="38">
        <v>1314.0000000000068</v>
      </c>
      <c r="T12" s="47">
        <v>1317.6000000000072</v>
      </c>
      <c r="U12" s="38">
        <v>1314.0000000000068</v>
      </c>
      <c r="V12" s="47">
        <v>1711.0747571389379</v>
      </c>
      <c r="W12" s="38">
        <v>1725.8922849755072</v>
      </c>
      <c r="X12" s="47">
        <v>1730.6207569894859</v>
      </c>
    </row>
    <row r="13" spans="1:24" ht="16.5" customHeight="1" x14ac:dyDescent="0.2">
      <c r="A13" s="99"/>
      <c r="B13" s="45" t="s">
        <v>67</v>
      </c>
      <c r="C13" s="38">
        <v>-1350.1074600056877</v>
      </c>
      <c r="D13" s="47">
        <v>-256.64524092852486</v>
      </c>
      <c r="E13" s="38">
        <v>-200.88078007128743</v>
      </c>
      <c r="F13" s="47">
        <v>-725.12395487553817</v>
      </c>
      <c r="G13" s="38">
        <v>-1540.2118058262513</v>
      </c>
      <c r="H13" s="47">
        <v>-1370.269797651913</v>
      </c>
      <c r="I13" s="38">
        <v>-2509.6201218741385</v>
      </c>
      <c r="J13" s="47">
        <v>-3913.0720363759028</v>
      </c>
      <c r="K13" s="38">
        <v>-6219.4694257098954</v>
      </c>
      <c r="L13" s="47">
        <v>-8128.9719817956275</v>
      </c>
      <c r="M13" s="38">
        <v>-10409.240969378312</v>
      </c>
      <c r="N13" s="47">
        <v>-15714.078171853975</v>
      </c>
      <c r="O13" s="38">
        <v>-19319.746844884863</v>
      </c>
      <c r="P13" s="47">
        <v>-24631.524513519471</v>
      </c>
      <c r="Q13" s="38">
        <v>-29587.685842664243</v>
      </c>
      <c r="R13" s="47">
        <v>-33038.541659016337</v>
      </c>
      <c r="S13" s="38">
        <v>-40037.907708656276</v>
      </c>
      <c r="T13" s="47">
        <v>-45192.370107062867</v>
      </c>
      <c r="U13" s="38">
        <v>-50468.930361174396</v>
      </c>
      <c r="V13" s="47">
        <v>-51524.459968775904</v>
      </c>
      <c r="W13" s="38">
        <v>-51420.712032880554</v>
      </c>
      <c r="X13" s="47">
        <v>-52721.009250643016</v>
      </c>
    </row>
    <row r="14" spans="1:24" ht="16.5" customHeight="1" x14ac:dyDescent="0.2">
      <c r="A14" s="99"/>
      <c r="B14" s="45" t="s">
        <v>68</v>
      </c>
      <c r="C14" s="38">
        <v>111.62783239999999</v>
      </c>
      <c r="D14" s="47">
        <v>217.48870800723</v>
      </c>
      <c r="E14" s="38">
        <v>349.79036823654997</v>
      </c>
      <c r="F14" s="47">
        <v>489.86480526699989</v>
      </c>
      <c r="G14" s="38">
        <v>617.86171869032989</v>
      </c>
      <c r="H14" s="47">
        <v>737.36821184898054</v>
      </c>
      <c r="I14" s="38">
        <v>858.31367773192983</v>
      </c>
      <c r="J14" s="47">
        <v>973.32069065407995</v>
      </c>
      <c r="K14" s="38">
        <v>1086.0906545450398</v>
      </c>
      <c r="L14" s="47">
        <v>1197.4136980977905</v>
      </c>
      <c r="M14" s="38">
        <v>1306.6337029859596</v>
      </c>
      <c r="N14" s="47">
        <v>1415.4530940265004</v>
      </c>
      <c r="O14" s="38">
        <v>1518.60540962968</v>
      </c>
      <c r="P14" s="47">
        <v>1611.5494453005304</v>
      </c>
      <c r="Q14" s="38">
        <v>1700.2162224650901</v>
      </c>
      <c r="R14" s="47">
        <v>1786.47799525966</v>
      </c>
      <c r="S14" s="38">
        <v>1869.9364272389098</v>
      </c>
      <c r="T14" s="47">
        <v>1953.7988134857098</v>
      </c>
      <c r="U14" s="38">
        <v>2031.7653043998289</v>
      </c>
      <c r="V14" s="47">
        <v>2108.4276600708995</v>
      </c>
      <c r="W14" s="38">
        <v>2164.8775940000014</v>
      </c>
      <c r="X14" s="47">
        <v>2239.2723049349693</v>
      </c>
    </row>
    <row r="15" spans="1:24" s="3" customFormat="1" ht="16.5" customHeight="1" x14ac:dyDescent="0.2">
      <c r="A15" s="99"/>
      <c r="B15" s="45" t="s">
        <v>41</v>
      </c>
      <c r="C15" s="38">
        <v>9475</v>
      </c>
      <c r="D15" s="47">
        <v>10796</v>
      </c>
      <c r="E15" s="38">
        <v>12167</v>
      </c>
      <c r="F15" s="47">
        <v>13376</v>
      </c>
      <c r="G15" s="38">
        <v>14355</v>
      </c>
      <c r="H15" s="47">
        <v>16163</v>
      </c>
      <c r="I15" s="38">
        <v>17452</v>
      </c>
      <c r="J15" s="47">
        <v>18649</v>
      </c>
      <c r="K15" s="38">
        <v>19832</v>
      </c>
      <c r="L15" s="47">
        <v>21164</v>
      </c>
      <c r="M15" s="38">
        <v>22247</v>
      </c>
      <c r="N15" s="47">
        <v>23373</v>
      </c>
      <c r="O15" s="38">
        <v>24371</v>
      </c>
      <c r="P15" s="47">
        <v>25416</v>
      </c>
      <c r="Q15" s="38">
        <v>26359</v>
      </c>
      <c r="R15" s="47">
        <v>27143</v>
      </c>
      <c r="S15" s="38">
        <v>27900</v>
      </c>
      <c r="T15" s="47">
        <v>28674</v>
      </c>
      <c r="U15" s="38">
        <v>29301</v>
      </c>
      <c r="V15" s="47">
        <v>29864</v>
      </c>
      <c r="W15" s="38">
        <v>30469</v>
      </c>
      <c r="X15" s="47">
        <v>31010</v>
      </c>
    </row>
    <row r="16" spans="1:24" ht="16.5" customHeight="1" x14ac:dyDescent="0.2">
      <c r="A16" s="99"/>
      <c r="B16" s="46" t="s">
        <v>40</v>
      </c>
      <c r="C16" s="40">
        <f>SUM(C3:C15)</f>
        <v>205269.24663756587</v>
      </c>
      <c r="D16" s="48">
        <f>SUM(D3:D15)</f>
        <v>208623.79611408687</v>
      </c>
      <c r="E16" s="40">
        <f t="shared" ref="E16:X16" si="0">SUM(E3:E15)</f>
        <v>210519.90130390663</v>
      </c>
      <c r="F16" s="48">
        <f t="shared" si="0"/>
        <v>213599.55206281773</v>
      </c>
      <c r="G16" s="40">
        <f t="shared" si="0"/>
        <v>211454.42474008029</v>
      </c>
      <c r="H16" s="48">
        <f t="shared" si="0"/>
        <v>214630.50877723837</v>
      </c>
      <c r="I16" s="40">
        <f t="shared" si="0"/>
        <v>214242.54513977506</v>
      </c>
      <c r="J16" s="48">
        <f t="shared" si="0"/>
        <v>217115.35202032587</v>
      </c>
      <c r="K16" s="40">
        <f t="shared" si="0"/>
        <v>220866.17700400224</v>
      </c>
      <c r="L16" s="48">
        <f t="shared" si="0"/>
        <v>223158.82400593956</v>
      </c>
      <c r="M16" s="40">
        <f t="shared" si="0"/>
        <v>224908.39391703121</v>
      </c>
      <c r="N16" s="48">
        <f t="shared" si="0"/>
        <v>226937.34897412051</v>
      </c>
      <c r="O16" s="40">
        <f t="shared" si="0"/>
        <v>229326.70950929981</v>
      </c>
      <c r="P16" s="48">
        <f t="shared" si="0"/>
        <v>233249.68518204754</v>
      </c>
      <c r="Q16" s="40">
        <f t="shared" si="0"/>
        <v>236303.34295212314</v>
      </c>
      <c r="R16" s="48">
        <f t="shared" si="0"/>
        <v>238365.02907420861</v>
      </c>
      <c r="S16" s="40">
        <f t="shared" si="0"/>
        <v>245159.1199403294</v>
      </c>
      <c r="T16" s="48">
        <f t="shared" si="0"/>
        <v>249029.95214609569</v>
      </c>
      <c r="U16" s="40">
        <f t="shared" si="0"/>
        <v>247426.71460845962</v>
      </c>
      <c r="V16" s="48">
        <f t="shared" si="0"/>
        <v>248232.65162261549</v>
      </c>
      <c r="W16" s="40">
        <f t="shared" si="0"/>
        <v>246463.59004607791</v>
      </c>
      <c r="X16" s="48">
        <f t="shared" si="0"/>
        <v>244026.65949263598</v>
      </c>
    </row>
    <row r="19" spans="1:24" ht="16.5" customHeight="1" x14ac:dyDescent="0.2">
      <c r="C19" s="57"/>
      <c r="D19" s="57"/>
      <c r="E19" s="57"/>
      <c r="F19" s="57"/>
      <c r="G19" s="57"/>
      <c r="H19" s="57"/>
      <c r="I19" s="57"/>
      <c r="J19" s="57"/>
      <c r="K19" s="57"/>
      <c r="L19" s="57"/>
      <c r="M19" s="57"/>
      <c r="N19" s="57"/>
      <c r="O19" s="57"/>
      <c r="P19" s="57"/>
      <c r="Q19" s="57"/>
      <c r="R19" s="57"/>
      <c r="S19" s="57"/>
      <c r="T19" s="57"/>
      <c r="U19" s="57"/>
      <c r="V19" s="57"/>
      <c r="W19" s="57"/>
      <c r="X19" s="57"/>
    </row>
    <row r="20" spans="1:24" s="35" customFormat="1" ht="16.5" customHeight="1" x14ac:dyDescent="0.2">
      <c r="A20" s="50" t="s">
        <v>34</v>
      </c>
      <c r="B20" s="51" t="s">
        <v>20</v>
      </c>
      <c r="C20" s="55" t="s">
        <v>0</v>
      </c>
      <c r="D20" s="56" t="s">
        <v>1</v>
      </c>
      <c r="E20" s="55" t="s">
        <v>2</v>
      </c>
      <c r="F20" s="56" t="s">
        <v>3</v>
      </c>
      <c r="G20" s="55" t="s">
        <v>4</v>
      </c>
      <c r="H20" s="56" t="s">
        <v>5</v>
      </c>
      <c r="I20" s="55" t="s">
        <v>6</v>
      </c>
      <c r="J20" s="56" t="s">
        <v>7</v>
      </c>
      <c r="K20" s="55" t="s">
        <v>8</v>
      </c>
      <c r="L20" s="56" t="s">
        <v>9</v>
      </c>
      <c r="M20" s="55" t="s">
        <v>10</v>
      </c>
      <c r="N20" s="56" t="s">
        <v>11</v>
      </c>
      <c r="O20" s="55" t="s">
        <v>12</v>
      </c>
      <c r="P20" s="56" t="s">
        <v>13</v>
      </c>
      <c r="Q20" s="55" t="s">
        <v>14</v>
      </c>
      <c r="R20" s="56" t="s">
        <v>15</v>
      </c>
      <c r="S20" s="55" t="s">
        <v>16</v>
      </c>
      <c r="T20" s="56" t="s">
        <v>45</v>
      </c>
      <c r="U20" s="55" t="s">
        <v>61</v>
      </c>
      <c r="V20" s="56" t="s">
        <v>62</v>
      </c>
      <c r="W20" s="55" t="s">
        <v>63</v>
      </c>
      <c r="X20" s="56" t="s">
        <v>64</v>
      </c>
    </row>
    <row r="21" spans="1:24" ht="16.5" customHeight="1" x14ac:dyDescent="0.2">
      <c r="A21" s="98" t="s">
        <v>35</v>
      </c>
      <c r="B21" s="45" t="s">
        <v>54</v>
      </c>
      <c r="C21" s="38">
        <v>51425.578692334238</v>
      </c>
      <c r="D21" s="47">
        <v>51366.406536982046</v>
      </c>
      <c r="E21" s="38">
        <v>54344.834950833487</v>
      </c>
      <c r="F21" s="47">
        <v>54260.944440650463</v>
      </c>
      <c r="G21" s="38">
        <v>42638.65189733712</v>
      </c>
      <c r="H21" s="47">
        <v>41614.145302451732</v>
      </c>
      <c r="I21" s="38">
        <v>38439.852016632765</v>
      </c>
      <c r="J21" s="47">
        <v>33601.37595981815</v>
      </c>
      <c r="K21" s="38">
        <v>36940.31571308089</v>
      </c>
      <c r="L21" s="47">
        <v>38431.154686872098</v>
      </c>
      <c r="M21" s="38">
        <v>32814.225788943222</v>
      </c>
      <c r="N21" s="47">
        <v>32328.261712715939</v>
      </c>
      <c r="O21" s="38">
        <v>30791.868733744199</v>
      </c>
      <c r="P21" s="47">
        <v>30424.285283534948</v>
      </c>
      <c r="Q21" s="38">
        <v>32437.571967786924</v>
      </c>
      <c r="R21" s="47">
        <v>28907.681846352411</v>
      </c>
      <c r="S21" s="38">
        <v>20592.351287752492</v>
      </c>
      <c r="T21" s="47">
        <v>7009.2588411032702</v>
      </c>
      <c r="U21" s="38">
        <v>7087.6349651919199</v>
      </c>
      <c r="V21" s="47">
        <v>7095.6254493378501</v>
      </c>
      <c r="W21" s="38">
        <v>7139.7379926313397</v>
      </c>
      <c r="X21" s="47">
        <v>7135.3351644798404</v>
      </c>
    </row>
    <row r="22" spans="1:24" ht="16.5" customHeight="1" x14ac:dyDescent="0.2">
      <c r="A22" s="99"/>
      <c r="B22" s="45" t="s">
        <v>55</v>
      </c>
      <c r="C22" s="38">
        <v>0</v>
      </c>
      <c r="D22" s="47">
        <v>0</v>
      </c>
      <c r="E22" s="38">
        <v>0</v>
      </c>
      <c r="F22" s="47">
        <v>0</v>
      </c>
      <c r="G22" s="38">
        <v>0</v>
      </c>
      <c r="H22" s="47">
        <v>0</v>
      </c>
      <c r="I22" s="38">
        <v>0</v>
      </c>
      <c r="J22" s="47">
        <v>0</v>
      </c>
      <c r="K22" s="38">
        <v>0</v>
      </c>
      <c r="L22" s="47">
        <v>0</v>
      </c>
      <c r="M22" s="38">
        <v>0</v>
      </c>
      <c r="N22" s="47">
        <v>0</v>
      </c>
      <c r="O22" s="38">
        <v>0</v>
      </c>
      <c r="P22" s="47">
        <v>0</v>
      </c>
      <c r="Q22" s="38">
        <v>0</v>
      </c>
      <c r="R22" s="47">
        <v>0</v>
      </c>
      <c r="S22" s="38">
        <v>0</v>
      </c>
      <c r="T22" s="47">
        <v>0</v>
      </c>
      <c r="U22" s="38">
        <v>0</v>
      </c>
      <c r="V22" s="47">
        <v>0</v>
      </c>
      <c r="W22" s="38">
        <v>0</v>
      </c>
      <c r="X22" s="47">
        <v>0</v>
      </c>
    </row>
    <row r="23" spans="1:24" ht="16.5" customHeight="1" x14ac:dyDescent="0.2">
      <c r="A23" s="99"/>
      <c r="B23" s="45" t="s">
        <v>17</v>
      </c>
      <c r="C23" s="38">
        <v>3054.1423269568504</v>
      </c>
      <c r="D23" s="47">
        <v>3062.5098401814012</v>
      </c>
      <c r="E23" s="38">
        <v>3054.1423269568509</v>
      </c>
      <c r="F23" s="47">
        <v>3054.1423269567608</v>
      </c>
      <c r="G23" s="38">
        <v>3054.1423269568404</v>
      </c>
      <c r="H23" s="47">
        <v>3062.5098401814503</v>
      </c>
      <c r="I23" s="38">
        <v>3054.1423269568304</v>
      </c>
      <c r="J23" s="47">
        <v>3054.1423269568704</v>
      </c>
      <c r="K23" s="38">
        <v>3054.1423269568504</v>
      </c>
      <c r="L23" s="47">
        <v>3062.5098401814603</v>
      </c>
      <c r="M23" s="38">
        <v>3054.1423269568304</v>
      </c>
      <c r="N23" s="47">
        <v>3054.1423269569104</v>
      </c>
      <c r="O23" s="38">
        <v>3054.1423269568704</v>
      </c>
      <c r="P23" s="47">
        <v>3062.5098401813602</v>
      </c>
      <c r="Q23" s="38">
        <v>3054.1423269568804</v>
      </c>
      <c r="R23" s="47">
        <v>3054.1423269568304</v>
      </c>
      <c r="S23" s="38">
        <v>3054.1423269568704</v>
      </c>
      <c r="T23" s="47">
        <v>3062.5098401813902</v>
      </c>
      <c r="U23" s="38">
        <v>3054.1423269568604</v>
      </c>
      <c r="V23" s="47">
        <v>3054.1423269568404</v>
      </c>
      <c r="W23" s="38">
        <v>3054.1423269568504</v>
      </c>
      <c r="X23" s="47">
        <v>3062.5098401813902</v>
      </c>
    </row>
    <row r="24" spans="1:24" ht="16.5" customHeight="1" x14ac:dyDescent="0.2">
      <c r="A24" s="99"/>
      <c r="B24" s="45" t="s">
        <v>44</v>
      </c>
      <c r="C24" s="38">
        <v>2718.4816105145301</v>
      </c>
      <c r="D24" s="47">
        <v>1558.6074356249001</v>
      </c>
      <c r="E24" s="38">
        <v>1550.7609201634</v>
      </c>
      <c r="F24" s="47">
        <v>49.380605417319998</v>
      </c>
      <c r="G24" s="38">
        <v>775.37510928325003</v>
      </c>
      <c r="H24" s="47">
        <v>782.53976793504</v>
      </c>
      <c r="I24" s="38">
        <v>610.80595668653007</v>
      </c>
      <c r="J24" s="47">
        <v>874.71057730782093</v>
      </c>
      <c r="K24" s="38">
        <v>1417.4100713390501</v>
      </c>
      <c r="L24" s="47">
        <v>1039.0859641552699</v>
      </c>
      <c r="M24" s="38">
        <v>1620.0305619530602</v>
      </c>
      <c r="N24" s="47">
        <v>1517.0648726260401</v>
      </c>
      <c r="O24" s="38">
        <v>720.28063984745995</v>
      </c>
      <c r="P24" s="47">
        <v>677.60493683297091</v>
      </c>
      <c r="Q24" s="38">
        <v>1157.5033669065699</v>
      </c>
      <c r="R24" s="47">
        <v>1161.72977599091</v>
      </c>
      <c r="S24" s="38">
        <v>1658.1473934836902</v>
      </c>
      <c r="T24" s="47">
        <v>2015.1744565159202</v>
      </c>
      <c r="U24" s="38">
        <v>2206.21591071281</v>
      </c>
      <c r="V24" s="47">
        <v>2108.5471186039204</v>
      </c>
      <c r="W24" s="38">
        <v>1965.2803176555599</v>
      </c>
      <c r="X24" s="47">
        <v>1401.3156568322599</v>
      </c>
    </row>
    <row r="25" spans="1:24" ht="16.5" customHeight="1" x14ac:dyDescent="0.2">
      <c r="A25" s="99"/>
      <c r="B25" s="45" t="s">
        <v>56</v>
      </c>
      <c r="C25" s="38">
        <v>126.71026645323001</v>
      </c>
      <c r="D25" s="47">
        <v>51.305944026029998</v>
      </c>
      <c r="E25" s="38">
        <v>25.233176147200002</v>
      </c>
      <c r="F25" s="47">
        <v>21.965292714180002</v>
      </c>
      <c r="G25" s="38">
        <v>105.92610740556998</v>
      </c>
      <c r="H25" s="47">
        <v>106.68887209697</v>
      </c>
      <c r="I25" s="38">
        <v>129.02612660956001</v>
      </c>
      <c r="J25" s="47">
        <v>148.94060009089</v>
      </c>
      <c r="K25" s="38">
        <v>277.35193867689998</v>
      </c>
      <c r="L25" s="47">
        <v>88.025360147569998</v>
      </c>
      <c r="M25" s="38">
        <v>92.469705873279992</v>
      </c>
      <c r="N25" s="47">
        <v>112.40330822135999</v>
      </c>
      <c r="O25" s="38">
        <v>11.834618037709999</v>
      </c>
      <c r="P25" s="47">
        <v>29.92791299085</v>
      </c>
      <c r="Q25" s="38">
        <v>72.776450903219995</v>
      </c>
      <c r="R25" s="47">
        <v>46.815223616250002</v>
      </c>
      <c r="S25" s="38">
        <v>576.30825998830994</v>
      </c>
      <c r="T25" s="47">
        <v>1382.1829299799501</v>
      </c>
      <c r="U25" s="38">
        <v>1402.9223201048299</v>
      </c>
      <c r="V25" s="47">
        <v>1272.29828649821</v>
      </c>
      <c r="W25" s="38">
        <v>1078.25717054659</v>
      </c>
      <c r="X25" s="47">
        <v>379.64881873463997</v>
      </c>
    </row>
    <row r="26" spans="1:24" ht="16.5" customHeight="1" x14ac:dyDescent="0.2">
      <c r="A26" s="99"/>
      <c r="B26" s="45" t="s">
        <v>18</v>
      </c>
      <c r="C26" s="38">
        <v>4176.7318090393019</v>
      </c>
      <c r="D26" s="47">
        <v>4971.4348293035</v>
      </c>
      <c r="E26" s="38">
        <v>4927.9427225592908</v>
      </c>
      <c r="F26" s="47">
        <v>4975.6300257062412</v>
      </c>
      <c r="G26" s="38">
        <v>4963.8828274910502</v>
      </c>
      <c r="H26" s="47">
        <v>5038.4792585300611</v>
      </c>
      <c r="I26" s="38">
        <v>4952.3164864640094</v>
      </c>
      <c r="J26" s="47">
        <v>4821.1632215075406</v>
      </c>
      <c r="K26" s="38">
        <v>4786.3597229221796</v>
      </c>
      <c r="L26" s="47">
        <v>4618.0010853116601</v>
      </c>
      <c r="M26" s="38">
        <v>4662.8966154161108</v>
      </c>
      <c r="N26" s="47">
        <v>4586.2098305245891</v>
      </c>
      <c r="O26" s="38">
        <v>4474.0237585250015</v>
      </c>
      <c r="P26" s="47">
        <v>4497.9075608108997</v>
      </c>
      <c r="Q26" s="38">
        <v>4500.9445291224902</v>
      </c>
      <c r="R26" s="47">
        <v>4506.3802520251902</v>
      </c>
      <c r="S26" s="38">
        <v>4632.7731686043498</v>
      </c>
      <c r="T26" s="47">
        <v>5729.0574031922806</v>
      </c>
      <c r="U26" s="38">
        <v>6987.4893342451096</v>
      </c>
      <c r="V26" s="47">
        <v>6978.7272412006696</v>
      </c>
      <c r="W26" s="38">
        <v>7454.8424237650997</v>
      </c>
      <c r="X26" s="47">
        <v>7539.6499641540204</v>
      </c>
    </row>
    <row r="27" spans="1:24" ht="16.5" customHeight="1" x14ac:dyDescent="0.2">
      <c r="A27" s="99"/>
      <c r="B27" s="45" t="s">
        <v>57</v>
      </c>
      <c r="C27" s="38">
        <v>825.51372106015003</v>
      </c>
      <c r="D27" s="47">
        <v>1881.93520901021</v>
      </c>
      <c r="E27" s="38">
        <v>1882.7740483436501</v>
      </c>
      <c r="F27" s="47">
        <v>1876.58703418194</v>
      </c>
      <c r="G27" s="38">
        <v>6233.1430857672303</v>
      </c>
      <c r="H27" s="47">
        <v>7219.2506432168002</v>
      </c>
      <c r="I27" s="38">
        <v>7222.0690034120398</v>
      </c>
      <c r="J27" s="47">
        <v>11780.779416136851</v>
      </c>
      <c r="K27" s="38">
        <v>11752.193802452901</v>
      </c>
      <c r="L27" s="47">
        <v>13999.463309163631</v>
      </c>
      <c r="M27" s="38">
        <v>16693.871323300038</v>
      </c>
      <c r="N27" s="47">
        <v>19820.23252203871</v>
      </c>
      <c r="O27" s="38">
        <v>22891.886768798529</v>
      </c>
      <c r="P27" s="47">
        <v>25251.640504797448</v>
      </c>
      <c r="Q27" s="38">
        <v>25116.508287548091</v>
      </c>
      <c r="R27" s="47">
        <v>29380.328965149223</v>
      </c>
      <c r="S27" s="38">
        <v>39144.685213330151</v>
      </c>
      <c r="T27" s="47">
        <v>44922.635673452358</v>
      </c>
      <c r="U27" s="38">
        <v>45061.215006463972</v>
      </c>
      <c r="V27" s="47">
        <v>45162.287703140901</v>
      </c>
      <c r="W27" s="38">
        <v>45038.854743999094</v>
      </c>
      <c r="X27" s="47">
        <v>45223.31049110723</v>
      </c>
    </row>
    <row r="28" spans="1:24" ht="16.5" customHeight="1" x14ac:dyDescent="0.2">
      <c r="A28" s="99"/>
      <c r="B28" s="45" t="s">
        <v>65</v>
      </c>
      <c r="C28" s="38">
        <v>-37.424469854428395</v>
      </c>
      <c r="D28" s="47">
        <v>-73.269966267766037</v>
      </c>
      <c r="E28" s="38">
        <v>-114.24892828059902</v>
      </c>
      <c r="F28" s="47">
        <v>-163.81806437645614</v>
      </c>
      <c r="G28" s="38">
        <v>-207.91181941833105</v>
      </c>
      <c r="H28" s="47">
        <v>-250.33380207114186</v>
      </c>
      <c r="I28" s="38">
        <v>-293.14780422214761</v>
      </c>
      <c r="J28" s="47">
        <v>-334.64847167779453</v>
      </c>
      <c r="K28" s="38">
        <v>-375.18608673986307</v>
      </c>
      <c r="L28" s="47">
        <v>-415.49512543270703</v>
      </c>
      <c r="M28" s="38">
        <v>-454.26818581557558</v>
      </c>
      <c r="N28" s="47">
        <v>-491.71785876321223</v>
      </c>
      <c r="O28" s="38">
        <v>-527.73212563128789</v>
      </c>
      <c r="P28" s="47">
        <v>-559.64701081523538</v>
      </c>
      <c r="Q28" s="38">
        <v>-588.07057057784846</v>
      </c>
      <c r="R28" s="47">
        <v>-615.09262342066268</v>
      </c>
      <c r="S28" s="38">
        <v>-642.49551634423756</v>
      </c>
      <c r="T28" s="47">
        <v>-671.11600321559615</v>
      </c>
      <c r="U28" s="38">
        <v>-702.51307991939848</v>
      </c>
      <c r="V28" s="47">
        <v>-734.52678036911209</v>
      </c>
      <c r="W28" s="38">
        <v>-758.51492462826252</v>
      </c>
      <c r="X28" s="47">
        <v>-789.20990427747142</v>
      </c>
    </row>
    <row r="29" spans="1:24" ht="16.5" customHeight="1" x14ac:dyDescent="0.2">
      <c r="A29" s="99"/>
      <c r="B29" s="45" t="s">
        <v>66</v>
      </c>
      <c r="C29" s="38">
        <v>262.5321238292903</v>
      </c>
      <c r="D29" s="47">
        <v>55.410221241610003</v>
      </c>
      <c r="E29" s="38">
        <v>30.329138102209999</v>
      </c>
      <c r="F29" s="47">
        <v>140.43967936424011</v>
      </c>
      <c r="G29" s="38">
        <v>461.52021623063047</v>
      </c>
      <c r="H29" s="47">
        <v>423.57773801666002</v>
      </c>
      <c r="I29" s="38">
        <v>391.5085014182614</v>
      </c>
      <c r="J29" s="47">
        <v>1019.633576730702</v>
      </c>
      <c r="K29" s="38">
        <v>1107.8786842743411</v>
      </c>
      <c r="L29" s="47">
        <v>1056.327798994221</v>
      </c>
      <c r="M29" s="38">
        <v>2221.0091915455405</v>
      </c>
      <c r="N29" s="47">
        <v>3689.1125459709601</v>
      </c>
      <c r="O29" s="38">
        <v>5148.6305710189608</v>
      </c>
      <c r="P29" s="47">
        <v>6878.850445923681</v>
      </c>
      <c r="Q29" s="38">
        <v>7581.9474243222194</v>
      </c>
      <c r="R29" s="47">
        <v>10248.052375437563</v>
      </c>
      <c r="S29" s="38">
        <v>14747.79792612874</v>
      </c>
      <c r="T29" s="47">
        <v>18031.148982133796</v>
      </c>
      <c r="U29" s="38">
        <v>18656.976857586611</v>
      </c>
      <c r="V29" s="47">
        <v>19306.288685809901</v>
      </c>
      <c r="W29" s="38">
        <v>19420.106986855848</v>
      </c>
      <c r="X29" s="47">
        <v>19901.751742354238</v>
      </c>
    </row>
    <row r="30" spans="1:24" ht="16.5" customHeight="1" x14ac:dyDescent="0.2">
      <c r="A30" s="99"/>
      <c r="B30" s="45" t="s">
        <v>59</v>
      </c>
      <c r="C30" s="38">
        <v>0</v>
      </c>
      <c r="D30" s="47">
        <v>0</v>
      </c>
      <c r="E30" s="38">
        <v>0</v>
      </c>
      <c r="F30" s="47">
        <v>0</v>
      </c>
      <c r="G30" s="38">
        <v>0</v>
      </c>
      <c r="H30" s="47">
        <v>0</v>
      </c>
      <c r="I30" s="38">
        <v>0</v>
      </c>
      <c r="J30" s="47">
        <v>0</v>
      </c>
      <c r="K30" s="38">
        <v>0</v>
      </c>
      <c r="L30" s="47">
        <v>0</v>
      </c>
      <c r="M30" s="38">
        <v>438.00000000001</v>
      </c>
      <c r="N30" s="47">
        <v>438</v>
      </c>
      <c r="O30" s="38">
        <v>437.99999999999898</v>
      </c>
      <c r="P30" s="47">
        <v>439.20000000000999</v>
      </c>
      <c r="Q30" s="38">
        <v>437.99999999999898</v>
      </c>
      <c r="R30" s="47">
        <v>437.99999999999</v>
      </c>
      <c r="S30" s="38">
        <v>437.99999999999898</v>
      </c>
      <c r="T30" s="47">
        <v>439.19999999999902</v>
      </c>
      <c r="U30" s="38">
        <v>437.99999999999898</v>
      </c>
      <c r="V30" s="47">
        <v>437.99999999999898</v>
      </c>
      <c r="W30" s="38">
        <v>438.00000000000898</v>
      </c>
      <c r="X30" s="47">
        <v>439.19999999999902</v>
      </c>
    </row>
    <row r="31" spans="1:24" ht="16.5" customHeight="1" x14ac:dyDescent="0.2">
      <c r="A31" s="99"/>
      <c r="B31" s="45" t="s">
        <v>67</v>
      </c>
      <c r="C31" s="38">
        <v>-328.16515478661285</v>
      </c>
      <c r="D31" s="47">
        <v>-69.262776552012497</v>
      </c>
      <c r="E31" s="38">
        <v>-37.911422627762498</v>
      </c>
      <c r="F31" s="47">
        <v>-175.54959920530013</v>
      </c>
      <c r="G31" s="38">
        <v>-576.90027028828808</v>
      </c>
      <c r="H31" s="47">
        <v>-529.47217252082498</v>
      </c>
      <c r="I31" s="38">
        <v>-489.38562677282675</v>
      </c>
      <c r="J31" s="47">
        <v>-1274.5419709133773</v>
      </c>
      <c r="K31" s="38">
        <v>-1384.8483553429264</v>
      </c>
      <c r="L31" s="47">
        <v>-1320.4097487427762</v>
      </c>
      <c r="M31" s="38">
        <v>-2776.2614894319254</v>
      </c>
      <c r="N31" s="47">
        <v>-4611.3906824636997</v>
      </c>
      <c r="O31" s="38">
        <v>-6435.7882137737006</v>
      </c>
      <c r="P31" s="47">
        <v>-8598.5630574046008</v>
      </c>
      <c r="Q31" s="38">
        <v>-9477.4342804027729</v>
      </c>
      <c r="R31" s="47">
        <v>-12810.065469296953</v>
      </c>
      <c r="S31" s="38">
        <v>-18434.747407660925</v>
      </c>
      <c r="T31" s="47">
        <v>-22538.936227667244</v>
      </c>
      <c r="U31" s="38">
        <v>-23321.221071983262</v>
      </c>
      <c r="V31" s="47">
        <v>-24132.860857262374</v>
      </c>
      <c r="W31" s="38">
        <v>-24275.133733569808</v>
      </c>
      <c r="X31" s="47">
        <v>-24877.189677942795</v>
      </c>
    </row>
    <row r="32" spans="1:24" ht="16.5" customHeight="1" x14ac:dyDescent="0.2">
      <c r="A32" s="99"/>
      <c r="B32" s="45" t="s">
        <v>68</v>
      </c>
      <c r="C32" s="38">
        <v>33.682022868985555</v>
      </c>
      <c r="D32" s="47">
        <v>65.942969640989432</v>
      </c>
      <c r="E32" s="38">
        <v>102.82403545253912</v>
      </c>
      <c r="F32" s="47">
        <v>147.43625793881051</v>
      </c>
      <c r="G32" s="38">
        <v>187.12063747649796</v>
      </c>
      <c r="H32" s="47">
        <v>225.30042186402767</v>
      </c>
      <c r="I32" s="38">
        <v>263.83302379993285</v>
      </c>
      <c r="J32" s="47">
        <v>301.18362451001508</v>
      </c>
      <c r="K32" s="38">
        <v>337.66747806587676</v>
      </c>
      <c r="L32" s="47">
        <v>373.94561288943635</v>
      </c>
      <c r="M32" s="38">
        <v>408.84136723401804</v>
      </c>
      <c r="N32" s="47">
        <v>442.54607288689101</v>
      </c>
      <c r="O32" s="38">
        <v>474.95891306815906</v>
      </c>
      <c r="P32" s="47">
        <v>503.6823097337118</v>
      </c>
      <c r="Q32" s="38">
        <v>529.26351352006361</v>
      </c>
      <c r="R32" s="47">
        <v>553.58336107859645</v>
      </c>
      <c r="S32" s="38">
        <v>578.24596470981385</v>
      </c>
      <c r="T32" s="47">
        <v>604.0044028940365</v>
      </c>
      <c r="U32" s="38">
        <v>632.26177192745865</v>
      </c>
      <c r="V32" s="47">
        <v>661.07410233220094</v>
      </c>
      <c r="W32" s="38">
        <v>682.66343216543623</v>
      </c>
      <c r="X32" s="47">
        <v>710.28891384972428</v>
      </c>
    </row>
    <row r="33" spans="1:24" ht="16.5" customHeight="1" thickBot="1" x14ac:dyDescent="0.25">
      <c r="A33" s="100"/>
      <c r="B33" s="45" t="s">
        <v>41</v>
      </c>
      <c r="C33" s="38">
        <v>2723</v>
      </c>
      <c r="D33" s="47">
        <v>3226</v>
      </c>
      <c r="E33" s="38">
        <v>3765</v>
      </c>
      <c r="F33" s="47">
        <v>4312</v>
      </c>
      <c r="G33" s="38">
        <v>4845</v>
      </c>
      <c r="H33" s="47">
        <v>5397</v>
      </c>
      <c r="I33" s="38">
        <v>5950</v>
      </c>
      <c r="J33" s="47">
        <v>6470</v>
      </c>
      <c r="K33" s="38">
        <v>6985</v>
      </c>
      <c r="L33" s="47">
        <v>7556</v>
      </c>
      <c r="M33" s="38">
        <v>8049</v>
      </c>
      <c r="N33" s="47">
        <v>8553</v>
      </c>
      <c r="O33" s="38">
        <v>8991</v>
      </c>
      <c r="P33" s="47">
        <v>9475</v>
      </c>
      <c r="Q33" s="38">
        <v>9889</v>
      </c>
      <c r="R33" s="47">
        <v>10231</v>
      </c>
      <c r="S33" s="38">
        <v>10571</v>
      </c>
      <c r="T33" s="47">
        <v>10930</v>
      </c>
      <c r="U33" s="38">
        <v>11249</v>
      </c>
      <c r="V33" s="47">
        <v>11514</v>
      </c>
      <c r="W33" s="38">
        <v>11791</v>
      </c>
      <c r="X33" s="47">
        <v>12047</v>
      </c>
    </row>
    <row r="34" spans="1:24" ht="16.5" customHeight="1" x14ac:dyDescent="0.2">
      <c r="A34" s="101" t="s">
        <v>36</v>
      </c>
      <c r="B34" s="37" t="s">
        <v>54</v>
      </c>
      <c r="C34" s="47">
        <v>54591.615508380295</v>
      </c>
      <c r="D34" s="38">
        <v>52126.77865235605</v>
      </c>
      <c r="E34" s="47">
        <v>49269.49016489066</v>
      </c>
      <c r="F34" s="38">
        <v>52502.016226427222</v>
      </c>
      <c r="G34" s="47">
        <v>54235.31844201553</v>
      </c>
      <c r="H34" s="38">
        <v>52536.348162917879</v>
      </c>
      <c r="I34" s="47">
        <v>48603.158371467711</v>
      </c>
      <c r="J34" s="38">
        <v>47265.515568256327</v>
      </c>
      <c r="K34" s="47">
        <v>40216.445067065433</v>
      </c>
      <c r="L34" s="38">
        <v>38835.526569775262</v>
      </c>
      <c r="M34" s="47">
        <v>39708.105355771309</v>
      </c>
      <c r="N34" s="38">
        <v>34101.774901354453</v>
      </c>
      <c r="O34" s="47">
        <v>32296.416785142908</v>
      </c>
      <c r="P34" s="38">
        <v>29684.952985397813</v>
      </c>
      <c r="Q34" s="47">
        <v>31327.476468601304</v>
      </c>
      <c r="R34" s="38">
        <v>32088.89969983112</v>
      </c>
      <c r="S34" s="47">
        <v>34527.713415672959</v>
      </c>
      <c r="T34" s="38">
        <v>35540.70510391576</v>
      </c>
      <c r="U34" s="47">
        <v>26616.571121486875</v>
      </c>
      <c r="V34" s="38">
        <v>24412.793768928979</v>
      </c>
      <c r="W34" s="47">
        <v>23432.349122827491</v>
      </c>
      <c r="X34" s="38">
        <v>23496.418664964433</v>
      </c>
    </row>
    <row r="35" spans="1:24" ht="16.5" customHeight="1" x14ac:dyDescent="0.2">
      <c r="A35" s="102"/>
      <c r="B35" s="37" t="s">
        <v>55</v>
      </c>
      <c r="C35" s="47">
        <v>0</v>
      </c>
      <c r="D35" s="38">
        <v>0</v>
      </c>
      <c r="E35" s="47">
        <v>0</v>
      </c>
      <c r="F35" s="38">
        <v>0</v>
      </c>
      <c r="G35" s="47">
        <v>0</v>
      </c>
      <c r="H35" s="38">
        <v>0</v>
      </c>
      <c r="I35" s="47">
        <v>0</v>
      </c>
      <c r="J35" s="38">
        <v>0</v>
      </c>
      <c r="K35" s="47">
        <v>0</v>
      </c>
      <c r="L35" s="38">
        <v>0</v>
      </c>
      <c r="M35" s="47">
        <v>0</v>
      </c>
      <c r="N35" s="38">
        <v>0</v>
      </c>
      <c r="O35" s="47">
        <v>0</v>
      </c>
      <c r="P35" s="38">
        <v>0</v>
      </c>
      <c r="Q35" s="47">
        <v>0</v>
      </c>
      <c r="R35" s="38">
        <v>0</v>
      </c>
      <c r="S35" s="47">
        <v>0</v>
      </c>
      <c r="T35" s="38">
        <v>0</v>
      </c>
      <c r="U35" s="47">
        <v>0</v>
      </c>
      <c r="V35" s="38">
        <v>0</v>
      </c>
      <c r="W35" s="47">
        <v>0</v>
      </c>
      <c r="X35" s="38">
        <v>0</v>
      </c>
    </row>
    <row r="36" spans="1:24" ht="16.5" customHeight="1" x14ac:dyDescent="0.2">
      <c r="A36" s="102"/>
      <c r="B36" s="37" t="s">
        <v>17</v>
      </c>
      <c r="C36" s="47">
        <v>707.31977613258096</v>
      </c>
      <c r="D36" s="38">
        <v>709.25763853293097</v>
      </c>
      <c r="E36" s="47">
        <v>707.31977613256004</v>
      </c>
      <c r="F36" s="38">
        <v>707.31977613259096</v>
      </c>
      <c r="G36" s="47">
        <v>707.31977613257095</v>
      </c>
      <c r="H36" s="38">
        <v>709.25763853293097</v>
      </c>
      <c r="I36" s="47">
        <v>707.31977613253093</v>
      </c>
      <c r="J36" s="38">
        <v>707.31977613255094</v>
      </c>
      <c r="K36" s="47">
        <v>707.31977613258096</v>
      </c>
      <c r="L36" s="38">
        <v>709.25763853295098</v>
      </c>
      <c r="M36" s="47">
        <v>707.31977613258005</v>
      </c>
      <c r="N36" s="38">
        <v>707.31977613260005</v>
      </c>
      <c r="O36" s="47">
        <v>707.31977613256095</v>
      </c>
      <c r="P36" s="38">
        <v>709.25763853294097</v>
      </c>
      <c r="Q36" s="47">
        <v>707.31977613257197</v>
      </c>
      <c r="R36" s="38">
        <v>707.31977613259198</v>
      </c>
      <c r="S36" s="47">
        <v>707.31977613255299</v>
      </c>
      <c r="T36" s="38">
        <v>709.25763853292301</v>
      </c>
      <c r="U36" s="47">
        <v>707.31977613254196</v>
      </c>
      <c r="V36" s="38">
        <v>707.31977613257095</v>
      </c>
      <c r="W36" s="47">
        <v>707.31977613257209</v>
      </c>
      <c r="X36" s="38">
        <v>709.25763853293097</v>
      </c>
    </row>
    <row r="37" spans="1:24" ht="16.5" customHeight="1" x14ac:dyDescent="0.2">
      <c r="A37" s="102"/>
      <c r="B37" s="37" t="s">
        <v>44</v>
      </c>
      <c r="C37" s="47">
        <v>6624.6690987835718</v>
      </c>
      <c r="D37" s="38">
        <v>5196.8156181381191</v>
      </c>
      <c r="E37" s="47">
        <v>5017.5794467208398</v>
      </c>
      <c r="F37" s="38">
        <v>4030.084793938021</v>
      </c>
      <c r="G37" s="47">
        <v>5741.4813338663744</v>
      </c>
      <c r="H37" s="38">
        <v>5175.3523417237648</v>
      </c>
      <c r="I37" s="47">
        <v>4900.6386072650639</v>
      </c>
      <c r="J37" s="38">
        <v>5055.4633968233102</v>
      </c>
      <c r="K37" s="47">
        <v>6090.5426272182494</v>
      </c>
      <c r="L37" s="38">
        <v>5508.1232674394087</v>
      </c>
      <c r="M37" s="47">
        <v>5908.2178463331893</v>
      </c>
      <c r="N37" s="38">
        <v>6033.1421932212525</v>
      </c>
      <c r="O37" s="47">
        <v>5342.8177431648692</v>
      </c>
      <c r="P37" s="38">
        <v>5446.2758984455313</v>
      </c>
      <c r="Q37" s="47">
        <v>5180.859488263739</v>
      </c>
      <c r="R37" s="38">
        <v>5559.346456757602</v>
      </c>
      <c r="S37" s="47">
        <v>5285.4600564125622</v>
      </c>
      <c r="T37" s="38">
        <v>5750.4351459897434</v>
      </c>
      <c r="U37" s="47">
        <v>6580.920970160445</v>
      </c>
      <c r="V37" s="38">
        <v>6125.9475767982149</v>
      </c>
      <c r="W37" s="47">
        <v>5975.0771920033167</v>
      </c>
      <c r="X37" s="38">
        <v>5160.2873916771432</v>
      </c>
    </row>
    <row r="38" spans="1:24" ht="16.5" customHeight="1" x14ac:dyDescent="0.2">
      <c r="A38" s="102"/>
      <c r="B38" s="37" t="s">
        <v>56</v>
      </c>
      <c r="C38" s="47">
        <v>817.08138556743995</v>
      </c>
      <c r="D38" s="38">
        <v>62.324250906879996</v>
      </c>
      <c r="E38" s="47">
        <v>32.443231611160002</v>
      </c>
      <c r="F38" s="38">
        <v>73.289499425650007</v>
      </c>
      <c r="G38" s="47">
        <v>368.34885157956006</v>
      </c>
      <c r="H38" s="38">
        <v>319.22433217659</v>
      </c>
      <c r="I38" s="47">
        <v>213.78148794150999</v>
      </c>
      <c r="J38" s="38">
        <v>340.40662218336007</v>
      </c>
      <c r="K38" s="47">
        <v>630.87030577572011</v>
      </c>
      <c r="L38" s="38">
        <v>419.49341560129</v>
      </c>
      <c r="M38" s="47">
        <v>474.79706818172997</v>
      </c>
      <c r="N38" s="38">
        <v>614.57168985906992</v>
      </c>
      <c r="O38" s="47">
        <v>236.87559182359001</v>
      </c>
      <c r="P38" s="38">
        <v>274.23549049917</v>
      </c>
      <c r="Q38" s="47">
        <v>983.49846503484207</v>
      </c>
      <c r="R38" s="38">
        <v>580.23474745764997</v>
      </c>
      <c r="S38" s="47">
        <v>1197.458442550002</v>
      </c>
      <c r="T38" s="38">
        <v>1544.8903913677921</v>
      </c>
      <c r="U38" s="47">
        <v>2249.9100455778398</v>
      </c>
      <c r="V38" s="38">
        <v>2174.4664971667321</v>
      </c>
      <c r="W38" s="47">
        <v>2764.097997390872</v>
      </c>
      <c r="X38" s="38">
        <v>1796.9598624532121</v>
      </c>
    </row>
    <row r="39" spans="1:24" ht="16.5" customHeight="1" x14ac:dyDescent="0.2">
      <c r="A39" s="102"/>
      <c r="B39" s="37" t="s">
        <v>18</v>
      </c>
      <c r="C39" s="47">
        <v>878.38393203495002</v>
      </c>
      <c r="D39" s="38">
        <v>2745.26960147718</v>
      </c>
      <c r="E39" s="47">
        <v>2749.5290111219101</v>
      </c>
      <c r="F39" s="38">
        <v>2746.4046902764103</v>
      </c>
      <c r="G39" s="47">
        <v>2756.3899309139401</v>
      </c>
      <c r="H39" s="38">
        <v>2787.7038596207503</v>
      </c>
      <c r="I39" s="47">
        <v>2733.4230259849601</v>
      </c>
      <c r="J39" s="38">
        <v>2750.0000000000305</v>
      </c>
      <c r="K39" s="47">
        <v>4438.0831150075601</v>
      </c>
      <c r="L39" s="38">
        <v>4909.8524996948399</v>
      </c>
      <c r="M39" s="47">
        <v>5997.5657474958689</v>
      </c>
      <c r="N39" s="38">
        <v>8001.7256036781591</v>
      </c>
      <c r="O39" s="47">
        <v>8982.5417843657106</v>
      </c>
      <c r="P39" s="38">
        <v>9226.3647207799495</v>
      </c>
      <c r="Q39" s="47">
        <v>9172.3443706499784</v>
      </c>
      <c r="R39" s="38">
        <v>9219.1145173323403</v>
      </c>
      <c r="S39" s="47">
        <v>9338.70696983366</v>
      </c>
      <c r="T39" s="38">
        <v>9450.8093332859007</v>
      </c>
      <c r="U39" s="47">
        <v>9615.7628254518713</v>
      </c>
      <c r="V39" s="38">
        <v>9771.9403465758296</v>
      </c>
      <c r="W39" s="47">
        <v>9770.0009039068609</v>
      </c>
      <c r="X39" s="38">
        <v>9924.5927010482901</v>
      </c>
    </row>
    <row r="40" spans="1:24" ht="16.5" customHeight="1" x14ac:dyDescent="0.2">
      <c r="A40" s="102"/>
      <c r="B40" s="37" t="s">
        <v>57</v>
      </c>
      <c r="C40" s="47">
        <v>2730.0896288469103</v>
      </c>
      <c r="D40" s="38">
        <v>3152.3599076272699</v>
      </c>
      <c r="E40" s="47">
        <v>3131.2731483433499</v>
      </c>
      <c r="F40" s="38">
        <v>3144.4284083820603</v>
      </c>
      <c r="G40" s="47">
        <v>3133.4510383595207</v>
      </c>
      <c r="H40" s="38">
        <v>3586.9127073244595</v>
      </c>
      <c r="I40" s="47">
        <v>8430.65863113046</v>
      </c>
      <c r="J40" s="38">
        <v>10923.134851291239</v>
      </c>
      <c r="K40" s="47">
        <v>15043.66230810765</v>
      </c>
      <c r="L40" s="38">
        <v>16842.3948986779</v>
      </c>
      <c r="M40" s="47">
        <v>16780.790238331429</v>
      </c>
      <c r="N40" s="38">
        <v>19373.916432098918</v>
      </c>
      <c r="O40" s="47">
        <v>22881.509041844583</v>
      </c>
      <c r="P40" s="38">
        <v>25003.721304720541</v>
      </c>
      <c r="Q40" s="47">
        <v>25030.136535728459</v>
      </c>
      <c r="R40" s="38">
        <v>24923.566733344735</v>
      </c>
      <c r="S40" s="47">
        <v>25117.283285749065</v>
      </c>
      <c r="T40" s="38">
        <v>25371.852998010458</v>
      </c>
      <c r="U40" s="47">
        <v>29878.61702670842</v>
      </c>
      <c r="V40" s="38">
        <v>30016.456820087584</v>
      </c>
      <c r="W40" s="47">
        <v>30092.736044468838</v>
      </c>
      <c r="X40" s="38">
        <v>30065.015418236409</v>
      </c>
    </row>
    <row r="41" spans="1:24" ht="16.5" customHeight="1" x14ac:dyDescent="0.2">
      <c r="A41" s="102"/>
      <c r="B41" s="37" t="s">
        <v>65</v>
      </c>
      <c r="C41" s="47">
        <v>-36.45110785564485</v>
      </c>
      <c r="D41" s="38">
        <v>-70.267287764248479</v>
      </c>
      <c r="E41" s="47">
        <v>-112.31544189723164</v>
      </c>
      <c r="F41" s="38">
        <v>-154.79394967998687</v>
      </c>
      <c r="G41" s="47">
        <v>-192.83541251406444</v>
      </c>
      <c r="H41" s="38">
        <v>-226.91947619822565</v>
      </c>
      <c r="I41" s="47">
        <v>-258.79651548809755</v>
      </c>
      <c r="J41" s="38">
        <v>-288.70051886872096</v>
      </c>
      <c r="K41" s="47">
        <v>-317.96337408872517</v>
      </c>
      <c r="L41" s="38">
        <v>-345.9424726496901</v>
      </c>
      <c r="M41" s="47">
        <v>-373.42110158555488</v>
      </c>
      <c r="N41" s="38">
        <v>-403.62021076077298</v>
      </c>
      <c r="O41" s="47">
        <v>-434.76256545779688</v>
      </c>
      <c r="P41" s="38">
        <v>-467.49778888670556</v>
      </c>
      <c r="Q41" s="47">
        <v>-500.4456476707353</v>
      </c>
      <c r="R41" s="38">
        <v>-532.18081190730845</v>
      </c>
      <c r="S41" s="47">
        <v>-560.01603409707195</v>
      </c>
      <c r="T41" s="38">
        <v>-580.67077601839094</v>
      </c>
      <c r="U41" s="47">
        <v>-593.41165802609964</v>
      </c>
      <c r="V41" s="38">
        <v>-601.81887648823829</v>
      </c>
      <c r="W41" s="47">
        <v>-606.31898986099122</v>
      </c>
      <c r="X41" s="38">
        <v>-616.90395309900748</v>
      </c>
    </row>
    <row r="42" spans="1:24" ht="16.5" customHeight="1" x14ac:dyDescent="0.2">
      <c r="A42" s="102"/>
      <c r="B42" s="37" t="s">
        <v>66</v>
      </c>
      <c r="C42" s="47">
        <v>783.39136846344002</v>
      </c>
      <c r="D42" s="38">
        <v>96.098552660780015</v>
      </c>
      <c r="E42" s="47">
        <v>82.071134399329992</v>
      </c>
      <c r="F42" s="38">
        <v>371.2901340014605</v>
      </c>
      <c r="G42" s="47">
        <v>701.65923869468065</v>
      </c>
      <c r="H42" s="38">
        <v>607.77200696353043</v>
      </c>
      <c r="I42" s="47">
        <v>627.58287141987046</v>
      </c>
      <c r="J42" s="38">
        <v>785.83550785865043</v>
      </c>
      <c r="K42" s="47">
        <v>1788.9255156162262</v>
      </c>
      <c r="L42" s="38">
        <v>2017.5422704807504</v>
      </c>
      <c r="M42" s="47">
        <v>2483.4894854192303</v>
      </c>
      <c r="N42" s="38">
        <v>4876.0521150219402</v>
      </c>
      <c r="O42" s="47">
        <v>6353.9833832665699</v>
      </c>
      <c r="P42" s="38">
        <v>7986.3640854373698</v>
      </c>
      <c r="Q42" s="47">
        <v>8593.3189389699401</v>
      </c>
      <c r="R42" s="38">
        <v>8656.2030709576593</v>
      </c>
      <c r="S42" s="47">
        <v>9307.4419805162397</v>
      </c>
      <c r="T42" s="38">
        <v>10346.037974515941</v>
      </c>
      <c r="U42" s="47">
        <v>13318.633900118322</v>
      </c>
      <c r="V42" s="38">
        <v>13408.947214904811</v>
      </c>
      <c r="W42" s="47">
        <v>13231.857723548132</v>
      </c>
      <c r="X42" s="38">
        <v>13478.549524970162</v>
      </c>
    </row>
    <row r="43" spans="1:24" ht="16.5" customHeight="1" x14ac:dyDescent="0.2">
      <c r="A43" s="102"/>
      <c r="B43" s="37" t="s">
        <v>59</v>
      </c>
      <c r="C43" s="47">
        <v>0</v>
      </c>
      <c r="D43" s="38">
        <v>0</v>
      </c>
      <c r="E43" s="47">
        <v>0</v>
      </c>
      <c r="F43" s="38">
        <v>0</v>
      </c>
      <c r="G43" s="47">
        <v>0</v>
      </c>
      <c r="H43" s="38">
        <v>0</v>
      </c>
      <c r="I43" s="47">
        <v>0</v>
      </c>
      <c r="J43" s="38">
        <v>0</v>
      </c>
      <c r="K43" s="47">
        <v>0</v>
      </c>
      <c r="L43" s="38">
        <v>0</v>
      </c>
      <c r="M43" s="47">
        <v>0</v>
      </c>
      <c r="N43" s="38">
        <v>0</v>
      </c>
      <c r="O43" s="47">
        <v>0</v>
      </c>
      <c r="P43" s="38">
        <v>0</v>
      </c>
      <c r="Q43" s="47">
        <v>0</v>
      </c>
      <c r="R43" s="38">
        <v>0</v>
      </c>
      <c r="S43" s="47">
        <v>0</v>
      </c>
      <c r="T43" s="38">
        <v>0</v>
      </c>
      <c r="U43" s="47">
        <v>0</v>
      </c>
      <c r="V43" s="38">
        <v>397.07475713896099</v>
      </c>
      <c r="W43" s="47">
        <v>411.89228497549999</v>
      </c>
      <c r="X43" s="38">
        <v>413.02075698946902</v>
      </c>
    </row>
    <row r="44" spans="1:24" ht="16.5" customHeight="1" x14ac:dyDescent="0.2">
      <c r="A44" s="102"/>
      <c r="B44" s="37" t="s">
        <v>67</v>
      </c>
      <c r="C44" s="47">
        <v>-979.23921057929999</v>
      </c>
      <c r="D44" s="38">
        <v>-120.12319082597502</v>
      </c>
      <c r="E44" s="47">
        <v>-102.58891799916249</v>
      </c>
      <c r="F44" s="38">
        <v>-464.11266750182563</v>
      </c>
      <c r="G44" s="47">
        <v>-877.07404836835076</v>
      </c>
      <c r="H44" s="38">
        <v>-759.71500870441298</v>
      </c>
      <c r="I44" s="47">
        <v>-784.47858927483799</v>
      </c>
      <c r="J44" s="38">
        <v>-982.29438482331295</v>
      </c>
      <c r="K44" s="47">
        <v>-2236.1568945202825</v>
      </c>
      <c r="L44" s="38">
        <v>-2521.9278381009381</v>
      </c>
      <c r="M44" s="47">
        <v>-3104.3618567740377</v>
      </c>
      <c r="N44" s="38">
        <v>-6095.065143777425</v>
      </c>
      <c r="O44" s="47">
        <v>-7942.479229083212</v>
      </c>
      <c r="P44" s="38">
        <v>-9982.9551067967113</v>
      </c>
      <c r="Q44" s="47">
        <v>-10741.648673712425</v>
      </c>
      <c r="R44" s="38">
        <v>-10820.253838697074</v>
      </c>
      <c r="S44" s="47">
        <v>-11634.3024756453</v>
      </c>
      <c r="T44" s="38">
        <v>-12932.547468144925</v>
      </c>
      <c r="U44" s="47">
        <v>-16648.292375147903</v>
      </c>
      <c r="V44" s="38">
        <v>-16761.184018631011</v>
      </c>
      <c r="W44" s="47">
        <v>-16539.822154435162</v>
      </c>
      <c r="X44" s="38">
        <v>-16848.186906212701</v>
      </c>
    </row>
    <row r="45" spans="1:24" ht="16.5" customHeight="1" x14ac:dyDescent="0.2">
      <c r="A45" s="102"/>
      <c r="B45" s="37" t="s">
        <v>68</v>
      </c>
      <c r="C45" s="47">
        <v>32.805997070080366</v>
      </c>
      <c r="D45" s="38">
        <v>63.240558987823633</v>
      </c>
      <c r="E45" s="47">
        <v>101.08389770750847</v>
      </c>
      <c r="F45" s="38">
        <v>139.31455471198819</v>
      </c>
      <c r="G45" s="47">
        <v>173.55187126265801</v>
      </c>
      <c r="H45" s="38">
        <v>204.22752857840308</v>
      </c>
      <c r="I45" s="47">
        <v>232.91686393928779</v>
      </c>
      <c r="J45" s="38">
        <v>259.83046698184887</v>
      </c>
      <c r="K45" s="47">
        <v>286.16703667985269</v>
      </c>
      <c r="L45" s="38">
        <v>311.3482253847211</v>
      </c>
      <c r="M45" s="47">
        <v>336.07899142699938</v>
      </c>
      <c r="N45" s="38">
        <v>363.25818968469571</v>
      </c>
      <c r="O45" s="47">
        <v>391.2863089120172</v>
      </c>
      <c r="P45" s="38">
        <v>420.748009998035</v>
      </c>
      <c r="Q45" s="47">
        <v>450.4010829036618</v>
      </c>
      <c r="R45" s="38">
        <v>478.9627307165776</v>
      </c>
      <c r="S45" s="47">
        <v>504.01443068736478</v>
      </c>
      <c r="T45" s="38">
        <v>522.60369841655188</v>
      </c>
      <c r="U45" s="47">
        <v>534.07049222348974</v>
      </c>
      <c r="V45" s="38">
        <v>541.63698883941447</v>
      </c>
      <c r="W45" s="47">
        <v>545.68709087489208</v>
      </c>
      <c r="X45" s="38">
        <v>555.21355778910674</v>
      </c>
    </row>
    <row r="46" spans="1:24" ht="16.5" customHeight="1" thickBot="1" x14ac:dyDescent="0.25">
      <c r="A46" s="103"/>
      <c r="B46" s="37" t="s">
        <v>41</v>
      </c>
      <c r="C46" s="47">
        <v>3319</v>
      </c>
      <c r="D46" s="38">
        <v>3691</v>
      </c>
      <c r="E46" s="47">
        <v>4068</v>
      </c>
      <c r="F46" s="38">
        <v>4443</v>
      </c>
      <c r="G46" s="47">
        <v>4783</v>
      </c>
      <c r="H46" s="38">
        <v>5131</v>
      </c>
      <c r="I46" s="47">
        <v>5446</v>
      </c>
      <c r="J46" s="38">
        <v>5754</v>
      </c>
      <c r="K46" s="47">
        <v>6046</v>
      </c>
      <c r="L46" s="38">
        <v>6401</v>
      </c>
      <c r="M46" s="47">
        <v>6682</v>
      </c>
      <c r="N46" s="38">
        <v>6959</v>
      </c>
      <c r="O46" s="47">
        <v>7227</v>
      </c>
      <c r="P46" s="38">
        <v>7498</v>
      </c>
      <c r="Q46" s="47">
        <v>7728</v>
      </c>
      <c r="R46" s="38">
        <v>7911</v>
      </c>
      <c r="S46" s="47">
        <v>8096</v>
      </c>
      <c r="T46" s="38">
        <v>8273</v>
      </c>
      <c r="U46" s="47">
        <v>8393</v>
      </c>
      <c r="V46" s="38">
        <v>8504</v>
      </c>
      <c r="W46" s="47">
        <v>8624</v>
      </c>
      <c r="X46" s="38">
        <v>8728</v>
      </c>
    </row>
    <row r="47" spans="1:24" ht="16.5" customHeight="1" x14ac:dyDescent="0.2">
      <c r="A47" s="98" t="s">
        <v>38</v>
      </c>
      <c r="B47" s="45" t="s">
        <v>54</v>
      </c>
      <c r="C47" s="38">
        <v>0</v>
      </c>
      <c r="D47" s="47">
        <v>0</v>
      </c>
      <c r="E47" s="38">
        <v>0</v>
      </c>
      <c r="F47" s="47">
        <v>0</v>
      </c>
      <c r="G47" s="38">
        <v>0</v>
      </c>
      <c r="H47" s="47">
        <v>0</v>
      </c>
      <c r="I47" s="38">
        <v>0</v>
      </c>
      <c r="J47" s="47">
        <v>0</v>
      </c>
      <c r="K47" s="38">
        <v>0</v>
      </c>
      <c r="L47" s="47">
        <v>0</v>
      </c>
      <c r="M47" s="38">
        <v>0</v>
      </c>
      <c r="N47" s="47">
        <v>0</v>
      </c>
      <c r="O47" s="38">
        <v>0</v>
      </c>
      <c r="P47" s="47">
        <v>0</v>
      </c>
      <c r="Q47" s="38">
        <v>0</v>
      </c>
      <c r="R47" s="47">
        <v>0</v>
      </c>
      <c r="S47" s="38">
        <v>0</v>
      </c>
      <c r="T47" s="47">
        <v>0</v>
      </c>
      <c r="U47" s="38">
        <v>0</v>
      </c>
      <c r="V47" s="47">
        <v>0</v>
      </c>
      <c r="W47" s="38">
        <v>0</v>
      </c>
      <c r="X47" s="47">
        <v>0</v>
      </c>
    </row>
    <row r="48" spans="1:24" ht="16.5" customHeight="1" x14ac:dyDescent="0.2">
      <c r="A48" s="99"/>
      <c r="B48" s="45" t="s">
        <v>55</v>
      </c>
      <c r="C48" s="38">
        <v>0</v>
      </c>
      <c r="D48" s="47">
        <v>0</v>
      </c>
      <c r="E48" s="38">
        <v>0</v>
      </c>
      <c r="F48" s="47">
        <v>0</v>
      </c>
      <c r="G48" s="38">
        <v>0</v>
      </c>
      <c r="H48" s="47">
        <v>0</v>
      </c>
      <c r="I48" s="38">
        <v>0</v>
      </c>
      <c r="J48" s="47">
        <v>0</v>
      </c>
      <c r="K48" s="38">
        <v>0</v>
      </c>
      <c r="L48" s="47">
        <v>0</v>
      </c>
      <c r="M48" s="38">
        <v>0</v>
      </c>
      <c r="N48" s="47">
        <v>0</v>
      </c>
      <c r="O48" s="38">
        <v>0</v>
      </c>
      <c r="P48" s="47">
        <v>0</v>
      </c>
      <c r="Q48" s="38">
        <v>0</v>
      </c>
      <c r="R48" s="47">
        <v>0</v>
      </c>
      <c r="S48" s="38">
        <v>0</v>
      </c>
      <c r="T48" s="47">
        <v>0</v>
      </c>
      <c r="U48" s="38">
        <v>0</v>
      </c>
      <c r="V48" s="47">
        <v>0</v>
      </c>
      <c r="W48" s="38">
        <v>0</v>
      </c>
      <c r="X48" s="47">
        <v>0</v>
      </c>
    </row>
    <row r="49" spans="1:24" ht="16.5" customHeight="1" x14ac:dyDescent="0.2">
      <c r="A49" s="99"/>
      <c r="B49" s="45" t="s">
        <v>17</v>
      </c>
      <c r="C49" s="38">
        <v>0</v>
      </c>
      <c r="D49" s="47">
        <v>0</v>
      </c>
      <c r="E49" s="38">
        <v>0</v>
      </c>
      <c r="F49" s="47">
        <v>0</v>
      </c>
      <c r="G49" s="38">
        <v>0</v>
      </c>
      <c r="H49" s="47">
        <v>0</v>
      </c>
      <c r="I49" s="38">
        <v>0</v>
      </c>
      <c r="J49" s="47">
        <v>0</v>
      </c>
      <c r="K49" s="38">
        <v>0</v>
      </c>
      <c r="L49" s="47">
        <v>0</v>
      </c>
      <c r="M49" s="38">
        <v>0</v>
      </c>
      <c r="N49" s="47">
        <v>0</v>
      </c>
      <c r="O49" s="38">
        <v>0</v>
      </c>
      <c r="P49" s="47">
        <v>0</v>
      </c>
      <c r="Q49" s="38">
        <v>0</v>
      </c>
      <c r="R49" s="47">
        <v>0</v>
      </c>
      <c r="S49" s="38">
        <v>0</v>
      </c>
      <c r="T49" s="47">
        <v>0</v>
      </c>
      <c r="U49" s="38">
        <v>0</v>
      </c>
      <c r="V49" s="47">
        <v>0</v>
      </c>
      <c r="W49" s="38">
        <v>0</v>
      </c>
      <c r="X49" s="47">
        <v>0</v>
      </c>
    </row>
    <row r="50" spans="1:24" ht="16.5" customHeight="1" x14ac:dyDescent="0.2">
      <c r="A50" s="99"/>
      <c r="B50" s="45" t="s">
        <v>44</v>
      </c>
      <c r="C50" s="38">
        <v>5641</v>
      </c>
      <c r="D50" s="47">
        <v>4517</v>
      </c>
      <c r="E50" s="38">
        <v>4496</v>
      </c>
      <c r="F50" s="47">
        <v>4506</v>
      </c>
      <c r="G50" s="38">
        <v>4517</v>
      </c>
      <c r="H50" s="47">
        <v>4515</v>
      </c>
      <c r="I50" s="38">
        <v>0</v>
      </c>
      <c r="J50" s="47">
        <v>0</v>
      </c>
      <c r="K50" s="38">
        <v>0</v>
      </c>
      <c r="L50" s="47">
        <v>0</v>
      </c>
      <c r="M50" s="38">
        <v>0</v>
      </c>
      <c r="N50" s="47">
        <v>0</v>
      </c>
      <c r="O50" s="38">
        <v>0</v>
      </c>
      <c r="P50" s="47">
        <v>0</v>
      </c>
      <c r="Q50" s="38">
        <v>0</v>
      </c>
      <c r="R50" s="47">
        <v>0</v>
      </c>
      <c r="S50" s="38">
        <v>0</v>
      </c>
      <c r="T50" s="47">
        <v>0</v>
      </c>
      <c r="U50" s="38">
        <v>0</v>
      </c>
      <c r="V50" s="47">
        <v>0</v>
      </c>
      <c r="W50" s="38">
        <v>0</v>
      </c>
      <c r="X50" s="47">
        <v>0</v>
      </c>
    </row>
    <row r="51" spans="1:24" ht="16.5" customHeight="1" x14ac:dyDescent="0.2">
      <c r="A51" s="99"/>
      <c r="B51" s="45" t="s">
        <v>56</v>
      </c>
      <c r="C51" s="38">
        <v>898</v>
      </c>
      <c r="D51" s="47">
        <v>364</v>
      </c>
      <c r="E51" s="38">
        <v>365</v>
      </c>
      <c r="F51" s="47">
        <v>53</v>
      </c>
      <c r="G51" s="38">
        <v>95</v>
      </c>
      <c r="H51" s="47">
        <v>77</v>
      </c>
      <c r="I51" s="38">
        <v>135</v>
      </c>
      <c r="J51" s="47">
        <v>180</v>
      </c>
      <c r="K51" s="38">
        <v>277</v>
      </c>
      <c r="L51" s="47">
        <v>178</v>
      </c>
      <c r="M51" s="38">
        <v>261</v>
      </c>
      <c r="N51" s="47">
        <v>272</v>
      </c>
      <c r="O51" s="38">
        <v>163</v>
      </c>
      <c r="P51" s="47">
        <v>137</v>
      </c>
      <c r="Q51" s="38">
        <v>305</v>
      </c>
      <c r="R51" s="47">
        <v>233</v>
      </c>
      <c r="S51" s="38">
        <v>482</v>
      </c>
      <c r="T51" s="47">
        <v>679</v>
      </c>
      <c r="U51" s="38">
        <v>670</v>
      </c>
      <c r="V51" s="47">
        <v>606</v>
      </c>
      <c r="W51" s="38">
        <v>516</v>
      </c>
      <c r="X51" s="47">
        <v>315</v>
      </c>
    </row>
    <row r="52" spans="1:24" ht="16.5" customHeight="1" x14ac:dyDescent="0.2">
      <c r="A52" s="99"/>
      <c r="B52" s="45" t="s">
        <v>18</v>
      </c>
      <c r="C52" s="38">
        <v>6655.9364188434502</v>
      </c>
      <c r="D52" s="47">
        <v>7464.2275794274501</v>
      </c>
      <c r="E52" s="38">
        <v>7308.9945413741398</v>
      </c>
      <c r="F52" s="47">
        <v>7239.5517408750011</v>
      </c>
      <c r="G52" s="38">
        <v>7390.6878803515392</v>
      </c>
      <c r="H52" s="47">
        <v>7676.8927864115412</v>
      </c>
      <c r="I52" s="38">
        <v>7759.3021214871314</v>
      </c>
      <c r="J52" s="47">
        <v>7523.8935277951687</v>
      </c>
      <c r="K52" s="38">
        <v>7403.8513463062009</v>
      </c>
      <c r="L52" s="47">
        <v>7264.7172723418389</v>
      </c>
      <c r="M52" s="38">
        <v>7381.87846462176</v>
      </c>
      <c r="N52" s="47">
        <v>7258.6952805456995</v>
      </c>
      <c r="O52" s="38">
        <v>7536.5435544759903</v>
      </c>
      <c r="P52" s="47">
        <v>7605.6619795252391</v>
      </c>
      <c r="Q52" s="38">
        <v>7690.9708959141808</v>
      </c>
      <c r="R52" s="47">
        <v>8576.0333414673223</v>
      </c>
      <c r="S52" s="38">
        <v>9541.4349780462016</v>
      </c>
      <c r="T52" s="47">
        <v>10079.484085164482</v>
      </c>
      <c r="U52" s="38">
        <v>9917.8358296843799</v>
      </c>
      <c r="V52" s="47">
        <v>9861.6239088722123</v>
      </c>
      <c r="W52" s="38">
        <v>9940.174268528941</v>
      </c>
      <c r="X52" s="47">
        <v>10209.083212993699</v>
      </c>
    </row>
    <row r="53" spans="1:24" ht="16.5" customHeight="1" x14ac:dyDescent="0.2">
      <c r="A53" s="99"/>
      <c r="B53" s="45" t="s">
        <v>57</v>
      </c>
      <c r="C53" s="38">
        <v>412.73092924625001</v>
      </c>
      <c r="D53" s="47">
        <v>1912.1541252797899</v>
      </c>
      <c r="E53" s="38">
        <v>1901.9846027612698</v>
      </c>
      <c r="F53" s="47">
        <v>1896.8024665422001</v>
      </c>
      <c r="G53" s="38">
        <v>1901.7308220044999</v>
      </c>
      <c r="H53" s="47">
        <v>1903.73705909045</v>
      </c>
      <c r="I53" s="38">
        <v>3437.4011831277799</v>
      </c>
      <c r="J53" s="47">
        <v>4150.92995643021</v>
      </c>
      <c r="K53" s="38">
        <v>5899.75155535675</v>
      </c>
      <c r="L53" s="47">
        <v>8095.08449835386</v>
      </c>
      <c r="M53" s="38">
        <v>8417.9654075425296</v>
      </c>
      <c r="N53" s="47">
        <v>8699.0003847946209</v>
      </c>
      <c r="O53" s="38">
        <v>8749.9760954436897</v>
      </c>
      <c r="P53" s="47">
        <v>8806.59601385727</v>
      </c>
      <c r="Q53" s="38">
        <v>8762.7810123537001</v>
      </c>
      <c r="R53" s="47">
        <v>8782.7967642764706</v>
      </c>
      <c r="S53" s="38">
        <v>8707.7716479731716</v>
      </c>
      <c r="T53" s="47">
        <v>8973.7867325860498</v>
      </c>
      <c r="U53" s="38">
        <v>10843.565038326211</v>
      </c>
      <c r="V53" s="47">
        <v>10866.722056437291</v>
      </c>
      <c r="W53" s="38">
        <v>10835.291635984981</v>
      </c>
      <c r="X53" s="47">
        <v>10922.972848822599</v>
      </c>
    </row>
    <row r="54" spans="1:24" ht="16.5" customHeight="1" x14ac:dyDescent="0.2">
      <c r="A54" s="99"/>
      <c r="B54" s="45" t="s">
        <v>65</v>
      </c>
      <c r="C54" s="38">
        <v>-23.537240642610438</v>
      </c>
      <c r="D54" s="47">
        <v>-45.2301436405616</v>
      </c>
      <c r="E54" s="38">
        <v>-73.383057804436007</v>
      </c>
      <c r="F54" s="47">
        <v>-97.536204584871314</v>
      </c>
      <c r="G54" s="38">
        <v>-118.35399024628362</v>
      </c>
      <c r="H54" s="47">
        <v>-135.04167164388693</v>
      </c>
      <c r="I54" s="38">
        <v>-151.41224649749142</v>
      </c>
      <c r="J54" s="47">
        <v>-165.36918956007642</v>
      </c>
      <c r="K54" s="38">
        <v>-179.13586051983913</v>
      </c>
      <c r="L54" s="47">
        <v>-194.09137640797519</v>
      </c>
      <c r="M54" s="38">
        <v>-209.46030086973354</v>
      </c>
      <c r="N54" s="47">
        <v>-222.61680302654955</v>
      </c>
      <c r="O54" s="38">
        <v>-230.16431961869992</v>
      </c>
      <c r="P54" s="47">
        <v>-231.88083331988935</v>
      </c>
      <c r="Q54" s="38">
        <v>-229.21639206200496</v>
      </c>
      <c r="R54" s="47">
        <v>-223.59534316909435</v>
      </c>
      <c r="S54" s="38">
        <v>-216.23173886320129</v>
      </c>
      <c r="T54" s="47">
        <v>-210.05936455581352</v>
      </c>
      <c r="U54" s="38">
        <v>-204.66770547773115</v>
      </c>
      <c r="V54" s="47">
        <v>-201.99375410096116</v>
      </c>
      <c r="W54" s="38">
        <v>-200.48442221238133</v>
      </c>
      <c r="X54" s="47">
        <v>-202.59070774952474</v>
      </c>
    </row>
    <row r="55" spans="1:24" ht="16.5" customHeight="1" x14ac:dyDescent="0.2">
      <c r="A55" s="99"/>
      <c r="B55" s="45" t="s">
        <v>66</v>
      </c>
      <c r="C55" s="38">
        <v>21.826866871109999</v>
      </c>
      <c r="D55" s="47">
        <v>27.099901596460001</v>
      </c>
      <c r="E55" s="38">
        <v>25.831770746819998</v>
      </c>
      <c r="F55" s="47">
        <v>34.786013995860003</v>
      </c>
      <c r="G55" s="38">
        <v>35.517681157310001</v>
      </c>
      <c r="H55" s="47">
        <v>33.054953318430002</v>
      </c>
      <c r="I55" s="38">
        <v>950.14083523224895</v>
      </c>
      <c r="J55" s="47">
        <v>1284.12485104591</v>
      </c>
      <c r="K55" s="38">
        <v>2038.8236776902099</v>
      </c>
      <c r="L55" s="47">
        <v>3117.86078370116</v>
      </c>
      <c r="M55" s="38">
        <v>3263.7587322064696</v>
      </c>
      <c r="N55" s="47">
        <v>3374.7531773631099</v>
      </c>
      <c r="O55" s="38">
        <v>3381.8532342503204</v>
      </c>
      <c r="P55" s="47">
        <v>3437.8309215096601</v>
      </c>
      <c r="Q55" s="38">
        <v>3555.64613269147</v>
      </c>
      <c r="R55" s="47">
        <v>3573.1004831146897</v>
      </c>
      <c r="S55" s="38">
        <v>3589.4010192731603</v>
      </c>
      <c r="T55" s="47">
        <v>3590.5193589670803</v>
      </c>
      <c r="U55" s="38">
        <v>4209.6641249570202</v>
      </c>
      <c r="V55" s="47">
        <v>4232.6354918346005</v>
      </c>
      <c r="W55" s="38">
        <v>4234.2830368246405</v>
      </c>
      <c r="X55" s="47">
        <v>4308.1747623363399</v>
      </c>
    </row>
    <row r="56" spans="1:24" ht="16.5" customHeight="1" x14ac:dyDescent="0.2">
      <c r="A56" s="99"/>
      <c r="B56" s="45" t="s">
        <v>59</v>
      </c>
      <c r="C56" s="38">
        <v>0</v>
      </c>
      <c r="D56" s="47">
        <v>0</v>
      </c>
      <c r="E56" s="38">
        <v>0</v>
      </c>
      <c r="F56" s="47">
        <v>0</v>
      </c>
      <c r="G56" s="38">
        <v>0</v>
      </c>
      <c r="H56" s="47">
        <v>0</v>
      </c>
      <c r="I56" s="38">
        <v>0</v>
      </c>
      <c r="J56" s="47">
        <v>0</v>
      </c>
      <c r="K56" s="38">
        <v>0</v>
      </c>
      <c r="L56" s="47">
        <v>0</v>
      </c>
      <c r="M56" s="38">
        <v>0</v>
      </c>
      <c r="N56" s="47">
        <v>0</v>
      </c>
      <c r="O56" s="38">
        <v>0</v>
      </c>
      <c r="P56" s="47">
        <v>0</v>
      </c>
      <c r="Q56" s="38">
        <v>0</v>
      </c>
      <c r="R56" s="47">
        <v>0</v>
      </c>
      <c r="S56" s="38">
        <v>438.00000000001899</v>
      </c>
      <c r="T56" s="47">
        <v>439.20000000001897</v>
      </c>
      <c r="U56" s="38">
        <v>437.99999999999898</v>
      </c>
      <c r="V56" s="47">
        <v>437.99999999998897</v>
      </c>
      <c r="W56" s="38">
        <v>437.99999999999898</v>
      </c>
      <c r="X56" s="47">
        <v>439.20000000000903</v>
      </c>
    </row>
    <row r="57" spans="1:24" ht="16.5" customHeight="1" x14ac:dyDescent="0.2">
      <c r="A57" s="99"/>
      <c r="B57" s="45" t="s">
        <v>67</v>
      </c>
      <c r="C57" s="38">
        <v>-27.283583588887499</v>
      </c>
      <c r="D57" s="47">
        <v>-33.874876995575001</v>
      </c>
      <c r="E57" s="38">
        <v>-32.289713433524994</v>
      </c>
      <c r="F57" s="47">
        <v>-43.482517494825004</v>
      </c>
      <c r="G57" s="38">
        <v>-44.3971014466375</v>
      </c>
      <c r="H57" s="47">
        <v>-41.3186916480375</v>
      </c>
      <c r="I57" s="38">
        <v>-1187.6760440403111</v>
      </c>
      <c r="J57" s="47">
        <v>-1605.1560638073875</v>
      </c>
      <c r="K57" s="38">
        <v>-2548.5295971127621</v>
      </c>
      <c r="L57" s="47">
        <v>-3897.3259796264497</v>
      </c>
      <c r="M57" s="38">
        <v>-4079.6984152580867</v>
      </c>
      <c r="N57" s="47">
        <v>-4218.4414717038871</v>
      </c>
      <c r="O57" s="38">
        <v>-4227.3165428129005</v>
      </c>
      <c r="P57" s="47">
        <v>-4297.2886518870746</v>
      </c>
      <c r="Q57" s="38">
        <v>-4444.5576658643377</v>
      </c>
      <c r="R57" s="47">
        <v>-4466.3756038933616</v>
      </c>
      <c r="S57" s="38">
        <v>-4486.7512740914499</v>
      </c>
      <c r="T57" s="47">
        <v>-4488.1491987088502</v>
      </c>
      <c r="U57" s="38">
        <v>-5262.0801561962753</v>
      </c>
      <c r="V57" s="47">
        <v>-5290.7943647932507</v>
      </c>
      <c r="W57" s="38">
        <v>-5292.8537960308004</v>
      </c>
      <c r="X57" s="47">
        <v>-5385.2184529204242</v>
      </c>
    </row>
    <row r="58" spans="1:24" ht="16.5" customHeight="1" x14ac:dyDescent="0.2">
      <c r="A58" s="99"/>
      <c r="B58" s="45" t="s">
        <v>68</v>
      </c>
      <c r="C58" s="38">
        <v>21.183516578349394</v>
      </c>
      <c r="D58" s="47">
        <v>40.707129276505441</v>
      </c>
      <c r="E58" s="38">
        <v>66.044752023992402</v>
      </c>
      <c r="F58" s="47">
        <v>87.78258412638418</v>
      </c>
      <c r="G58" s="38">
        <v>106.51859122165526</v>
      </c>
      <c r="H58" s="47">
        <v>121.53750447949824</v>
      </c>
      <c r="I58" s="38">
        <v>136.27102184774228</v>
      </c>
      <c r="J58" s="47">
        <v>148.83227060406878</v>
      </c>
      <c r="K58" s="38">
        <v>161.22227446785521</v>
      </c>
      <c r="L58" s="47">
        <v>174.68223876717767</v>
      </c>
      <c r="M58" s="38">
        <v>188.51427078276021</v>
      </c>
      <c r="N58" s="47">
        <v>200.3551227238946</v>
      </c>
      <c r="O58" s="38">
        <v>207.14788765682994</v>
      </c>
      <c r="P58" s="47">
        <v>208.69274998790041</v>
      </c>
      <c r="Q58" s="38">
        <v>206.29475285580446</v>
      </c>
      <c r="R58" s="47">
        <v>201.23580885218493</v>
      </c>
      <c r="S58" s="38">
        <v>194.60856497688115</v>
      </c>
      <c r="T58" s="47">
        <v>189.05342810023217</v>
      </c>
      <c r="U58" s="38">
        <v>184.20093492995804</v>
      </c>
      <c r="V58" s="47">
        <v>181.79437869086505</v>
      </c>
      <c r="W58" s="38">
        <v>180.4359799911432</v>
      </c>
      <c r="X58" s="47">
        <v>182.33163697457226</v>
      </c>
    </row>
    <row r="59" spans="1:24" ht="16.5" customHeight="1" thickBot="1" x14ac:dyDescent="0.25">
      <c r="A59" s="100"/>
      <c r="B59" s="45" t="s">
        <v>41</v>
      </c>
      <c r="C59" s="38">
        <v>1285</v>
      </c>
      <c r="D59" s="47">
        <v>1390</v>
      </c>
      <c r="E59" s="38">
        <v>1504</v>
      </c>
      <c r="F59" s="47">
        <v>1460</v>
      </c>
      <c r="G59" s="38">
        <v>1251</v>
      </c>
      <c r="H59" s="47">
        <v>1857</v>
      </c>
      <c r="I59" s="38">
        <v>1976</v>
      </c>
      <c r="J59" s="47">
        <v>2085</v>
      </c>
      <c r="K59" s="38">
        <v>2201</v>
      </c>
      <c r="L59" s="47">
        <v>2333</v>
      </c>
      <c r="M59" s="38">
        <v>2450</v>
      </c>
      <c r="N59" s="47">
        <v>2566</v>
      </c>
      <c r="O59" s="38">
        <v>2672</v>
      </c>
      <c r="P59" s="47">
        <v>2790</v>
      </c>
      <c r="Q59" s="38">
        <v>2900</v>
      </c>
      <c r="R59" s="47">
        <v>3002</v>
      </c>
      <c r="S59" s="38">
        <v>3096</v>
      </c>
      <c r="T59" s="47">
        <v>3195</v>
      </c>
      <c r="U59" s="38">
        <v>3275</v>
      </c>
      <c r="V59" s="47">
        <v>3360</v>
      </c>
      <c r="W59" s="38">
        <v>3447</v>
      </c>
      <c r="X59" s="47">
        <v>3525</v>
      </c>
    </row>
    <row r="60" spans="1:24" ht="16.5" customHeight="1" x14ac:dyDescent="0.2">
      <c r="A60" s="101" t="s">
        <v>37</v>
      </c>
      <c r="B60" s="37" t="s">
        <v>54</v>
      </c>
      <c r="C60" s="47">
        <v>0</v>
      </c>
      <c r="D60" s="38">
        <v>0</v>
      </c>
      <c r="E60" s="47">
        <v>0</v>
      </c>
      <c r="F60" s="38">
        <v>0</v>
      </c>
      <c r="G60" s="47">
        <v>0</v>
      </c>
      <c r="H60" s="38">
        <v>0</v>
      </c>
      <c r="I60" s="47">
        <v>0</v>
      </c>
      <c r="J60" s="38">
        <v>0</v>
      </c>
      <c r="K60" s="47">
        <v>0</v>
      </c>
      <c r="L60" s="38">
        <v>0</v>
      </c>
      <c r="M60" s="47">
        <v>0</v>
      </c>
      <c r="N60" s="38">
        <v>0</v>
      </c>
      <c r="O60" s="47">
        <v>0</v>
      </c>
      <c r="P60" s="38">
        <v>0</v>
      </c>
      <c r="Q60" s="47">
        <v>0</v>
      </c>
      <c r="R60" s="38">
        <v>0</v>
      </c>
      <c r="S60" s="47">
        <v>0</v>
      </c>
      <c r="T60" s="38">
        <v>0</v>
      </c>
      <c r="U60" s="47">
        <v>0</v>
      </c>
      <c r="V60" s="38">
        <v>0</v>
      </c>
      <c r="W60" s="47">
        <v>0</v>
      </c>
      <c r="X60" s="38">
        <v>0</v>
      </c>
    </row>
    <row r="61" spans="1:24" ht="16.5" customHeight="1" x14ac:dyDescent="0.2">
      <c r="A61" s="102"/>
      <c r="B61" s="37" t="s">
        <v>55</v>
      </c>
      <c r="C61" s="47">
        <v>32166.890696543047</v>
      </c>
      <c r="D61" s="38">
        <v>32229.926367054028</v>
      </c>
      <c r="E61" s="47">
        <v>32307.405312418683</v>
      </c>
      <c r="F61" s="38">
        <v>32592.507599193279</v>
      </c>
      <c r="G61" s="47">
        <v>30131.768956811531</v>
      </c>
      <c r="H61" s="38">
        <v>27903.305063563246</v>
      </c>
      <c r="I61" s="47">
        <v>30554.465247540149</v>
      </c>
      <c r="J61" s="38">
        <v>30066.696897314076</v>
      </c>
      <c r="K61" s="47">
        <v>26670.009459098797</v>
      </c>
      <c r="L61" s="38">
        <v>22428.623705001271</v>
      </c>
      <c r="M61" s="47">
        <v>20698.698279448319</v>
      </c>
      <c r="N61" s="38">
        <v>20705.065407971419</v>
      </c>
      <c r="O61" s="47">
        <v>20550.968749561231</v>
      </c>
      <c r="P61" s="38">
        <v>19932.963499354279</v>
      </c>
      <c r="Q61" s="47">
        <v>14168.84837156803</v>
      </c>
      <c r="R61" s="38">
        <v>13675.23602094725</v>
      </c>
      <c r="S61" s="47">
        <v>14140.238748832791</v>
      </c>
      <c r="T61" s="38">
        <v>14766.0298938632</v>
      </c>
      <c r="U61" s="47">
        <v>11102.80069681605</v>
      </c>
      <c r="V61" s="38">
        <v>14764.97679520669</v>
      </c>
      <c r="W61" s="47">
        <v>12947.190659198381</v>
      </c>
      <c r="X61" s="38">
        <v>12976.660984021741</v>
      </c>
    </row>
    <row r="62" spans="1:24" ht="16.5" customHeight="1" x14ac:dyDescent="0.2">
      <c r="A62" s="102"/>
      <c r="B62" s="37" t="s">
        <v>17</v>
      </c>
      <c r="C62" s="47">
        <v>3362.7083170182614</v>
      </c>
      <c r="D62" s="38">
        <v>3371.9212165167701</v>
      </c>
      <c r="E62" s="47">
        <v>3362.7083170180804</v>
      </c>
      <c r="F62" s="38">
        <v>3362.7083170181604</v>
      </c>
      <c r="G62" s="47">
        <v>3362.7083170181804</v>
      </c>
      <c r="H62" s="38">
        <v>3371.9212165168501</v>
      </c>
      <c r="I62" s="47">
        <v>3362.7083170181513</v>
      </c>
      <c r="J62" s="38">
        <v>3362.7083170181104</v>
      </c>
      <c r="K62" s="47">
        <v>3362.7083170180804</v>
      </c>
      <c r="L62" s="38">
        <v>3371.9212165168301</v>
      </c>
      <c r="M62" s="47">
        <v>3362.7083170182595</v>
      </c>
      <c r="N62" s="38">
        <v>3362.7083170180704</v>
      </c>
      <c r="O62" s="47">
        <v>3362.7083170180513</v>
      </c>
      <c r="P62" s="38">
        <v>3371.9212165168101</v>
      </c>
      <c r="Q62" s="47">
        <v>3362.7083170181604</v>
      </c>
      <c r="R62" s="38">
        <v>3362.7083170181804</v>
      </c>
      <c r="S62" s="47">
        <v>3362.7083170181204</v>
      </c>
      <c r="T62" s="38">
        <v>3371.9212165168101</v>
      </c>
      <c r="U62" s="47">
        <v>3362.7083170181504</v>
      </c>
      <c r="V62" s="38">
        <v>3362.7083170181904</v>
      </c>
      <c r="W62" s="47">
        <v>3362.7083170181504</v>
      </c>
      <c r="X62" s="38">
        <v>3371.9212165168401</v>
      </c>
    </row>
    <row r="63" spans="1:24" ht="16.5" customHeight="1" x14ac:dyDescent="0.2">
      <c r="A63" s="102"/>
      <c r="B63" s="37" t="s">
        <v>44</v>
      </c>
      <c r="C63" s="47">
        <v>1934.70697927433</v>
      </c>
      <c r="D63" s="38">
        <v>68.889841973139994</v>
      </c>
      <c r="E63" s="47">
        <v>63.072686859069997</v>
      </c>
      <c r="F63" s="38">
        <v>56.713215044949997</v>
      </c>
      <c r="G63" s="47">
        <v>127.80058789093</v>
      </c>
      <c r="H63" s="38">
        <v>100.901459089</v>
      </c>
      <c r="I63" s="47">
        <v>62.321154435510003</v>
      </c>
      <c r="J63" s="38">
        <v>116.37292213246999</v>
      </c>
      <c r="K63" s="47">
        <v>183.87031679606</v>
      </c>
      <c r="L63" s="38">
        <v>134.62651755837999</v>
      </c>
      <c r="M63" s="47">
        <v>185.97718385976</v>
      </c>
      <c r="N63" s="38">
        <v>185.87714239355</v>
      </c>
      <c r="O63" s="47">
        <v>53.591780801879999</v>
      </c>
      <c r="P63" s="38">
        <v>0</v>
      </c>
      <c r="Q63" s="47">
        <v>0</v>
      </c>
      <c r="R63" s="38">
        <v>0</v>
      </c>
      <c r="S63" s="47">
        <v>0</v>
      </c>
      <c r="T63" s="38">
        <v>2030.8129082647799</v>
      </c>
      <c r="U63" s="47">
        <v>2158.3076761872899</v>
      </c>
      <c r="V63" s="38">
        <v>2103.6076969127098</v>
      </c>
      <c r="W63" s="47">
        <v>2111.6458708089899</v>
      </c>
      <c r="X63" s="38">
        <v>1842.84249380863</v>
      </c>
    </row>
    <row r="64" spans="1:24" ht="16.5" customHeight="1" x14ac:dyDescent="0.2">
      <c r="A64" s="102"/>
      <c r="B64" s="37" t="s">
        <v>56</v>
      </c>
      <c r="C64" s="47">
        <v>304.13524935554</v>
      </c>
      <c r="D64" s="38">
        <v>80.892832398950006</v>
      </c>
      <c r="E64" s="47">
        <v>100.15746374030999</v>
      </c>
      <c r="F64" s="38">
        <v>85.111421818469992</v>
      </c>
      <c r="G64" s="47">
        <v>159.88624883366998</v>
      </c>
      <c r="H64" s="38">
        <v>124.58414227892</v>
      </c>
      <c r="I64" s="47">
        <v>121.54538066866002</v>
      </c>
      <c r="J64" s="38">
        <v>157.09134755139002</v>
      </c>
      <c r="K64" s="47">
        <v>257.43321345614004</v>
      </c>
      <c r="L64" s="38">
        <v>179.03120983514998</v>
      </c>
      <c r="M64" s="47">
        <v>236.67933927109999</v>
      </c>
      <c r="N64" s="38">
        <v>236.86345556736001</v>
      </c>
      <c r="O64" s="47">
        <v>83.993145716170005</v>
      </c>
      <c r="P64" s="38">
        <v>107.91636681563</v>
      </c>
      <c r="Q64" s="47">
        <v>501.04905817695993</v>
      </c>
      <c r="R64" s="38">
        <v>427.90282910390999</v>
      </c>
      <c r="S64" s="47">
        <v>1037.07106174859</v>
      </c>
      <c r="T64" s="38">
        <v>2305.0816515234801</v>
      </c>
      <c r="U64" s="47">
        <v>3089.4861557909098</v>
      </c>
      <c r="V64" s="38">
        <v>2417.0760546352603</v>
      </c>
      <c r="W64" s="47">
        <v>2069.47204812778</v>
      </c>
      <c r="X64" s="38">
        <v>1330.7372784598779</v>
      </c>
    </row>
    <row r="65" spans="1:24" ht="16.5" customHeight="1" x14ac:dyDescent="0.2">
      <c r="A65" s="102"/>
      <c r="B65" s="37" t="s">
        <v>18</v>
      </c>
      <c r="C65" s="47">
        <v>5437.2442090369095</v>
      </c>
      <c r="D65" s="38">
        <v>10173.768627542109</v>
      </c>
      <c r="E65" s="47">
        <v>11034.895844477247</v>
      </c>
      <c r="F65" s="38">
        <v>12152.340146883351</v>
      </c>
      <c r="G65" s="47">
        <v>13647.66464978492</v>
      </c>
      <c r="H65" s="38">
        <v>17303.994169092002</v>
      </c>
      <c r="I65" s="47">
        <v>18545.57272817444</v>
      </c>
      <c r="J65" s="38">
        <v>18112.252056071862</v>
      </c>
      <c r="K65" s="47">
        <v>17971.521616110582</v>
      </c>
      <c r="L65" s="38">
        <v>17920.71897458921</v>
      </c>
      <c r="M65" s="47">
        <v>18937.300274837111</v>
      </c>
      <c r="N65" s="38">
        <v>18884.21956093864</v>
      </c>
      <c r="O65" s="47">
        <v>18605.455084716501</v>
      </c>
      <c r="P65" s="38">
        <v>19563.01748188624</v>
      </c>
      <c r="Q65" s="47">
        <v>20089.079419600741</v>
      </c>
      <c r="R65" s="38">
        <v>20369.013340626385</v>
      </c>
      <c r="S65" s="47">
        <v>19546.220931730826</v>
      </c>
      <c r="T65" s="38">
        <v>21563.840688771445</v>
      </c>
      <c r="U65" s="47">
        <v>22134.040534630636</v>
      </c>
      <c r="V65" s="38">
        <v>21979.513156692308</v>
      </c>
      <c r="W65" s="47">
        <v>22216.016116404528</v>
      </c>
      <c r="X65" s="38">
        <v>22824.675231500762</v>
      </c>
    </row>
    <row r="66" spans="1:24" ht="16.5" customHeight="1" x14ac:dyDescent="0.2">
      <c r="A66" s="102"/>
      <c r="B66" s="37" t="s">
        <v>57</v>
      </c>
      <c r="C66" s="47">
        <v>862.05044800526991</v>
      </c>
      <c r="D66" s="38">
        <v>1072.4275130373801</v>
      </c>
      <c r="E66" s="47">
        <v>1071.3139834531999</v>
      </c>
      <c r="F66" s="38">
        <v>1308.3991671233898</v>
      </c>
      <c r="G66" s="47">
        <v>1703.6829051477202</v>
      </c>
      <c r="H66" s="38">
        <v>3150.87848535372</v>
      </c>
      <c r="I66" s="47">
        <v>3561.12846347921</v>
      </c>
      <c r="J66" s="38">
        <v>3568.3390743793298</v>
      </c>
      <c r="K66" s="47">
        <v>3552.5374659455601</v>
      </c>
      <c r="L66" s="38">
        <v>3559.6792665867601</v>
      </c>
      <c r="M66" s="47">
        <v>3537.2817485629303</v>
      </c>
      <c r="N66" s="38">
        <v>3546.2072296768001</v>
      </c>
      <c r="O66" s="47">
        <v>3548.7986359619499</v>
      </c>
      <c r="P66" s="38">
        <v>5157.9121606000099</v>
      </c>
      <c r="Q66" s="47">
        <v>8519.5605714080593</v>
      </c>
      <c r="R66" s="38">
        <v>8510.1717701873895</v>
      </c>
      <c r="S66" s="47">
        <v>8437.474073527681</v>
      </c>
      <c r="T66" s="38">
        <v>8470.7461777313001</v>
      </c>
      <c r="U66" s="47">
        <v>8520.3932865566803</v>
      </c>
      <c r="V66" s="38">
        <v>8519.60177466807</v>
      </c>
      <c r="W66" s="47">
        <v>8463.2128132115595</v>
      </c>
      <c r="X66" s="38">
        <v>8433.5548245366099</v>
      </c>
    </row>
    <row r="67" spans="1:24" ht="16.5" customHeight="1" x14ac:dyDescent="0.2">
      <c r="A67" s="102"/>
      <c r="B67" s="37" t="s">
        <v>65</v>
      </c>
      <c r="C67" s="47">
        <v>-24.615641617040545</v>
      </c>
      <c r="D67" s="38">
        <v>-49.069257065723676</v>
      </c>
      <c r="E67" s="47">
        <v>-82.413205833350119</v>
      </c>
      <c r="F67" s="38">
        <v>-119.57420880327204</v>
      </c>
      <c r="G67" s="47">
        <v>-156.58505289709208</v>
      </c>
      <c r="H67" s="38">
        <v>-193.90447782049512</v>
      </c>
      <c r="I67" s="47">
        <v>-234.52996276808017</v>
      </c>
      <c r="J67" s="38">
        <v>-274.28046411114315</v>
      </c>
      <c r="K67" s="47">
        <v>-313.34209036989637</v>
      </c>
      <c r="L67" s="38">
        <v>-350.89517467557442</v>
      </c>
      <c r="M67" s="47">
        <v>-387.81693572191477</v>
      </c>
      <c r="N67" s="38">
        <v>-425.39216702946959</v>
      </c>
      <c r="O67" s="47">
        <v>-462.87337000214922</v>
      </c>
      <c r="P67" s="38">
        <v>-498.05856121865389</v>
      </c>
      <c r="Q67" s="47">
        <v>-536.67823836486821</v>
      </c>
      <c r="R67" s="38">
        <v>-578.59193397098238</v>
      </c>
      <c r="S67" s="47">
        <v>-622.87715143739206</v>
      </c>
      <c r="T67" s="38">
        <v>-671.9115296831668</v>
      </c>
      <c r="U67" s="47">
        <v>-718.43359120254809</v>
      </c>
      <c r="V67" s="38">
        <v>-764.03453386445381</v>
      </c>
      <c r="W67" s="47">
        <v>-797.47968076143025</v>
      </c>
      <c r="X67" s="38">
        <v>-833.68402987099569</v>
      </c>
    </row>
    <row r="68" spans="1:24" ht="16.5" customHeight="1" x14ac:dyDescent="0.2">
      <c r="A68" s="102"/>
      <c r="B68" s="37" t="s">
        <v>66</v>
      </c>
      <c r="C68" s="47">
        <v>12.33560884071</v>
      </c>
      <c r="D68" s="38">
        <v>26.707517243969871</v>
      </c>
      <c r="E68" s="47">
        <v>22.472580808669981</v>
      </c>
      <c r="F68" s="38">
        <v>33.583336538869901</v>
      </c>
      <c r="G68" s="47">
        <v>33.472308578379902</v>
      </c>
      <c r="H68" s="38">
        <v>31.81113982290988</v>
      </c>
      <c r="I68" s="47">
        <v>38.463889428929903</v>
      </c>
      <c r="J68" s="38">
        <v>40.863693465459903</v>
      </c>
      <c r="K68" s="47">
        <v>39.9476629871399</v>
      </c>
      <c r="L68" s="38">
        <v>311.44673226036991</v>
      </c>
      <c r="M68" s="47">
        <v>359.1353663314099</v>
      </c>
      <c r="N68" s="38">
        <v>631.34469912716997</v>
      </c>
      <c r="O68" s="47">
        <v>571.33028737203995</v>
      </c>
      <c r="P68" s="38">
        <v>1402.1741579448699</v>
      </c>
      <c r="Q68" s="47">
        <v>3939.2361781477698</v>
      </c>
      <c r="R68" s="38">
        <v>3953.47739770316</v>
      </c>
      <c r="S68" s="47">
        <v>4385.6852410068805</v>
      </c>
      <c r="T68" s="38">
        <v>4186.1897700334803</v>
      </c>
      <c r="U68" s="47">
        <v>4189.8694062775703</v>
      </c>
      <c r="V68" s="38">
        <v>4271.6965824714098</v>
      </c>
      <c r="W68" s="47">
        <v>4250.3218790758301</v>
      </c>
      <c r="X68" s="38">
        <v>4488.3313708536698</v>
      </c>
    </row>
    <row r="69" spans="1:24" ht="16.5" customHeight="1" x14ac:dyDescent="0.2">
      <c r="A69" s="102"/>
      <c r="B69" s="37" t="s">
        <v>59</v>
      </c>
      <c r="C69" s="47">
        <v>0</v>
      </c>
      <c r="D69" s="38">
        <v>0</v>
      </c>
      <c r="E69" s="47">
        <v>0</v>
      </c>
      <c r="F69" s="38">
        <v>0</v>
      </c>
      <c r="G69" s="47">
        <v>0</v>
      </c>
      <c r="H69" s="38">
        <v>0</v>
      </c>
      <c r="I69" s="47">
        <v>0</v>
      </c>
      <c r="J69" s="38">
        <v>0</v>
      </c>
      <c r="K69" s="47">
        <v>0</v>
      </c>
      <c r="L69" s="38">
        <v>0</v>
      </c>
      <c r="M69" s="47">
        <v>313.46535224849998</v>
      </c>
      <c r="N69" s="38">
        <v>438</v>
      </c>
      <c r="O69" s="47">
        <v>438.00000000002001</v>
      </c>
      <c r="P69" s="38">
        <v>439.20000000003898</v>
      </c>
      <c r="Q69" s="47">
        <v>437.99999999999898</v>
      </c>
      <c r="R69" s="38">
        <v>438.00000000000898</v>
      </c>
      <c r="S69" s="47">
        <v>437.99999999998897</v>
      </c>
      <c r="T69" s="38">
        <v>439.19999999998902</v>
      </c>
      <c r="U69" s="47">
        <v>438.00000000000898</v>
      </c>
      <c r="V69" s="38">
        <v>437.99999999998897</v>
      </c>
      <c r="W69" s="47">
        <v>437.99999999999898</v>
      </c>
      <c r="X69" s="38">
        <v>439.20000000000903</v>
      </c>
    </row>
    <row r="70" spans="1:24" ht="16.5" customHeight="1" x14ac:dyDescent="0.2">
      <c r="A70" s="102"/>
      <c r="B70" s="37" t="s">
        <v>67</v>
      </c>
      <c r="C70" s="47">
        <v>-15.419511050887499</v>
      </c>
      <c r="D70" s="38">
        <v>-33.384396554962336</v>
      </c>
      <c r="E70" s="47">
        <v>-28.090726010837475</v>
      </c>
      <c r="F70" s="38">
        <v>-41.979170673587376</v>
      </c>
      <c r="G70" s="47">
        <v>-41.840385722974872</v>
      </c>
      <c r="H70" s="38">
        <v>-39.763924778637346</v>
      </c>
      <c r="I70" s="47">
        <v>-48.079861786162375</v>
      </c>
      <c r="J70" s="38">
        <v>-51.079616831824879</v>
      </c>
      <c r="K70" s="47">
        <v>-49.934578733924873</v>
      </c>
      <c r="L70" s="38">
        <v>-389.30841532546236</v>
      </c>
      <c r="M70" s="47">
        <v>-448.91920791426236</v>
      </c>
      <c r="N70" s="38">
        <v>-789.18087390896244</v>
      </c>
      <c r="O70" s="47">
        <v>-714.16285921504993</v>
      </c>
      <c r="P70" s="38">
        <v>-1752.7176974310873</v>
      </c>
      <c r="Q70" s="47">
        <v>-4924.0452226847119</v>
      </c>
      <c r="R70" s="38">
        <v>-4941.8467471289496</v>
      </c>
      <c r="S70" s="47">
        <v>-5482.1065512586001</v>
      </c>
      <c r="T70" s="38">
        <v>-5232.7372125418497</v>
      </c>
      <c r="U70" s="47">
        <v>-5237.3367578469624</v>
      </c>
      <c r="V70" s="38">
        <v>-5339.6207280892622</v>
      </c>
      <c r="W70" s="47">
        <v>-5312.9023488447874</v>
      </c>
      <c r="X70" s="38">
        <v>-5610.4142135670872</v>
      </c>
    </row>
    <row r="71" spans="1:24" ht="16.5" customHeight="1" x14ac:dyDescent="0.2">
      <c r="A71" s="102"/>
      <c r="B71" s="37" t="s">
        <v>68</v>
      </c>
      <c r="C71" s="47">
        <v>22.154077455336491</v>
      </c>
      <c r="D71" s="38">
        <v>44.16233135915131</v>
      </c>
      <c r="E71" s="47">
        <v>74.171885250015109</v>
      </c>
      <c r="F71" s="38">
        <v>107.61678792294484</v>
      </c>
      <c r="G71" s="47">
        <v>140.92654760738287</v>
      </c>
      <c r="H71" s="38">
        <v>174.51403003844561</v>
      </c>
      <c r="I71" s="47">
        <v>211.07696649127215</v>
      </c>
      <c r="J71" s="38">
        <v>246.85241770002884</v>
      </c>
      <c r="K71" s="47">
        <v>282.00788133290672</v>
      </c>
      <c r="L71" s="38">
        <v>315.80565720801701</v>
      </c>
      <c r="M71" s="47">
        <v>349.03524214972333</v>
      </c>
      <c r="N71" s="38">
        <v>382.85295032652266</v>
      </c>
      <c r="O71" s="47">
        <v>416.58603300193431</v>
      </c>
      <c r="P71" s="38">
        <v>448.25270509678853</v>
      </c>
      <c r="Q71" s="47">
        <v>483.01041452838138</v>
      </c>
      <c r="R71" s="38">
        <v>520.73274057388414</v>
      </c>
      <c r="S71" s="47">
        <v>560.58943629365285</v>
      </c>
      <c r="T71" s="38">
        <v>604.72037671485009</v>
      </c>
      <c r="U71" s="47">
        <v>646.59023208229326</v>
      </c>
      <c r="V71" s="38">
        <v>687.63108047800847</v>
      </c>
      <c r="W71" s="47">
        <v>717.73171268528722</v>
      </c>
      <c r="X71" s="38">
        <v>750.31562688389613</v>
      </c>
    </row>
    <row r="72" spans="1:24" ht="16.5" customHeight="1" thickBot="1" x14ac:dyDescent="0.25">
      <c r="A72" s="103"/>
      <c r="B72" s="37" t="s">
        <v>41</v>
      </c>
      <c r="C72" s="47">
        <v>1970</v>
      </c>
      <c r="D72" s="38">
        <v>2286</v>
      </c>
      <c r="E72" s="47">
        <v>2604</v>
      </c>
      <c r="F72" s="38">
        <v>2913</v>
      </c>
      <c r="G72" s="47">
        <v>3212</v>
      </c>
      <c r="H72" s="38">
        <v>3505</v>
      </c>
      <c r="I72" s="47">
        <v>3799</v>
      </c>
      <c r="J72" s="38">
        <v>4056</v>
      </c>
      <c r="K72" s="47">
        <v>4312</v>
      </c>
      <c r="L72" s="38">
        <v>4582</v>
      </c>
      <c r="M72" s="47">
        <v>4803</v>
      </c>
      <c r="N72" s="38">
        <v>4997</v>
      </c>
      <c r="O72" s="47">
        <v>5181</v>
      </c>
      <c r="P72" s="38">
        <v>5366</v>
      </c>
      <c r="Q72" s="47">
        <v>5535</v>
      </c>
      <c r="R72" s="38">
        <v>5689</v>
      </c>
      <c r="S72" s="47">
        <v>5824</v>
      </c>
      <c r="T72" s="38">
        <v>5959</v>
      </c>
      <c r="U72" s="47">
        <v>6065</v>
      </c>
      <c r="V72" s="38">
        <v>6165</v>
      </c>
      <c r="W72" s="47">
        <v>6280</v>
      </c>
      <c r="X72" s="38">
        <v>6381</v>
      </c>
    </row>
    <row r="73" spans="1:24" ht="16.5" customHeight="1" x14ac:dyDescent="0.2">
      <c r="A73" s="98" t="s">
        <v>39</v>
      </c>
      <c r="B73" s="45" t="s">
        <v>54</v>
      </c>
      <c r="C73" s="38">
        <v>0</v>
      </c>
      <c r="D73" s="47">
        <v>0</v>
      </c>
      <c r="E73" s="38">
        <v>0</v>
      </c>
      <c r="F73" s="47">
        <v>0</v>
      </c>
      <c r="G73" s="38">
        <v>0</v>
      </c>
      <c r="H73" s="47">
        <v>0</v>
      </c>
      <c r="I73" s="38">
        <v>0</v>
      </c>
      <c r="J73" s="47">
        <v>0</v>
      </c>
      <c r="K73" s="38">
        <v>0</v>
      </c>
      <c r="L73" s="47">
        <v>0</v>
      </c>
      <c r="M73" s="38">
        <v>0</v>
      </c>
      <c r="N73" s="47">
        <v>0</v>
      </c>
      <c r="O73" s="38">
        <v>0</v>
      </c>
      <c r="P73" s="47">
        <v>0</v>
      </c>
      <c r="Q73" s="38">
        <v>0</v>
      </c>
      <c r="R73" s="47">
        <v>0</v>
      </c>
      <c r="S73" s="38">
        <v>0</v>
      </c>
      <c r="T73" s="47">
        <v>0</v>
      </c>
      <c r="U73" s="38">
        <v>0</v>
      </c>
      <c r="V73" s="47">
        <v>0</v>
      </c>
      <c r="W73" s="38">
        <v>0</v>
      </c>
      <c r="X73" s="47">
        <v>0</v>
      </c>
    </row>
    <row r="74" spans="1:24" ht="16.5" customHeight="1" x14ac:dyDescent="0.2">
      <c r="A74" s="99"/>
      <c r="B74" s="45" t="s">
        <v>55</v>
      </c>
      <c r="C74" s="38">
        <v>0</v>
      </c>
      <c r="D74" s="47">
        <v>0</v>
      </c>
      <c r="E74" s="38">
        <v>0</v>
      </c>
      <c r="F74" s="47">
        <v>0</v>
      </c>
      <c r="G74" s="38">
        <v>0</v>
      </c>
      <c r="H74" s="47">
        <v>0</v>
      </c>
      <c r="I74" s="38">
        <v>0</v>
      </c>
      <c r="J74" s="47">
        <v>0</v>
      </c>
      <c r="K74" s="38">
        <v>0</v>
      </c>
      <c r="L74" s="47">
        <v>0</v>
      </c>
      <c r="M74" s="38">
        <v>0</v>
      </c>
      <c r="N74" s="47">
        <v>0</v>
      </c>
      <c r="O74" s="38">
        <v>0</v>
      </c>
      <c r="P74" s="47">
        <v>0</v>
      </c>
      <c r="Q74" s="38">
        <v>0</v>
      </c>
      <c r="R74" s="47">
        <v>0</v>
      </c>
      <c r="S74" s="38">
        <v>0</v>
      </c>
      <c r="T74" s="47">
        <v>0</v>
      </c>
      <c r="U74" s="38">
        <v>0</v>
      </c>
      <c r="V74" s="47">
        <v>0</v>
      </c>
      <c r="W74" s="38">
        <v>0</v>
      </c>
      <c r="X74" s="47">
        <v>0</v>
      </c>
    </row>
    <row r="75" spans="1:24" ht="16.5" customHeight="1" x14ac:dyDescent="0.2">
      <c r="A75" s="99"/>
      <c r="B75" s="45" t="s">
        <v>17</v>
      </c>
      <c r="C75" s="38">
        <v>8672.98037834141</v>
      </c>
      <c r="D75" s="47">
        <v>8696.7419684189499</v>
      </c>
      <c r="E75" s="38">
        <v>8672.9803783414409</v>
      </c>
      <c r="F75" s="47">
        <v>8672.9803783414809</v>
      </c>
      <c r="G75" s="38">
        <v>8672.98037834161</v>
      </c>
      <c r="H75" s="47">
        <v>8696.7419684191209</v>
      </c>
      <c r="I75" s="38">
        <v>8605.0981372953102</v>
      </c>
      <c r="J75" s="47">
        <v>8672.9803783407897</v>
      </c>
      <c r="K75" s="38">
        <v>8672.9803783420994</v>
      </c>
      <c r="L75" s="47">
        <v>8696.741968419059</v>
      </c>
      <c r="M75" s="38">
        <v>8672.9803783413809</v>
      </c>
      <c r="N75" s="47">
        <v>8672.980378341299</v>
      </c>
      <c r="O75" s="38">
        <v>8672.9803783413518</v>
      </c>
      <c r="P75" s="47">
        <v>8696.7419684190609</v>
      </c>
      <c r="Q75" s="38">
        <v>8672.9803783413499</v>
      </c>
      <c r="R75" s="47">
        <v>8672.9803783413408</v>
      </c>
      <c r="S75" s="38">
        <v>8672.98037834143</v>
      </c>
      <c r="T75" s="47">
        <v>8696.7419684189299</v>
      </c>
      <c r="U75" s="38">
        <v>8672.9803783414609</v>
      </c>
      <c r="V75" s="47">
        <v>8672.98037834143</v>
      </c>
      <c r="W75" s="38">
        <v>8672.9803783414991</v>
      </c>
      <c r="X75" s="47">
        <v>8696.741968418999</v>
      </c>
    </row>
    <row r="76" spans="1:24" ht="16.5" customHeight="1" x14ac:dyDescent="0.2">
      <c r="A76" s="99"/>
      <c r="B76" s="45" t="s">
        <v>44</v>
      </c>
      <c r="C76" s="38">
        <v>0</v>
      </c>
      <c r="D76" s="47">
        <v>0</v>
      </c>
      <c r="E76" s="38">
        <v>0</v>
      </c>
      <c r="F76" s="47">
        <v>0</v>
      </c>
      <c r="G76" s="38">
        <v>0</v>
      </c>
      <c r="H76" s="47">
        <v>0</v>
      </c>
      <c r="I76" s="38">
        <v>0</v>
      </c>
      <c r="J76" s="47">
        <v>0</v>
      </c>
      <c r="K76" s="38">
        <v>0</v>
      </c>
      <c r="L76" s="47">
        <v>0</v>
      </c>
      <c r="M76" s="38">
        <v>0</v>
      </c>
      <c r="N76" s="47">
        <v>0</v>
      </c>
      <c r="O76" s="38">
        <v>0</v>
      </c>
      <c r="P76" s="47">
        <v>0</v>
      </c>
      <c r="Q76" s="38">
        <v>0</v>
      </c>
      <c r="R76" s="47">
        <v>0</v>
      </c>
      <c r="S76" s="38">
        <v>0</v>
      </c>
      <c r="T76" s="47">
        <v>0</v>
      </c>
      <c r="U76" s="38">
        <v>0</v>
      </c>
      <c r="V76" s="47">
        <v>0</v>
      </c>
      <c r="W76" s="38">
        <v>0</v>
      </c>
      <c r="X76" s="47">
        <v>0</v>
      </c>
    </row>
    <row r="77" spans="1:24" ht="16.5" customHeight="1" x14ac:dyDescent="0.2">
      <c r="A77" s="99"/>
      <c r="B77" s="45" t="s">
        <v>56</v>
      </c>
      <c r="C77" s="38">
        <v>0</v>
      </c>
      <c r="D77" s="47">
        <v>0</v>
      </c>
      <c r="E77" s="38">
        <v>0</v>
      </c>
      <c r="F77" s="47">
        <v>0</v>
      </c>
      <c r="G77" s="38">
        <v>0</v>
      </c>
      <c r="H77" s="47">
        <v>0</v>
      </c>
      <c r="I77" s="38">
        <v>0.16399062905</v>
      </c>
      <c r="J77" s="47">
        <v>0.17315839999999999</v>
      </c>
      <c r="K77" s="38">
        <v>0.13195127175000002</v>
      </c>
      <c r="L77" s="47">
        <v>0</v>
      </c>
      <c r="M77" s="38">
        <v>0</v>
      </c>
      <c r="N77" s="47">
        <v>0</v>
      </c>
      <c r="O77" s="38">
        <v>0</v>
      </c>
      <c r="P77" s="47">
        <v>0</v>
      </c>
      <c r="Q77" s="38">
        <v>0</v>
      </c>
      <c r="R77" s="47">
        <v>0</v>
      </c>
      <c r="S77" s="38">
        <v>0</v>
      </c>
      <c r="T77" s="47">
        <v>0.37121788055999999</v>
      </c>
      <c r="U77" s="38">
        <v>0.46694400000000003</v>
      </c>
      <c r="V77" s="47">
        <v>0.46694400000000003</v>
      </c>
      <c r="W77" s="38">
        <v>0</v>
      </c>
      <c r="X77" s="47">
        <v>0</v>
      </c>
    </row>
    <row r="78" spans="1:24" ht="16.5" customHeight="1" x14ac:dyDescent="0.2">
      <c r="A78" s="99"/>
      <c r="B78" s="45" t="s">
        <v>18</v>
      </c>
      <c r="C78" s="38">
        <v>1051.7544302360402</v>
      </c>
      <c r="D78" s="47">
        <v>1066.1709615263001</v>
      </c>
      <c r="E78" s="38">
        <v>1053.3539273658198</v>
      </c>
      <c r="F78" s="47">
        <v>1055.2435319097399</v>
      </c>
      <c r="G78" s="38">
        <v>1051.59516888846</v>
      </c>
      <c r="H78" s="47">
        <v>1061.4143768622998</v>
      </c>
      <c r="I78" s="38">
        <v>1245.2215142610598</v>
      </c>
      <c r="J78" s="47">
        <v>2121.8818435580001</v>
      </c>
      <c r="K78" s="38">
        <v>2792.8656586340398</v>
      </c>
      <c r="L78" s="47">
        <v>3461.0169387353499</v>
      </c>
      <c r="M78" s="38">
        <v>3930.2282384926602</v>
      </c>
      <c r="N78" s="47">
        <v>3914.9775097074303</v>
      </c>
      <c r="O78" s="38">
        <v>4393.2530216509003</v>
      </c>
      <c r="P78" s="47">
        <v>4392.1969753144203</v>
      </c>
      <c r="Q78" s="38">
        <v>4360.4198055322795</v>
      </c>
      <c r="R78" s="47">
        <v>4406.8609110519501</v>
      </c>
      <c r="S78" s="38">
        <v>4399.6676766959699</v>
      </c>
      <c r="T78" s="47">
        <v>4868.2773298355696</v>
      </c>
      <c r="U78" s="38">
        <v>5211.1759171722097</v>
      </c>
      <c r="V78" s="47">
        <v>5161.3187796421798</v>
      </c>
      <c r="W78" s="38">
        <v>5186.8245991911608</v>
      </c>
      <c r="X78" s="47">
        <v>5261.3484501409803</v>
      </c>
    </row>
    <row r="79" spans="1:24" ht="16.5" customHeight="1" x14ac:dyDescent="0.2">
      <c r="A79" s="99"/>
      <c r="B79" s="45" t="s">
        <v>57</v>
      </c>
      <c r="C79" s="38">
        <v>0</v>
      </c>
      <c r="D79" s="47">
        <v>0</v>
      </c>
      <c r="E79" s="38">
        <v>0</v>
      </c>
      <c r="F79" s="47">
        <v>0</v>
      </c>
      <c r="G79" s="38">
        <v>0</v>
      </c>
      <c r="H79" s="47">
        <v>0</v>
      </c>
      <c r="I79" s="38">
        <v>0</v>
      </c>
      <c r="J79" s="47">
        <v>0</v>
      </c>
      <c r="K79" s="38">
        <v>0</v>
      </c>
      <c r="L79" s="47">
        <v>0</v>
      </c>
      <c r="M79" s="38">
        <v>0</v>
      </c>
      <c r="N79" s="47">
        <v>0</v>
      </c>
      <c r="O79" s="38">
        <v>0</v>
      </c>
      <c r="P79" s="47">
        <v>0</v>
      </c>
      <c r="Q79" s="38">
        <v>0</v>
      </c>
      <c r="R79" s="47">
        <v>0</v>
      </c>
      <c r="S79" s="38">
        <v>0</v>
      </c>
      <c r="T79" s="47">
        <v>0</v>
      </c>
      <c r="U79" s="38">
        <v>0</v>
      </c>
      <c r="V79" s="47">
        <v>0</v>
      </c>
      <c r="W79" s="38">
        <v>0</v>
      </c>
      <c r="X79" s="47">
        <v>0</v>
      </c>
    </row>
    <row r="80" spans="1:24" ht="16.5" customHeight="1" x14ac:dyDescent="0.2">
      <c r="A80" s="99"/>
      <c r="B80" s="45" t="s">
        <v>65</v>
      </c>
      <c r="C80" s="38">
        <v>-2.0024649191646549</v>
      </c>
      <c r="D80" s="47">
        <v>-3.8174652697335558</v>
      </c>
      <c r="E80" s="38">
        <v>-6.2953308916609227</v>
      </c>
      <c r="F80" s="47">
        <v>-8.5718006298579699</v>
      </c>
      <c r="G80" s="38">
        <v>-10.826745691262087</v>
      </c>
      <c r="H80" s="47">
        <v>-13.098585431784194</v>
      </c>
      <c r="I80" s="38">
        <v>-15.795335170771848</v>
      </c>
      <c r="J80" s="47">
        <v>-18.4687898423539</v>
      </c>
      <c r="K80" s="38">
        <v>-21.139982220609475</v>
      </c>
      <c r="L80" s="47">
        <v>-24.035515387153545</v>
      </c>
      <c r="M80" s="38">
        <v>-26.848701547176269</v>
      </c>
      <c r="N80" s="47">
        <v>-29.378620449440483</v>
      </c>
      <c r="O80" s="38">
        <v>-31.806963323044009</v>
      </c>
      <c r="P80" s="47">
        <v>-33.52630053788306</v>
      </c>
      <c r="Q80" s="38">
        <v>-34.718287396865364</v>
      </c>
      <c r="R80" s="47">
        <v>-35.514837820463249</v>
      </c>
      <c r="S80" s="38">
        <v>-36.086700634663288</v>
      </c>
      <c r="T80" s="47">
        <v>-37.129897066710605</v>
      </c>
      <c r="U80" s="38">
        <v>-38.490970262921152</v>
      </c>
      <c r="V80" s="47">
        <v>-40.323455256011933</v>
      </c>
      <c r="W80" s="38">
        <v>-42.621531425825196</v>
      </c>
      <c r="X80" s="47">
        <v>-45.691743819633068</v>
      </c>
    </row>
    <row r="81" spans="1:24" ht="16.5" customHeight="1" x14ac:dyDescent="0.2">
      <c r="A81" s="99"/>
      <c r="B81" s="45" t="s">
        <v>66</v>
      </c>
      <c r="C81" s="38">
        <v>0</v>
      </c>
      <c r="D81" s="47">
        <v>0</v>
      </c>
      <c r="E81" s="38">
        <v>0</v>
      </c>
      <c r="F81" s="47">
        <v>0</v>
      </c>
      <c r="G81" s="38">
        <v>0</v>
      </c>
      <c r="H81" s="47">
        <v>0</v>
      </c>
      <c r="I81" s="38">
        <v>0</v>
      </c>
      <c r="J81" s="47">
        <v>0</v>
      </c>
      <c r="K81" s="38">
        <v>0</v>
      </c>
      <c r="L81" s="47">
        <v>0</v>
      </c>
      <c r="M81" s="38">
        <v>0</v>
      </c>
      <c r="N81" s="47">
        <v>0</v>
      </c>
      <c r="O81" s="38">
        <v>0</v>
      </c>
      <c r="P81" s="47">
        <v>0</v>
      </c>
      <c r="Q81" s="38">
        <v>0</v>
      </c>
      <c r="R81" s="47">
        <v>0</v>
      </c>
      <c r="S81" s="38">
        <v>0</v>
      </c>
      <c r="T81" s="47">
        <v>0</v>
      </c>
      <c r="U81" s="38">
        <v>0</v>
      </c>
      <c r="V81" s="47">
        <v>0</v>
      </c>
      <c r="W81" s="38">
        <v>0</v>
      </c>
      <c r="X81" s="47">
        <v>0</v>
      </c>
    </row>
    <row r="82" spans="1:24" ht="16.5" customHeight="1" x14ac:dyDescent="0.2">
      <c r="A82" s="99"/>
      <c r="B82" s="45" t="s">
        <v>59</v>
      </c>
      <c r="C82" s="38">
        <v>0</v>
      </c>
      <c r="D82" s="47">
        <v>0</v>
      </c>
      <c r="E82" s="38">
        <v>0</v>
      </c>
      <c r="F82" s="47">
        <v>0</v>
      </c>
      <c r="G82" s="38">
        <v>0</v>
      </c>
      <c r="H82" s="47">
        <v>0</v>
      </c>
      <c r="I82" s="38">
        <v>0</v>
      </c>
      <c r="J82" s="47">
        <v>0</v>
      </c>
      <c r="K82" s="38">
        <v>0</v>
      </c>
      <c r="L82" s="47">
        <v>0</v>
      </c>
      <c r="M82" s="38">
        <v>0</v>
      </c>
      <c r="N82" s="47">
        <v>0</v>
      </c>
      <c r="O82" s="38">
        <v>0</v>
      </c>
      <c r="P82" s="47">
        <v>0</v>
      </c>
      <c r="Q82" s="38">
        <v>0</v>
      </c>
      <c r="R82" s="47">
        <v>0</v>
      </c>
      <c r="S82" s="38">
        <v>0</v>
      </c>
      <c r="T82" s="47">
        <v>0</v>
      </c>
      <c r="U82" s="38">
        <v>0</v>
      </c>
      <c r="V82" s="47">
        <v>0</v>
      </c>
      <c r="W82" s="38">
        <v>0</v>
      </c>
      <c r="X82" s="47">
        <v>0</v>
      </c>
    </row>
    <row r="83" spans="1:24" ht="16.5" customHeight="1" x14ac:dyDescent="0.2">
      <c r="A83" s="99"/>
      <c r="B83" s="45" t="s">
        <v>67</v>
      </c>
      <c r="C83" s="38">
        <v>0</v>
      </c>
      <c r="D83" s="47">
        <v>0</v>
      </c>
      <c r="E83" s="38">
        <v>0</v>
      </c>
      <c r="F83" s="47">
        <v>0</v>
      </c>
      <c r="G83" s="38">
        <v>0</v>
      </c>
      <c r="H83" s="47">
        <v>0</v>
      </c>
      <c r="I83" s="38">
        <v>0</v>
      </c>
      <c r="J83" s="47">
        <v>0</v>
      </c>
      <c r="K83" s="38">
        <v>0</v>
      </c>
      <c r="L83" s="47">
        <v>0</v>
      </c>
      <c r="M83" s="38">
        <v>0</v>
      </c>
      <c r="N83" s="47">
        <v>0</v>
      </c>
      <c r="O83" s="38">
        <v>0</v>
      </c>
      <c r="P83" s="47">
        <v>0</v>
      </c>
      <c r="Q83" s="38">
        <v>0</v>
      </c>
      <c r="R83" s="47">
        <v>0</v>
      </c>
      <c r="S83" s="38">
        <v>0</v>
      </c>
      <c r="T83" s="47">
        <v>0</v>
      </c>
      <c r="U83" s="38">
        <v>0</v>
      </c>
      <c r="V83" s="47">
        <v>0</v>
      </c>
      <c r="W83" s="38">
        <v>0</v>
      </c>
      <c r="X83" s="47">
        <v>0</v>
      </c>
    </row>
    <row r="84" spans="1:24" ht="16.5" customHeight="1" x14ac:dyDescent="0.2">
      <c r="A84" s="99"/>
      <c r="B84" s="45" t="s">
        <v>68</v>
      </c>
      <c r="C84" s="38">
        <v>1.8022184272481894</v>
      </c>
      <c r="D84" s="47">
        <v>3.4357187427602005</v>
      </c>
      <c r="E84" s="38">
        <v>5.665797802494831</v>
      </c>
      <c r="F84" s="47">
        <v>7.7146205668721732</v>
      </c>
      <c r="G84" s="38">
        <v>9.7440711221358782</v>
      </c>
      <c r="H84" s="47">
        <v>11.788726888605774</v>
      </c>
      <c r="I84" s="38">
        <v>14.215801653694664</v>
      </c>
      <c r="J84" s="47">
        <v>16.621910858118511</v>
      </c>
      <c r="K84" s="38">
        <v>19.025983998548529</v>
      </c>
      <c r="L84" s="47">
        <v>21.63196384843819</v>
      </c>
      <c r="M84" s="38">
        <v>24.163831392458643</v>
      </c>
      <c r="N84" s="47">
        <v>26.440758404496435</v>
      </c>
      <c r="O84" s="38">
        <v>28.626266990739609</v>
      </c>
      <c r="P84" s="47">
        <v>30.173670484094753</v>
      </c>
      <c r="Q84" s="38">
        <v>31.246458657178827</v>
      </c>
      <c r="R84" s="47">
        <v>31.963354038416924</v>
      </c>
      <c r="S84" s="38">
        <v>32.47803057119696</v>
      </c>
      <c r="T84" s="47">
        <v>33.416907360039545</v>
      </c>
      <c r="U84" s="38">
        <v>34.641873236629039</v>
      </c>
      <c r="V84" s="47">
        <v>36.291109730410739</v>
      </c>
      <c r="W84" s="38">
        <v>38.359378283242677</v>
      </c>
      <c r="X84" s="47">
        <v>41.12256943766976</v>
      </c>
    </row>
    <row r="85" spans="1:24" ht="16.5" customHeight="1" thickBot="1" x14ac:dyDescent="0.25">
      <c r="A85" s="100"/>
      <c r="B85" s="45" t="s">
        <v>41</v>
      </c>
      <c r="C85" s="38">
        <v>178</v>
      </c>
      <c r="D85" s="47">
        <v>202</v>
      </c>
      <c r="E85" s="38">
        <v>226</v>
      </c>
      <c r="F85" s="47">
        <v>249</v>
      </c>
      <c r="G85" s="38">
        <v>265</v>
      </c>
      <c r="H85" s="47">
        <v>274</v>
      </c>
      <c r="I85" s="38">
        <v>281</v>
      </c>
      <c r="J85" s="47">
        <v>284</v>
      </c>
      <c r="K85" s="38">
        <v>287</v>
      </c>
      <c r="L85" s="47">
        <v>292</v>
      </c>
      <c r="M85" s="38">
        <v>263</v>
      </c>
      <c r="N85" s="47">
        <v>298</v>
      </c>
      <c r="O85" s="38">
        <v>300</v>
      </c>
      <c r="P85" s="47">
        <v>287</v>
      </c>
      <c r="Q85" s="38">
        <v>307</v>
      </c>
      <c r="R85" s="47">
        <v>310</v>
      </c>
      <c r="S85" s="38">
        <v>313</v>
      </c>
      <c r="T85" s="47">
        <v>317</v>
      </c>
      <c r="U85" s="38">
        <v>320</v>
      </c>
      <c r="V85" s="47">
        <v>322</v>
      </c>
      <c r="W85" s="38">
        <v>326</v>
      </c>
      <c r="X85" s="47">
        <v>329</v>
      </c>
    </row>
  </sheetData>
  <mergeCells count="6">
    <mergeCell ref="A73:A85"/>
    <mergeCell ref="A3:A16"/>
    <mergeCell ref="A21:A33"/>
    <mergeCell ref="A34:A46"/>
    <mergeCell ref="A47:A59"/>
    <mergeCell ref="A60:A7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W16"/>
  <sheetViews>
    <sheetView zoomScaleNormal="100" workbookViewId="0"/>
  </sheetViews>
  <sheetFormatPr defaultColWidth="9.140625" defaultRowHeight="15.75" customHeight="1" x14ac:dyDescent="0.2"/>
  <cols>
    <col min="1" max="1" width="28.5703125" style="1" customWidth="1"/>
    <col min="2" max="23" width="10.42578125" style="1" customWidth="1"/>
    <col min="24" max="16384" width="9.140625" style="1"/>
  </cols>
  <sheetData>
    <row r="1" spans="1:23" ht="15.75" customHeight="1" x14ac:dyDescent="0.25">
      <c r="A1" s="33" t="s">
        <v>21</v>
      </c>
      <c r="G1" s="4"/>
      <c r="H1" s="5"/>
      <c r="I1" s="5"/>
      <c r="J1" s="5"/>
      <c r="K1" s="5"/>
      <c r="L1" s="5"/>
      <c r="M1" s="5"/>
    </row>
    <row r="2" spans="1:23" s="35" customFormat="1" ht="16.5" customHeight="1" x14ac:dyDescent="0.2">
      <c r="A2" s="51" t="s">
        <v>20</v>
      </c>
      <c r="B2" s="55" t="s">
        <v>0</v>
      </c>
      <c r="C2" s="56" t="s">
        <v>1</v>
      </c>
      <c r="D2" s="55" t="s">
        <v>2</v>
      </c>
      <c r="E2" s="56" t="s">
        <v>3</v>
      </c>
      <c r="F2" s="55" t="s">
        <v>4</v>
      </c>
      <c r="G2" s="56" t="s">
        <v>5</v>
      </c>
      <c r="H2" s="55" t="s">
        <v>6</v>
      </c>
      <c r="I2" s="56" t="s">
        <v>7</v>
      </c>
      <c r="J2" s="55" t="s">
        <v>8</v>
      </c>
      <c r="K2" s="56" t="s">
        <v>9</v>
      </c>
      <c r="L2" s="55" t="s">
        <v>10</v>
      </c>
      <c r="M2" s="56" t="s">
        <v>11</v>
      </c>
      <c r="N2" s="55" t="s">
        <v>12</v>
      </c>
      <c r="O2" s="56" t="s">
        <v>13</v>
      </c>
      <c r="P2" s="55" t="s">
        <v>14</v>
      </c>
      <c r="Q2" s="56" t="s">
        <v>15</v>
      </c>
      <c r="R2" s="55" t="s">
        <v>16</v>
      </c>
      <c r="S2" s="56" t="s">
        <v>45</v>
      </c>
      <c r="T2" s="55" t="s">
        <v>61</v>
      </c>
      <c r="U2" s="56" t="s">
        <v>62</v>
      </c>
      <c r="V2" s="55" t="s">
        <v>63</v>
      </c>
      <c r="W2" s="56" t="s">
        <v>64</v>
      </c>
    </row>
    <row r="3" spans="1:23" s="12" customFormat="1" ht="15.75" customHeight="1" x14ac:dyDescent="0.2">
      <c r="A3" s="45" t="s">
        <v>54</v>
      </c>
      <c r="B3" s="38">
        <v>0</v>
      </c>
      <c r="C3" s="47">
        <v>0</v>
      </c>
      <c r="D3" s="38">
        <v>0</v>
      </c>
      <c r="E3" s="47">
        <v>0</v>
      </c>
      <c r="F3" s="38">
        <v>-1800</v>
      </c>
      <c r="G3" s="47">
        <v>-1800</v>
      </c>
      <c r="H3" s="38">
        <v>-1800</v>
      </c>
      <c r="I3" s="47">
        <v>-1800</v>
      </c>
      <c r="J3" s="38">
        <v>-2530</v>
      </c>
      <c r="K3" s="47">
        <v>-2530</v>
      </c>
      <c r="L3" s="38">
        <v>-3850</v>
      </c>
      <c r="M3" s="47">
        <v>-5530</v>
      </c>
      <c r="N3" s="38">
        <v>-5530</v>
      </c>
      <c r="O3" s="47">
        <v>-5530</v>
      </c>
      <c r="P3" s="38">
        <v>-5530</v>
      </c>
      <c r="Q3" s="47">
        <v>-5530</v>
      </c>
      <c r="R3" s="38">
        <v>-8410</v>
      </c>
      <c r="S3" s="47">
        <v>-11050</v>
      </c>
      <c r="T3" s="38">
        <v>-12450</v>
      </c>
      <c r="U3" s="47">
        <v>-12450</v>
      </c>
      <c r="V3" s="38">
        <v>-13150</v>
      </c>
      <c r="W3" s="47">
        <v>-13150</v>
      </c>
    </row>
    <row r="4" spans="1:23" s="12" customFormat="1" ht="15.75" customHeight="1" x14ac:dyDescent="0.2">
      <c r="A4" s="45" t="s">
        <v>55</v>
      </c>
      <c r="B4" s="38">
        <v>0</v>
      </c>
      <c r="C4" s="47">
        <v>0</v>
      </c>
      <c r="D4" s="38">
        <v>0</v>
      </c>
      <c r="E4" s="47">
        <v>0</v>
      </c>
      <c r="F4" s="38">
        <v>0</v>
      </c>
      <c r="G4" s="47">
        <v>0</v>
      </c>
      <c r="H4" s="38">
        <v>0</v>
      </c>
      <c r="I4" s="47">
        <v>0</v>
      </c>
      <c r="J4" s="38">
        <v>0</v>
      </c>
      <c r="K4" s="47">
        <v>-1090</v>
      </c>
      <c r="L4" s="38">
        <v>-1090</v>
      </c>
      <c r="M4" s="47">
        <v>-1090</v>
      </c>
      <c r="N4" s="38">
        <v>-1090</v>
      </c>
      <c r="O4" s="47">
        <v>-1090</v>
      </c>
      <c r="P4" s="38">
        <v>-2618</v>
      </c>
      <c r="Q4" s="47">
        <v>-2618</v>
      </c>
      <c r="R4" s="38">
        <v>-2618</v>
      </c>
      <c r="S4" s="47">
        <v>-2618</v>
      </c>
      <c r="T4" s="38">
        <v>-2618</v>
      </c>
      <c r="U4" s="47">
        <v>-2618</v>
      </c>
      <c r="V4" s="38">
        <v>-2618</v>
      </c>
      <c r="W4" s="47">
        <v>-2618</v>
      </c>
    </row>
    <row r="5" spans="1:23" s="12" customFormat="1" ht="15.75" customHeight="1" x14ac:dyDescent="0.2">
      <c r="A5" s="45" t="s">
        <v>17</v>
      </c>
      <c r="B5" s="38">
        <v>0</v>
      </c>
      <c r="C5" s="47">
        <v>0</v>
      </c>
      <c r="D5" s="38">
        <v>0</v>
      </c>
      <c r="E5" s="47">
        <v>0</v>
      </c>
      <c r="F5" s="38">
        <v>0</v>
      </c>
      <c r="G5" s="47">
        <v>0</v>
      </c>
      <c r="H5" s="38">
        <v>0</v>
      </c>
      <c r="I5" s="47">
        <v>0</v>
      </c>
      <c r="J5" s="38">
        <v>0</v>
      </c>
      <c r="K5" s="47">
        <v>0</v>
      </c>
      <c r="L5" s="38">
        <v>0</v>
      </c>
      <c r="M5" s="47">
        <v>0</v>
      </c>
      <c r="N5" s="38">
        <v>0</v>
      </c>
      <c r="O5" s="47">
        <v>0</v>
      </c>
      <c r="P5" s="38">
        <v>0</v>
      </c>
      <c r="Q5" s="47">
        <v>0</v>
      </c>
      <c r="R5" s="38">
        <v>0</v>
      </c>
      <c r="S5" s="47">
        <v>0</v>
      </c>
      <c r="T5" s="38">
        <v>0</v>
      </c>
      <c r="U5" s="47">
        <v>0</v>
      </c>
      <c r="V5" s="38">
        <v>0</v>
      </c>
      <c r="W5" s="47">
        <v>0</v>
      </c>
    </row>
    <row r="6" spans="1:23" s="12" customFormat="1" ht="15.75" customHeight="1" x14ac:dyDescent="0.2">
      <c r="A6" s="45" t="s">
        <v>44</v>
      </c>
      <c r="B6" s="38">
        <v>0</v>
      </c>
      <c r="C6" s="47">
        <v>0</v>
      </c>
      <c r="D6" s="38">
        <v>0</v>
      </c>
      <c r="E6" s="47">
        <v>0</v>
      </c>
      <c r="F6" s="38">
        <v>0</v>
      </c>
      <c r="G6" s="47">
        <v>0</v>
      </c>
      <c r="H6" s="38">
        <v>-1462</v>
      </c>
      <c r="I6" s="47">
        <v>-1462</v>
      </c>
      <c r="J6" s="38">
        <v>-1462</v>
      </c>
      <c r="K6" s="47">
        <v>-1462</v>
      </c>
      <c r="L6" s="38">
        <v>-1462</v>
      </c>
      <c r="M6" s="47">
        <v>-1462</v>
      </c>
      <c r="N6" s="38">
        <v>-1462</v>
      </c>
      <c r="O6" s="47">
        <v>-1972</v>
      </c>
      <c r="P6" s="38">
        <v>-1972</v>
      </c>
      <c r="Q6" s="47">
        <v>-1972</v>
      </c>
      <c r="R6" s="38">
        <v>-1972</v>
      </c>
      <c r="S6" s="47">
        <v>-1572</v>
      </c>
      <c r="T6" s="38">
        <v>-1572</v>
      </c>
      <c r="U6" s="47">
        <v>-1572</v>
      </c>
      <c r="V6" s="38">
        <v>-1572</v>
      </c>
      <c r="W6" s="47">
        <v>-1572</v>
      </c>
    </row>
    <row r="7" spans="1:23" s="12" customFormat="1" ht="15.75" customHeight="1" x14ac:dyDescent="0.2">
      <c r="A7" s="45" t="s">
        <v>56</v>
      </c>
      <c r="B7" s="38">
        <v>0</v>
      </c>
      <c r="C7" s="47">
        <v>-24</v>
      </c>
      <c r="D7" s="38">
        <v>145</v>
      </c>
      <c r="E7" s="47">
        <v>-129</v>
      </c>
      <c r="F7" s="38">
        <v>152</v>
      </c>
      <c r="G7" s="47">
        <v>152</v>
      </c>
      <c r="H7" s="38">
        <v>152</v>
      </c>
      <c r="I7" s="47">
        <v>152</v>
      </c>
      <c r="J7" s="38">
        <v>152</v>
      </c>
      <c r="K7" s="47">
        <v>152</v>
      </c>
      <c r="L7" s="38">
        <v>105</v>
      </c>
      <c r="M7" s="47">
        <v>105</v>
      </c>
      <c r="N7" s="38">
        <v>105</v>
      </c>
      <c r="O7" s="47">
        <v>105</v>
      </c>
      <c r="P7" s="38">
        <v>105</v>
      </c>
      <c r="Q7" s="47">
        <v>105</v>
      </c>
      <c r="R7" s="38">
        <v>105</v>
      </c>
      <c r="S7" s="47">
        <v>213</v>
      </c>
      <c r="T7" s="38">
        <v>403</v>
      </c>
      <c r="U7" s="47">
        <v>403</v>
      </c>
      <c r="V7" s="38">
        <v>2317</v>
      </c>
      <c r="W7" s="47">
        <v>2317</v>
      </c>
    </row>
    <row r="8" spans="1:23" s="12" customFormat="1" ht="15.75" customHeight="1" x14ac:dyDescent="0.2">
      <c r="A8" s="45" t="s">
        <v>18</v>
      </c>
      <c r="B8" s="38">
        <v>0</v>
      </c>
      <c r="C8" s="47">
        <v>2636.3324456500013</v>
      </c>
      <c r="D8" s="38">
        <v>2636.3324456500013</v>
      </c>
      <c r="E8" s="47">
        <v>3036.3324456499995</v>
      </c>
      <c r="F8" s="38">
        <v>3436.3324456500013</v>
      </c>
      <c r="G8" s="47">
        <v>4329.3324456499995</v>
      </c>
      <c r="H8" s="38">
        <v>4768.5282467099987</v>
      </c>
      <c r="I8" s="47">
        <v>4976.7314722400006</v>
      </c>
      <c r="J8" s="38">
        <v>5570.3651232100001</v>
      </c>
      <c r="K8" s="47">
        <v>5938.9179440000007</v>
      </c>
      <c r="L8" s="38">
        <v>6578.0439886600016</v>
      </c>
      <c r="M8" s="47">
        <v>7206.851606000002</v>
      </c>
      <c r="N8" s="38">
        <v>7883.4140403499987</v>
      </c>
      <c r="O8" s="47">
        <v>8190.9303260599991</v>
      </c>
      <c r="P8" s="38">
        <v>8190.9303260599991</v>
      </c>
      <c r="Q8" s="47">
        <v>8435.9928042499996</v>
      </c>
      <c r="R8" s="38">
        <v>8746.1420496399987</v>
      </c>
      <c r="S8" s="47">
        <v>10282.385559929999</v>
      </c>
      <c r="T8" s="38">
        <v>11044.406528989999</v>
      </c>
      <c r="U8" s="47">
        <v>11044.754055379999</v>
      </c>
      <c r="V8" s="38">
        <v>11187.488841480001</v>
      </c>
      <c r="W8" s="47">
        <v>11187.488841480001</v>
      </c>
    </row>
    <row r="9" spans="1:23" s="12" customFormat="1" ht="15.75" customHeight="1" x14ac:dyDescent="0.2">
      <c r="A9" s="45" t="s">
        <v>57</v>
      </c>
      <c r="B9" s="38">
        <v>0</v>
      </c>
      <c r="C9" s="47">
        <v>844.5953165599999</v>
      </c>
      <c r="D9" s="38">
        <v>844.5953165599999</v>
      </c>
      <c r="E9" s="47">
        <v>940.5953165599999</v>
      </c>
      <c r="F9" s="38">
        <v>2759.9377527500005</v>
      </c>
      <c r="G9" s="47">
        <v>3887.36623465</v>
      </c>
      <c r="H9" s="38">
        <v>6321.2443776199998</v>
      </c>
      <c r="I9" s="47">
        <v>9250.4255622599994</v>
      </c>
      <c r="J9" s="38">
        <v>11427.56656035</v>
      </c>
      <c r="K9" s="47">
        <v>13817.07477642</v>
      </c>
      <c r="L9" s="38">
        <v>14931.948122380001</v>
      </c>
      <c r="M9" s="47">
        <v>17187.899594500002</v>
      </c>
      <c r="N9" s="38">
        <v>19790.099665669997</v>
      </c>
      <c r="O9" s="47">
        <v>22098.597909789998</v>
      </c>
      <c r="P9" s="38">
        <v>23460.25789329</v>
      </c>
      <c r="Q9" s="47">
        <v>25068.679721589997</v>
      </c>
      <c r="R9" s="38">
        <v>28935.476872939998</v>
      </c>
      <c r="S9" s="47">
        <v>31200.260500429999</v>
      </c>
      <c r="T9" s="38">
        <v>33835.000000010004</v>
      </c>
      <c r="U9" s="47">
        <v>33835.000000010004</v>
      </c>
      <c r="V9" s="38">
        <v>33835.000000010004</v>
      </c>
      <c r="W9" s="47">
        <v>33835.000000010004</v>
      </c>
    </row>
    <row r="10" spans="1:23" s="12" customFormat="1" ht="15.75" customHeight="1" x14ac:dyDescent="0.2">
      <c r="A10" s="45" t="s">
        <v>58</v>
      </c>
      <c r="B10" s="38">
        <v>0</v>
      </c>
      <c r="C10" s="47">
        <v>20</v>
      </c>
      <c r="D10" s="38">
        <v>120</v>
      </c>
      <c r="E10" s="47">
        <v>120</v>
      </c>
      <c r="F10" s="38">
        <v>230.28222795000011</v>
      </c>
      <c r="G10" s="47">
        <v>256.53990125999962</v>
      </c>
      <c r="H10" s="38">
        <v>936.69295135999982</v>
      </c>
      <c r="I10" s="47">
        <v>1293.43854736</v>
      </c>
      <c r="J10" s="38">
        <v>2051.9797973600002</v>
      </c>
      <c r="K10" s="47">
        <v>2992.1784393600005</v>
      </c>
      <c r="L10" s="38">
        <v>3770.4015485100003</v>
      </c>
      <c r="M10" s="47">
        <v>5773.6701275100004</v>
      </c>
      <c r="N10" s="38">
        <v>7550.1456245099998</v>
      </c>
      <c r="O10" s="47">
        <v>9809.5737295100007</v>
      </c>
      <c r="P10" s="38">
        <v>11216.941722510001</v>
      </c>
      <c r="Q10" s="47">
        <v>12530.534451510001</v>
      </c>
      <c r="R10" s="38">
        <v>15099.094590509996</v>
      </c>
      <c r="S10" s="47">
        <v>17345.20924751</v>
      </c>
      <c r="T10" s="38">
        <v>19493.853172509997</v>
      </c>
      <c r="U10" s="47">
        <v>19828.963644029998</v>
      </c>
      <c r="V10" s="38">
        <v>19828.963646519998</v>
      </c>
      <c r="W10" s="47">
        <v>19805.569546519997</v>
      </c>
    </row>
    <row r="11" spans="1:23" s="12" customFormat="1" ht="15.75" customHeight="1" x14ac:dyDescent="0.2">
      <c r="A11" s="45" t="s">
        <v>59</v>
      </c>
      <c r="B11" s="38">
        <v>0</v>
      </c>
      <c r="C11" s="47">
        <v>0</v>
      </c>
      <c r="D11" s="38">
        <v>0</v>
      </c>
      <c r="E11" s="47">
        <v>0</v>
      </c>
      <c r="F11" s="38">
        <v>0</v>
      </c>
      <c r="G11" s="47">
        <v>0</v>
      </c>
      <c r="H11" s="38">
        <v>0</v>
      </c>
      <c r="I11" s="47">
        <v>0</v>
      </c>
      <c r="J11" s="38">
        <v>0</v>
      </c>
      <c r="K11" s="47">
        <v>0</v>
      </c>
      <c r="L11" s="38">
        <v>171.567432</v>
      </c>
      <c r="M11" s="47">
        <v>200</v>
      </c>
      <c r="N11" s="38">
        <v>200</v>
      </c>
      <c r="O11" s="47">
        <v>200</v>
      </c>
      <c r="P11" s="38">
        <v>200</v>
      </c>
      <c r="Q11" s="47">
        <v>200</v>
      </c>
      <c r="R11" s="38">
        <v>300</v>
      </c>
      <c r="S11" s="47">
        <v>300</v>
      </c>
      <c r="T11" s="38">
        <v>300</v>
      </c>
      <c r="U11" s="47">
        <v>390.65633724999998</v>
      </c>
      <c r="V11" s="38">
        <v>394.0393345</v>
      </c>
      <c r="W11" s="47">
        <v>394.0393345</v>
      </c>
    </row>
    <row r="12" spans="1:23" ht="15.75" customHeight="1" x14ac:dyDescent="0.2">
      <c r="A12" s="45" t="s">
        <v>60</v>
      </c>
      <c r="B12" s="38">
        <v>0</v>
      </c>
      <c r="C12" s="47">
        <v>288.88</v>
      </c>
      <c r="D12" s="38">
        <v>665.11</v>
      </c>
      <c r="E12" s="47">
        <v>1011.3399999999999</v>
      </c>
      <c r="F12" s="38">
        <v>1343.9</v>
      </c>
      <c r="G12" s="47">
        <v>1663.06</v>
      </c>
      <c r="H12" s="38">
        <v>1976.1000000000001</v>
      </c>
      <c r="I12" s="47">
        <v>2275.6899999999996</v>
      </c>
      <c r="J12" s="38">
        <v>2568.8599999999997</v>
      </c>
      <c r="K12" s="47">
        <v>2854.41</v>
      </c>
      <c r="L12" s="38">
        <v>3133.92</v>
      </c>
      <c r="M12" s="47">
        <v>3411.12</v>
      </c>
      <c r="N12" s="38">
        <v>3667.8199999999997</v>
      </c>
      <c r="O12" s="47">
        <v>3900.08</v>
      </c>
      <c r="P12" s="38">
        <v>4123.63</v>
      </c>
      <c r="Q12" s="47">
        <v>4339.12</v>
      </c>
      <c r="R12" s="38">
        <v>4548.2699999999995</v>
      </c>
      <c r="S12" s="47">
        <v>4753.29</v>
      </c>
      <c r="T12" s="38">
        <v>4949.6899999999996</v>
      </c>
      <c r="U12" s="47">
        <v>5139.84</v>
      </c>
      <c r="V12" s="38">
        <v>5280.4</v>
      </c>
      <c r="W12" s="47">
        <v>5461.92</v>
      </c>
    </row>
    <row r="13" spans="1:23" ht="15.75" customHeight="1" x14ac:dyDescent="0.2">
      <c r="A13" s="45" t="s">
        <v>41</v>
      </c>
      <c r="B13" s="38">
        <v>0</v>
      </c>
      <c r="C13" s="47">
        <v>940</v>
      </c>
      <c r="D13" s="38">
        <v>1862</v>
      </c>
      <c r="E13" s="47">
        <v>2758</v>
      </c>
      <c r="F13" s="38">
        <v>3634</v>
      </c>
      <c r="G13" s="47">
        <v>4493</v>
      </c>
      <c r="H13" s="38">
        <v>5327</v>
      </c>
      <c r="I13" s="47">
        <v>6135</v>
      </c>
      <c r="J13" s="38">
        <v>6924</v>
      </c>
      <c r="K13" s="47">
        <v>7686</v>
      </c>
      <c r="L13" s="38">
        <v>8415</v>
      </c>
      <c r="M13" s="47">
        <v>9115</v>
      </c>
      <c r="N13" s="38">
        <v>9768</v>
      </c>
      <c r="O13" s="47">
        <v>10377</v>
      </c>
      <c r="P13" s="38">
        <v>10921</v>
      </c>
      <c r="Q13" s="47">
        <v>11420</v>
      </c>
      <c r="R13" s="38">
        <v>11890</v>
      </c>
      <c r="S13" s="47">
        <v>12331</v>
      </c>
      <c r="T13" s="38">
        <v>12734</v>
      </c>
      <c r="U13" s="47">
        <v>13062</v>
      </c>
      <c r="V13" s="38">
        <v>13400</v>
      </c>
      <c r="W13" s="47">
        <v>13694</v>
      </c>
    </row>
    <row r="14" spans="1:23" s="2" customFormat="1" ht="15.75" customHeight="1" x14ac:dyDescent="0.25">
      <c r="A14" s="46" t="s">
        <v>19</v>
      </c>
      <c r="B14" s="40">
        <f t="shared" ref="B14:W14" si="0">SUM(B3:B13)</f>
        <v>0</v>
      </c>
      <c r="C14" s="48">
        <f t="shared" si="0"/>
        <v>4705.8077622100009</v>
      </c>
      <c r="D14" s="40">
        <f t="shared" si="0"/>
        <v>6273.0377622100013</v>
      </c>
      <c r="E14" s="48">
        <f t="shared" si="0"/>
        <v>7737.2677622099991</v>
      </c>
      <c r="F14" s="40">
        <f t="shared" si="0"/>
        <v>9756.4524263500007</v>
      </c>
      <c r="G14" s="48">
        <f t="shared" si="0"/>
        <v>12981.298581559999</v>
      </c>
      <c r="H14" s="40">
        <f t="shared" si="0"/>
        <v>16219.56557569</v>
      </c>
      <c r="I14" s="48">
        <f t="shared" si="0"/>
        <v>20821.28558186</v>
      </c>
      <c r="J14" s="40">
        <f t="shared" si="0"/>
        <v>24702.771480920001</v>
      </c>
      <c r="K14" s="48">
        <f t="shared" si="0"/>
        <v>28358.581159780002</v>
      </c>
      <c r="L14" s="40">
        <f t="shared" si="0"/>
        <v>30703.88109155</v>
      </c>
      <c r="M14" s="48">
        <f t="shared" si="0"/>
        <v>34917.541328010004</v>
      </c>
      <c r="N14" s="40">
        <f t="shared" si="0"/>
        <v>40882.479330529997</v>
      </c>
      <c r="O14" s="48">
        <f t="shared" si="0"/>
        <v>46089.181965359996</v>
      </c>
      <c r="P14" s="40">
        <f t="shared" si="0"/>
        <v>48097.759941859993</v>
      </c>
      <c r="Q14" s="48">
        <f t="shared" si="0"/>
        <v>51979.32697735</v>
      </c>
      <c r="R14" s="40">
        <f t="shared" si="0"/>
        <v>56623.983513089988</v>
      </c>
      <c r="S14" s="48">
        <f t="shared" si="0"/>
        <v>61185.14530787</v>
      </c>
      <c r="T14" s="40">
        <f t="shared" si="0"/>
        <v>66119.949701510006</v>
      </c>
      <c r="U14" s="48">
        <f t="shared" si="0"/>
        <v>67064.214036670004</v>
      </c>
      <c r="V14" s="40">
        <f t="shared" si="0"/>
        <v>68902.891822510006</v>
      </c>
      <c r="W14" s="48">
        <f t="shared" si="0"/>
        <v>69355.017722510005</v>
      </c>
    </row>
    <row r="15" spans="1:23" ht="15.75" customHeight="1" x14ac:dyDescent="0.2">
      <c r="B15" s="6"/>
      <c r="C15" s="6"/>
    </row>
    <row r="16" spans="1:23" ht="15.75" customHeight="1" x14ac:dyDescent="0.2">
      <c r="B16" s="6"/>
      <c r="C16"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Z10"/>
  <sheetViews>
    <sheetView workbookViewId="0"/>
  </sheetViews>
  <sheetFormatPr defaultRowHeight="12.75" x14ac:dyDescent="0.2"/>
  <cols>
    <col min="1" max="1" width="13.85546875" bestFit="1" customWidth="1"/>
    <col min="2" max="23" width="10.42578125" customWidth="1"/>
  </cols>
  <sheetData>
    <row r="1" spans="1:26" ht="15.75" x14ac:dyDescent="0.25">
      <c r="A1" s="33" t="s">
        <v>70</v>
      </c>
    </row>
    <row r="2" spans="1:26" s="35" customFormat="1" ht="15.75" customHeight="1" x14ac:dyDescent="0.2">
      <c r="A2" s="51" t="s">
        <v>34</v>
      </c>
      <c r="B2" s="55" t="s">
        <v>0</v>
      </c>
      <c r="C2" s="56" t="s">
        <v>1</v>
      </c>
      <c r="D2" s="55" t="s">
        <v>2</v>
      </c>
      <c r="E2" s="56" t="s">
        <v>3</v>
      </c>
      <c r="F2" s="55" t="s">
        <v>4</v>
      </c>
      <c r="G2" s="56" t="s">
        <v>5</v>
      </c>
      <c r="H2" s="55" t="s">
        <v>6</v>
      </c>
      <c r="I2" s="56" t="s">
        <v>7</v>
      </c>
      <c r="J2" s="55" t="s">
        <v>8</v>
      </c>
      <c r="K2" s="56" t="s">
        <v>9</v>
      </c>
      <c r="L2" s="55" t="s">
        <v>10</v>
      </c>
      <c r="M2" s="56" t="s">
        <v>11</v>
      </c>
      <c r="N2" s="55" t="s">
        <v>12</v>
      </c>
      <c r="O2" s="56" t="s">
        <v>13</v>
      </c>
      <c r="P2" s="55" t="s">
        <v>14</v>
      </c>
      <c r="Q2" s="56" t="s">
        <v>15</v>
      </c>
      <c r="R2" s="55" t="s">
        <v>16</v>
      </c>
      <c r="S2" s="56" t="s">
        <v>45</v>
      </c>
      <c r="T2" s="55" t="s">
        <v>61</v>
      </c>
      <c r="U2" s="56" t="s">
        <v>62</v>
      </c>
      <c r="V2" s="55" t="s">
        <v>63</v>
      </c>
      <c r="W2" s="56" t="s">
        <v>64</v>
      </c>
    </row>
    <row r="3" spans="1:26" s="10" customFormat="1" ht="15.75" customHeight="1" x14ac:dyDescent="0.2">
      <c r="A3" s="45" t="s">
        <v>35</v>
      </c>
      <c r="B3" s="38">
        <v>0</v>
      </c>
      <c r="C3" s="47">
        <v>36.313099397211531</v>
      </c>
      <c r="D3" s="38">
        <v>36.313099397211531</v>
      </c>
      <c r="E3" s="47">
        <v>36.313099397211531</v>
      </c>
      <c r="F3" s="38">
        <v>234.6782526982266</v>
      </c>
      <c r="G3" s="47">
        <v>274.83459635842473</v>
      </c>
      <c r="H3" s="38">
        <v>275.61852193368753</v>
      </c>
      <c r="I3" s="47">
        <v>474.07746861450551</v>
      </c>
      <c r="J3" s="38">
        <v>474.07746861450551</v>
      </c>
      <c r="K3" s="47">
        <v>551.99649022635424</v>
      </c>
      <c r="L3" s="38">
        <v>718.81446832958204</v>
      </c>
      <c r="M3" s="47">
        <v>884.42306778270824</v>
      </c>
      <c r="N3" s="38">
        <v>1066.6356440040481</v>
      </c>
      <c r="O3" s="47">
        <v>1221.1453806842014</v>
      </c>
      <c r="P3" s="38">
        <v>1221.1453806842014</v>
      </c>
      <c r="Q3" s="47">
        <v>1458.0913368455397</v>
      </c>
      <c r="R3" s="38">
        <v>1949.0714070376764</v>
      </c>
      <c r="S3" s="47">
        <v>2325.7240452629267</v>
      </c>
      <c r="T3" s="38">
        <v>2438.4871333602268</v>
      </c>
      <c r="U3" s="47">
        <v>2465.4861551706272</v>
      </c>
      <c r="V3" s="38">
        <v>2524.9156360479456</v>
      </c>
      <c r="W3" s="47">
        <v>2524.9156360479456</v>
      </c>
    </row>
    <row r="4" spans="1:26" s="10" customFormat="1" ht="15.75" customHeight="1" x14ac:dyDescent="0.2">
      <c r="A4" s="45" t="s">
        <v>36</v>
      </c>
      <c r="B4" s="38">
        <v>0</v>
      </c>
      <c r="C4" s="47">
        <v>0</v>
      </c>
      <c r="D4" s="38">
        <v>0</v>
      </c>
      <c r="E4" s="47">
        <v>0</v>
      </c>
      <c r="F4" s="38">
        <v>0</v>
      </c>
      <c r="G4" s="47">
        <v>15.497284599634099</v>
      </c>
      <c r="H4" s="38">
        <v>183.9911792656886</v>
      </c>
      <c r="I4" s="47">
        <v>272.51410093293362</v>
      </c>
      <c r="J4" s="38">
        <v>533.13225957947486</v>
      </c>
      <c r="K4" s="47">
        <v>648.20960986761349</v>
      </c>
      <c r="L4" s="38">
        <v>725.95385064140862</v>
      </c>
      <c r="M4" s="47">
        <v>1018.5351969270032</v>
      </c>
      <c r="N4" s="38">
        <v>1273.8631260189004</v>
      </c>
      <c r="O4" s="47">
        <v>1417.8937805832225</v>
      </c>
      <c r="P4" s="38">
        <v>1417.8937805832225</v>
      </c>
      <c r="Q4" s="47">
        <v>1421.1813919101246</v>
      </c>
      <c r="R4" s="38">
        <v>1443.5422532820455</v>
      </c>
      <c r="S4" s="47">
        <v>1489.6426493055253</v>
      </c>
      <c r="T4" s="38">
        <v>1754.1244236535206</v>
      </c>
      <c r="U4" s="47">
        <v>1783.7592337734559</v>
      </c>
      <c r="V4" s="38">
        <v>1887.0521148847529</v>
      </c>
      <c r="W4" s="47">
        <v>1887.0521148847529</v>
      </c>
    </row>
    <row r="5" spans="1:26" s="10" customFormat="1" ht="15.75" customHeight="1" x14ac:dyDescent="0.2">
      <c r="A5" s="45" t="s">
        <v>37</v>
      </c>
      <c r="B5" s="38">
        <v>0</v>
      </c>
      <c r="C5" s="47">
        <v>72.545947280513957</v>
      </c>
      <c r="D5" s="38">
        <v>85.694285226875849</v>
      </c>
      <c r="E5" s="47">
        <v>167.20429479951483</v>
      </c>
      <c r="F5" s="38">
        <v>254.67965978090328</v>
      </c>
      <c r="G5" s="47">
        <v>471.56162100967617</v>
      </c>
      <c r="H5" s="38">
        <v>557.64592499824562</v>
      </c>
      <c r="I5" s="47">
        <v>557.64592499824562</v>
      </c>
      <c r="J5" s="38">
        <v>557.64592499824562</v>
      </c>
      <c r="K5" s="47">
        <v>575.86095975514866</v>
      </c>
      <c r="L5" s="38">
        <v>636.12417664366239</v>
      </c>
      <c r="M5" s="47">
        <v>667.00574369476828</v>
      </c>
      <c r="N5" s="38">
        <v>674.79202016532156</v>
      </c>
      <c r="O5" s="47">
        <v>821.25504347356809</v>
      </c>
      <c r="P5" s="38">
        <v>1058.3508624560325</v>
      </c>
      <c r="Q5" s="47">
        <v>1058.3508624560325</v>
      </c>
      <c r="R5" s="38">
        <v>1058.3508624560325</v>
      </c>
      <c r="S5" s="47">
        <v>1195.781978075217</v>
      </c>
      <c r="T5" s="38">
        <v>1237.2967849923598</v>
      </c>
      <c r="U5" s="47">
        <v>1237.2967849923598</v>
      </c>
      <c r="V5" s="38">
        <v>1237.2967849923598</v>
      </c>
      <c r="W5" s="47">
        <v>1164.7508377118461</v>
      </c>
    </row>
    <row r="6" spans="1:26" s="10" customFormat="1" ht="15.75" customHeight="1" x14ac:dyDescent="0.2">
      <c r="A6" s="45" t="s">
        <v>38</v>
      </c>
      <c r="B6" s="38">
        <v>0</v>
      </c>
      <c r="C6" s="47">
        <v>118.4910939820672</v>
      </c>
      <c r="D6" s="38">
        <v>118.4910939820672</v>
      </c>
      <c r="E6" s="47">
        <v>118.4910939820672</v>
      </c>
      <c r="F6" s="38">
        <v>118.4910939820672</v>
      </c>
      <c r="G6" s="47">
        <v>118.4910939820672</v>
      </c>
      <c r="H6" s="38">
        <v>238.74942270161682</v>
      </c>
      <c r="I6" s="47">
        <v>272.23125669702802</v>
      </c>
      <c r="J6" s="38">
        <v>368.14862866612026</v>
      </c>
      <c r="K6" s="47">
        <v>505.77050758527054</v>
      </c>
      <c r="L6" s="38">
        <v>519.15489583224485</v>
      </c>
      <c r="M6" s="47">
        <v>530.75707197866996</v>
      </c>
      <c r="N6" s="38">
        <v>561.97624897358503</v>
      </c>
      <c r="O6" s="47">
        <v>566.41736850555685</v>
      </c>
      <c r="P6" s="38">
        <v>566.41736850555685</v>
      </c>
      <c r="Q6" s="47">
        <v>608.01200739537637</v>
      </c>
      <c r="R6" s="38">
        <v>689.23768876560109</v>
      </c>
      <c r="S6" s="47">
        <v>735.2472184969921</v>
      </c>
      <c r="T6" s="38">
        <v>810.66529769971908</v>
      </c>
      <c r="U6" s="47">
        <v>810.66529769971908</v>
      </c>
      <c r="V6" s="38">
        <v>810.66529769971908</v>
      </c>
      <c r="W6" s="47">
        <v>749.00754829374125</v>
      </c>
    </row>
    <row r="7" spans="1:26" s="10" customFormat="1" ht="15.75" customHeight="1" x14ac:dyDescent="0.2">
      <c r="A7" s="45" t="s">
        <v>39</v>
      </c>
      <c r="B7" s="38">
        <v>0</v>
      </c>
      <c r="C7" s="47">
        <v>0</v>
      </c>
      <c r="D7" s="38">
        <v>0</v>
      </c>
      <c r="E7" s="47">
        <v>0</v>
      </c>
      <c r="F7" s="38">
        <v>0</v>
      </c>
      <c r="G7" s="47">
        <v>0</v>
      </c>
      <c r="H7" s="38">
        <v>6.9078303748514083</v>
      </c>
      <c r="I7" s="47">
        <v>40.237431149853187</v>
      </c>
      <c r="J7" s="38">
        <v>66.253657488388384</v>
      </c>
      <c r="K7" s="47">
        <v>92.424709047574638</v>
      </c>
      <c r="L7" s="38">
        <v>110.99457145034387</v>
      </c>
      <c r="M7" s="47">
        <v>110.99457145034387</v>
      </c>
      <c r="N7" s="38">
        <v>130.41465943745618</v>
      </c>
      <c r="O7" s="47">
        <v>130.41465943745618</v>
      </c>
      <c r="P7" s="38">
        <v>130.41465943745618</v>
      </c>
      <c r="Q7" s="47">
        <v>130.41465943745618</v>
      </c>
      <c r="R7" s="38">
        <v>130.41465943745618</v>
      </c>
      <c r="S7" s="47">
        <v>148.54506911339271</v>
      </c>
      <c r="T7" s="38">
        <v>165.70273764629908</v>
      </c>
      <c r="U7" s="47">
        <v>165.75929922071523</v>
      </c>
      <c r="V7" s="38">
        <v>165.75929922071523</v>
      </c>
      <c r="W7" s="47">
        <v>165.75929922071523</v>
      </c>
    </row>
    <row r="8" spans="1:26" x14ac:dyDescent="0.2">
      <c r="A8" s="61" t="s">
        <v>75</v>
      </c>
      <c r="B8" s="11"/>
      <c r="C8" s="11"/>
      <c r="D8" s="11"/>
      <c r="E8" s="11"/>
      <c r="F8" s="11"/>
      <c r="G8" s="11"/>
      <c r="H8" s="11"/>
      <c r="I8" s="11"/>
      <c r="J8" s="11"/>
      <c r="K8" s="11"/>
      <c r="L8" s="11"/>
      <c r="M8" s="11"/>
      <c r="N8" s="11"/>
      <c r="O8" s="11"/>
      <c r="P8" s="11"/>
      <c r="Q8" s="11"/>
      <c r="R8" s="11"/>
      <c r="S8" s="11"/>
      <c r="T8" s="11"/>
      <c r="U8" s="11"/>
      <c r="V8" s="11"/>
      <c r="W8" s="11"/>
    </row>
    <row r="10" spans="1:26" ht="14.25" x14ac:dyDescent="0.2">
      <c r="A10" s="1"/>
      <c r="B10" s="6"/>
      <c r="C10" s="6"/>
      <c r="D10" s="1"/>
      <c r="E10" s="1"/>
      <c r="F10" s="1"/>
      <c r="G10" s="1"/>
      <c r="H10" s="1"/>
      <c r="I10" s="1"/>
      <c r="J10" s="1"/>
      <c r="K10" s="1"/>
      <c r="L10" s="1"/>
      <c r="M10" s="1"/>
      <c r="N10" s="1"/>
      <c r="O10" s="1"/>
      <c r="P10" s="1"/>
      <c r="Q10" s="1"/>
      <c r="R10" s="1"/>
      <c r="S10" s="1"/>
      <c r="T10" s="1"/>
      <c r="U10" s="1"/>
      <c r="V10" s="1"/>
      <c r="W10" s="1"/>
      <c r="X10" s="1"/>
      <c r="Y10" s="1"/>
      <c r="Z10"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E2FDD9A15D549AEA83EA1B400EBDA" ma:contentTypeVersion="0" ma:contentTypeDescription="Create a new document." ma:contentTypeScope="" ma:versionID="ad79084dcdd2c6282bac2fbd9f324cf9">
  <xsd:schema xmlns:xsd="http://www.w3.org/2001/XMLSchema" xmlns:xs="http://www.w3.org/2001/XMLSchema" xmlns:p="http://schemas.microsoft.com/office/2006/metadata/properties" xmlns:ns2="a14523ce-dede-483e-883a-2d83261080bd" targetNamespace="http://schemas.microsoft.com/office/2006/metadata/properties" ma:root="true" ma:fieldsID="7609b2132cc27c2e027996f255529d92" ns2:_="">
    <xsd:import namespace="a14523ce-dede-483e-883a-2d83261080b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4523ce-dede-483e-883a-2d83261080b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_dlc_DocId xmlns="a14523ce-dede-483e-883a-2d83261080bd">NETWORKDEV-1262562635-208</_dlc_DocId>
    <_dlc_DocIdUrl xmlns="a14523ce-dede-483e-883a-2d83261080bd">
      <Url>http://sharedocs/sites/nd/BusinessAsUsual/_layouts/15/DocIdRedir.aspx?ID=NETWORKDEV-1262562635-208</Url>
      <Description>NETWORKDEV-1262562635-208</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EC4464-603D-4D96-AEFD-F7E046CF5D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4523ce-dede-483e-883a-2d8326108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708792-4492-4C8E-B7C6-DAAFAA3CE7F3}">
  <ds:schemaRefs>
    <ds:schemaRef ds:uri="http://schemas.microsoft.com/sharepoint/events"/>
  </ds:schemaRefs>
</ds:datastoreItem>
</file>

<file path=customXml/itemProps3.xml><?xml version="1.0" encoding="utf-8"?>
<ds:datastoreItem xmlns:ds="http://schemas.openxmlformats.org/officeDocument/2006/customXml" ds:itemID="{F3203936-8F89-476E-B0D1-A4F68C695FA1}">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schemas.microsoft.com/office/infopath/2007/PartnerControls"/>
    <ds:schemaRef ds:uri="a14523ce-dede-483e-883a-2d83261080bd"/>
    <ds:schemaRef ds:uri="http://purl.org/dc/terms/"/>
  </ds:schemaRefs>
</ds:datastoreItem>
</file>

<file path=customXml/itemProps4.xml><?xml version="1.0" encoding="utf-8"?>
<ds:datastoreItem xmlns:ds="http://schemas.openxmlformats.org/officeDocument/2006/customXml" ds:itemID="{C4884797-D8A5-45D4-A6C8-85916C62C8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3</vt:i4>
      </vt:variant>
    </vt:vector>
  </HeadingPairs>
  <TitlesOfParts>
    <vt:vector size="10" baseType="lpstr">
      <vt:lpstr>Index</vt:lpstr>
      <vt:lpstr>Market Benefits Summary</vt:lpstr>
      <vt:lpstr>Net Market Benefits</vt:lpstr>
      <vt:lpstr>NEMInstalledCapacity Data</vt:lpstr>
      <vt:lpstr>NEMEnergyGenerated Data</vt:lpstr>
      <vt:lpstr>NewAndRetiredCapacity Data</vt:lpstr>
      <vt:lpstr>GenerationInvestment</vt:lpstr>
      <vt:lpstr>NEMInstalledCapacity Figure</vt:lpstr>
      <vt:lpstr>NEMEnergyGenerated Figure</vt:lpstr>
      <vt:lpstr>NewAndRetiredCapacity Figure</vt:lpstr>
    </vt:vector>
  </TitlesOfParts>
  <Company>AEMO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NTNDP_2016_Additional_Information</dc:title>
  <dc:creator>Monique Meerkotter</dc:creator>
  <cp:lastModifiedBy>AEMO</cp:lastModifiedBy>
  <dcterms:created xsi:type="dcterms:W3CDTF">2012-11-20T01:45:39Z</dcterms:created>
  <dcterms:modified xsi:type="dcterms:W3CDTF">2018-07-24T04:42:16Z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0x010100E5EE2FDD9A15D549AEA83EA1B400EBDA</vt:lpwstr>
  </property>
  <property fmtid="{D5CDD505-2E9C-101B-9397-08002B2CF9AE}" pid="3" name="_dlc_DocIdItemGuid">
    <vt:lpwstr>33e8c2c2-cf42-46e7-a3e5-46bd238f3641</vt:lpwstr>
  </property>
  <property fmtid="{D5CDD505-2E9C-101B-9397-08002B2CF9AE}" pid="4" name="AEMOKeywords">
    <vt:lpwstr/>
  </property>
  <property fmtid="{D5CDD505-2E9C-101B-9397-08002B2CF9AE}" pid="5" name="AEMODocumentType">
    <vt:lpwstr>1;#Operational Record|859762f2-4462-42eb-9744-c955c7e2c540</vt:lpwstr>
  </property>
  <property fmtid="{D5CDD505-2E9C-101B-9397-08002B2CF9AE}" pid="6" name="DocumentStorageId">
    <vt:lpwstr/>
  </property>
  <property fmtid="{D5CDD505-2E9C-101B-9397-08002B2CF9AE}" pid="7" name="AEMODocumentTypeTaxHTField0">
    <vt:lpwstr>Operational Record|859762f2-4462-42eb-9744-c955c7e2c540</vt:lpwstr>
  </property>
  <property fmtid="{D5CDD505-2E9C-101B-9397-08002B2CF9AE}" pid="8" name="TaxCatchAll">
    <vt:lpwstr>1;#Operational Record|859762f2-4462-42eb-9744-c955c7e2c540</vt:lpwstr>
  </property>
  <property fmtid="{D5CDD505-2E9C-101B-9397-08002B2CF9AE}" pid="9" name="AEMOKeywordsTaxHTField0">
    <vt:lpwstr/>
  </property>
</Properties>
</file>