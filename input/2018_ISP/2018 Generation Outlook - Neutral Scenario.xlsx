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worksheets/sheet4.xml" ContentType="application/vnd.openxmlformats-officedocument.spreadsheetml.worksheet+xml"/>
  <Override PartName="/xl/chartsheets/sheet2.xml" ContentType="application/vnd.openxmlformats-officedocument.spreadsheetml.chartsheet+xml"/>
  <Override PartName="/xl/worksheets/sheet5.xml" ContentType="application/vnd.openxmlformats-officedocument.spreadsheetml.worksheet+xml"/>
  <Override PartName="/xl/chartsheets/sheet3.xml" ContentType="application/vnd.openxmlformats-officedocument.spreadsheetml.chart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6925"/>
  <workbookPr codeName="ThisWorkbook"/>
  <mc:AlternateContent xmlns:mc="http://schemas.openxmlformats.org/markup-compatibility/2006">
    <mc:Choice Requires="x15">
      <x15ac:absPath xmlns:x15ac="http://schemas.microsoft.com/office/spreadsheetml/2010/11/ac" url="A:\ISP\Reports for publication\ISP database\2018 ISP Generation and Transmission Outlooks\"/>
    </mc:Choice>
  </mc:AlternateContent>
  <bookViews>
    <workbookView xWindow="0" yWindow="0" windowWidth="28800" windowHeight="14085" tabRatio="876"/>
  </bookViews>
  <sheets>
    <sheet name="Index" sheetId="42" r:id="rId1"/>
    <sheet name="Market Benefits Summary" sheetId="47" r:id="rId2"/>
    <sheet name="Net Market Benefits" sheetId="46" r:id="rId3"/>
    <sheet name="NEMInstalledCapacity Figure" sheetId="40" r:id="rId4"/>
    <sheet name="NEMInstalledCapacity Data" sheetId="2" r:id="rId5"/>
    <sheet name="NEMEnergyGenerated Figure" sheetId="41" r:id="rId6"/>
    <sheet name="NEMEnergyGenerated Data" sheetId="5" r:id="rId7"/>
    <sheet name="NewAndRetiredCapacity Figure" sheetId="38" r:id="rId8"/>
    <sheet name="NewAndRetiredCapacity Data" sheetId="29" r:id="rId9"/>
    <sheet name="GenerationInvestment" sheetId="43" r:id="rId10"/>
  </sheets>
  <definedNames>
    <definedName name="_xlnm._FilterDatabase" localSheetId="6" hidden="1">'NEMEnergyGenerated Data'!#REF!</definedName>
    <definedName name="_xlnm._FilterDatabase" localSheetId="4" hidden="1">'NEMInstalledCapacity Data'!$A$15:$AR$17</definedName>
    <definedName name="_xlnm._FilterDatabase" localSheetId="2" hidden="1">'Net Market Benefits'!#REF!</definedName>
    <definedName name="_xlnm._FilterDatabase" localSheetId="8" hidden="1">'NewAndRetiredCapacity Data'!#REF!</definedName>
  </definedNames>
  <calcPr calcId="171027"/>
</workbook>
</file>

<file path=xl/calcChain.xml><?xml version="1.0" encoding="utf-8"?>
<calcChain xmlns="http://schemas.openxmlformats.org/spreadsheetml/2006/main">
  <c r="S24" i="47" l="1"/>
  <c r="R24" i="47" l="1"/>
  <c r="L24" i="47"/>
  <c r="K24" i="47"/>
  <c r="E24" i="47"/>
  <c r="D24" i="47"/>
  <c r="S12" i="47"/>
  <c r="R12" i="47"/>
  <c r="L12" i="47"/>
  <c r="K12" i="47"/>
  <c r="E12" i="47"/>
  <c r="D12" i="47"/>
  <c r="T10" i="47"/>
  <c r="T9" i="47"/>
  <c r="T8" i="47"/>
  <c r="T7" i="47"/>
  <c r="T6" i="47"/>
  <c r="T5" i="47"/>
  <c r="W7" i="43" l="1"/>
  <c r="V7" i="43"/>
  <c r="U7" i="43"/>
  <c r="T7" i="43"/>
  <c r="S7" i="43"/>
  <c r="R7" i="43"/>
  <c r="Q7" i="43"/>
  <c r="P7" i="43"/>
  <c r="O7" i="43"/>
  <c r="N7" i="43"/>
  <c r="M7" i="43"/>
  <c r="L7" i="43"/>
  <c r="K7" i="43"/>
  <c r="J7" i="43"/>
  <c r="I7" i="43"/>
  <c r="H7" i="43"/>
  <c r="G7" i="43"/>
  <c r="F7" i="43"/>
  <c r="E7" i="43"/>
  <c r="D7" i="43"/>
  <c r="C7" i="43"/>
  <c r="B7" i="43"/>
  <c r="W6" i="43"/>
  <c r="V6" i="43"/>
  <c r="U6" i="43"/>
  <c r="T6" i="43"/>
  <c r="S6" i="43"/>
  <c r="R6" i="43"/>
  <c r="Q6" i="43"/>
  <c r="P6" i="43"/>
  <c r="O6" i="43"/>
  <c r="N6" i="43"/>
  <c r="M6" i="43"/>
  <c r="L6" i="43"/>
  <c r="K6" i="43"/>
  <c r="J6" i="43"/>
  <c r="I6" i="43"/>
  <c r="H6" i="43"/>
  <c r="G6" i="43"/>
  <c r="F6" i="43"/>
  <c r="E6" i="43"/>
  <c r="D6" i="43"/>
  <c r="C6" i="43"/>
  <c r="B6" i="43"/>
  <c r="W5" i="43"/>
  <c r="V5" i="43"/>
  <c r="U5" i="43"/>
  <c r="T5" i="43"/>
  <c r="S5" i="43"/>
  <c r="R5" i="43"/>
  <c r="Q5" i="43"/>
  <c r="P5" i="43"/>
  <c r="O5" i="43"/>
  <c r="N5" i="43"/>
  <c r="M5" i="43"/>
  <c r="L5" i="43"/>
  <c r="K5" i="43"/>
  <c r="J5" i="43"/>
  <c r="I5" i="43"/>
  <c r="H5" i="43"/>
  <c r="G5" i="43"/>
  <c r="F5" i="43"/>
  <c r="E5" i="43"/>
  <c r="D5" i="43"/>
  <c r="C5" i="43"/>
  <c r="B5" i="43"/>
  <c r="W4" i="43"/>
  <c r="V4" i="43"/>
  <c r="U4" i="43"/>
  <c r="T4" i="43"/>
  <c r="S4" i="43"/>
  <c r="R4" i="43"/>
  <c r="Q4" i="43"/>
  <c r="P4" i="43"/>
  <c r="O4" i="43"/>
  <c r="N4" i="43"/>
  <c r="M4" i="43"/>
  <c r="L4" i="43"/>
  <c r="K4" i="43"/>
  <c r="J4" i="43"/>
  <c r="I4" i="43"/>
  <c r="H4" i="43"/>
  <c r="G4" i="43"/>
  <c r="F4" i="43"/>
  <c r="E4" i="43"/>
  <c r="D4" i="43"/>
  <c r="C4" i="43"/>
  <c r="B4" i="43"/>
  <c r="W3" i="43"/>
  <c r="V3" i="43"/>
  <c r="U3" i="43"/>
  <c r="T3" i="43"/>
  <c r="S3" i="43"/>
  <c r="R3" i="43"/>
  <c r="Q3" i="43"/>
  <c r="P3" i="43"/>
  <c r="O3" i="43"/>
  <c r="N3" i="43"/>
  <c r="M3" i="43"/>
  <c r="L3" i="43"/>
  <c r="K3" i="43"/>
  <c r="J3" i="43"/>
  <c r="I3" i="43"/>
  <c r="H3" i="43"/>
  <c r="G3" i="43"/>
  <c r="F3" i="43"/>
  <c r="E3" i="43"/>
  <c r="D3" i="43"/>
  <c r="C3" i="43"/>
  <c r="B3" i="43"/>
  <c r="Q14" i="29"/>
  <c r="W14" i="29" l="1"/>
  <c r="V14" i="29"/>
  <c r="E16" i="5"/>
  <c r="F16" i="5"/>
  <c r="G16" i="5"/>
  <c r="H16" i="5"/>
  <c r="I16" i="5"/>
  <c r="J16" i="5"/>
  <c r="K16" i="5"/>
  <c r="L16" i="5"/>
  <c r="M16" i="5"/>
  <c r="N16" i="5"/>
  <c r="O16" i="5"/>
  <c r="P16" i="5"/>
  <c r="Q16" i="5"/>
  <c r="R16" i="5"/>
  <c r="S16" i="5"/>
  <c r="T16" i="5"/>
  <c r="U16" i="5"/>
  <c r="V16" i="5"/>
  <c r="W16" i="5"/>
  <c r="X16" i="5"/>
  <c r="D16" i="5"/>
  <c r="C16" i="5"/>
  <c r="W14" i="2"/>
  <c r="X14" i="2"/>
  <c r="D14" i="2" l="1"/>
  <c r="E14" i="2"/>
  <c r="F14" i="2"/>
  <c r="G14" i="2"/>
  <c r="H14" i="2"/>
  <c r="I14" i="2"/>
  <c r="J14" i="2"/>
  <c r="K14" i="2"/>
  <c r="L14" i="2"/>
  <c r="M14" i="2"/>
  <c r="N14" i="2"/>
  <c r="O14" i="2"/>
  <c r="P14" i="2"/>
  <c r="Q14" i="2"/>
  <c r="R14" i="2"/>
  <c r="S14" i="2"/>
  <c r="T14" i="2"/>
  <c r="U14" i="2"/>
  <c r="V14" i="2"/>
  <c r="C14" i="2"/>
  <c r="B14" i="29" l="1"/>
  <c r="C14" i="29"/>
  <c r="D14" i="29"/>
  <c r="E14" i="29"/>
  <c r="F14" i="29"/>
  <c r="G14" i="29"/>
  <c r="H14" i="29"/>
  <c r="I14" i="29"/>
  <c r="J14" i="29"/>
  <c r="K14" i="29"/>
  <c r="L14" i="29"/>
  <c r="M14" i="29"/>
  <c r="N14" i="29"/>
  <c r="O14" i="29"/>
  <c r="P14" i="29"/>
  <c r="R14" i="29"/>
  <c r="S14" i="29"/>
  <c r="T14" i="29"/>
  <c r="U14" i="29"/>
</calcChain>
</file>

<file path=xl/sharedStrings.xml><?xml version="1.0" encoding="utf-8"?>
<sst xmlns="http://schemas.openxmlformats.org/spreadsheetml/2006/main" count="425" uniqueCount="107">
  <si>
    <t>2018-19</t>
  </si>
  <si>
    <t>2019-20</t>
  </si>
  <si>
    <t>2020-21</t>
  </si>
  <si>
    <t>2021-22</t>
  </si>
  <si>
    <t>2022-23</t>
  </si>
  <si>
    <t>2023-24</t>
  </si>
  <si>
    <t>2024-25</t>
  </si>
  <si>
    <t>2025-26</t>
  </si>
  <si>
    <t>2026-27</t>
  </si>
  <si>
    <t>2027-28</t>
  </si>
  <si>
    <t>2028-29</t>
  </si>
  <si>
    <t>2029-30</t>
  </si>
  <si>
    <t>2030-31</t>
  </si>
  <si>
    <t>2031-32</t>
  </si>
  <si>
    <t>2032-33</t>
  </si>
  <si>
    <t>2033-34</t>
  </si>
  <si>
    <t>2034-35</t>
  </si>
  <si>
    <t>Hydro</t>
  </si>
  <si>
    <t>Wind</t>
  </si>
  <si>
    <t>Total</t>
  </si>
  <si>
    <t>Technology</t>
  </si>
  <si>
    <t>Cumulative NEM Total New Entry / Retired Capacity by Technology (MW)</t>
  </si>
  <si>
    <t>Total NEM Installed Capacity by Technology (MW)</t>
  </si>
  <si>
    <t>Please note that the data format may need to be adjusted in order to view the data to the level of fidelity required. 
For example, you may need to format the cell to a more appropriate number of decimal places in some cases as desired.</t>
  </si>
  <si>
    <t>Index Table</t>
  </si>
  <si>
    <t>Tab Name</t>
  </si>
  <si>
    <t>Content Description</t>
  </si>
  <si>
    <t>NEMInstalledCapacity Figure</t>
  </si>
  <si>
    <t>NEMInstalledCapacity Data</t>
  </si>
  <si>
    <t>NEMEnergyGenerated Figure</t>
  </si>
  <si>
    <t>NEMEnergyGenerated Data</t>
  </si>
  <si>
    <t>NewAndRetiredCapacity Figure</t>
  </si>
  <si>
    <t>NewAndRetiredCapacity Data</t>
  </si>
  <si>
    <t>GenerationInvestment</t>
  </si>
  <si>
    <t>Region</t>
  </si>
  <si>
    <t>NSW</t>
  </si>
  <si>
    <t>QLD</t>
  </si>
  <si>
    <t>VIC</t>
  </si>
  <si>
    <t>SA</t>
  </si>
  <si>
    <t>TAS</t>
  </si>
  <si>
    <t xml:space="preserve">Total </t>
  </si>
  <si>
    <t>Rooftop PV</t>
  </si>
  <si>
    <t>NEM</t>
  </si>
  <si>
    <t>About</t>
  </si>
  <si>
    <t>CCGT</t>
  </si>
  <si>
    <t>2035-36</t>
  </si>
  <si>
    <t>Generation Cost</t>
  </si>
  <si>
    <t>FO&amp;M Cost</t>
  </si>
  <si>
    <t>Build Cost</t>
  </si>
  <si>
    <t>Intra-connectors</t>
  </si>
  <si>
    <t>Inter-connectors</t>
  </si>
  <si>
    <t>Total NEM installed capacity by technology (MW) and total NEM installed capacity by technology and zone (MW), yearly resolution for period 2018–19 to 2039–40.</t>
  </si>
  <si>
    <t>Cumulative NEM total new entry and retired capacity by technology (MW) and cumulative NEM total new entry and retired capacity by technology and zone, yearly resolution for period 2018–19 to 2039–40.</t>
  </si>
  <si>
    <t>Generation investment across the NEM ($ million), yearly resolution for period 2018–19 to 2039–40.</t>
  </si>
  <si>
    <t>Black coal</t>
  </si>
  <si>
    <t>Brown coal</t>
  </si>
  <si>
    <t>Peaking gas + liquids</t>
  </si>
  <si>
    <t>Utility Solar</t>
  </si>
  <si>
    <t>Utility storage</t>
  </si>
  <si>
    <t>Biomass</t>
  </si>
  <si>
    <t>Distributed storage</t>
  </si>
  <si>
    <t>2036-37</t>
  </si>
  <si>
    <t>2037-38</t>
  </si>
  <si>
    <t>2038-39</t>
  </si>
  <si>
    <t>2039-40</t>
  </si>
  <si>
    <t>Distributed storage load</t>
  </si>
  <si>
    <t>Utility storage generation</t>
  </si>
  <si>
    <t>Utility storage load</t>
  </si>
  <si>
    <t>Distributed storage generation</t>
  </si>
  <si>
    <t>Total NEM Generated Energy by Technology (GWh)</t>
  </si>
  <si>
    <t>Annualised Generation Investment across the NEM ($ million)</t>
  </si>
  <si>
    <t>Total NEM generated energy by technology (GWh) and total NEM generated energy by technology and zone (GWh), yearly resolution for period 2018–19 to 2039–40.</t>
  </si>
  <si>
    <t>2018 ISP Generation Outlook</t>
  </si>
  <si>
    <t>Breakdown of the total market benefits provided under this scenario. Market benefit is presented as NPV of equivalent annuities.</t>
  </si>
  <si>
    <t>NPV ($ million)</t>
  </si>
  <si>
    <t>* Excludes annualised cost of committed and advanced generation projects</t>
  </si>
  <si>
    <t>This spreadsheet contains the generation and transmission outlook for the Neutral scenario of the 2018 ISP. For a complete description of the scenarios and sensitivities, please see the 2018 ISP main report.</t>
  </si>
  <si>
    <t>Market Benefits Summary</t>
  </si>
  <si>
    <t>Market benefits summary for all scenarios in the 2018 ISP. Market benefit is presented as NPV of equivalent annuities.</t>
  </si>
  <si>
    <t>Market Benefits of Neutral scenario by 2040</t>
  </si>
  <si>
    <t>Market Benefits of Fast Change scenario by 2040</t>
  </si>
  <si>
    <t>Market Benefits of Slow Change scenario by 2040</t>
  </si>
  <si>
    <t>Neutral (without the interconnection plan)</t>
  </si>
  <si>
    <t>Neutral (with interconnection plan)</t>
  </si>
  <si>
    <t>Fast change (without the interconnection plan)</t>
  </si>
  <si>
    <t>Fast change (with interconnection plan)</t>
  </si>
  <si>
    <t>Slow change (without the interconnection plan)</t>
  </si>
  <si>
    <t>Slow change (with interconnection plan)</t>
  </si>
  <si>
    <t>Explicit investment</t>
  </si>
  <si>
    <t>Market Benefits of Neutral with storage intiatives scenario by 2040</t>
  </si>
  <si>
    <t>Market Benefits of Increased Role For Gas scenario by 2040</t>
  </si>
  <si>
    <t>Market Benefits of High DER scenario by 2040</t>
  </si>
  <si>
    <t>Neutral with storage initiatives (without the interconnection plan)</t>
  </si>
  <si>
    <t>Neutral with storage (with interconnection plan)</t>
  </si>
  <si>
    <t>Increased role for gas (without the interconnection plan)</t>
  </si>
  <si>
    <t>Increased role for gas (with interconnection plan)</t>
  </si>
  <si>
    <t>High DER (without the interconnection plan)</t>
  </si>
  <si>
    <t>High DER (with interconnection plan)</t>
  </si>
  <si>
    <t>Version History</t>
  </si>
  <si>
    <t>Version Number</t>
  </si>
  <si>
    <t>Description</t>
  </si>
  <si>
    <t>v1.0</t>
  </si>
  <si>
    <t>Initial release</t>
  </si>
  <si>
    <t>v2.0</t>
  </si>
  <si>
    <t>Updated release – added Market Benefits Summary worksheet describing the Gross Market Benefits of each scenario. Updated “Market Benefits” sheet to “Net Market Benefits”</t>
  </si>
  <si>
    <t>Net Market Benefits</t>
  </si>
  <si>
    <t>Net Market Benefits of Neutral Scenaio by 2040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</si>
</sst>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8" formatCode="&quot;$&quot;#,##0.00;[Red]\-&quot;$&quot;#,##0.00"/>
    <numFmt numFmtId="44" formatCode="_-&quot;$&quot;* #,##0.00_-;\-&quot;$&quot;* #,##0.00_-;_-&quot;$&quot;* &quot;-&quot;??_-;_-@_-"/>
    <numFmt numFmtId="43" formatCode="_-* #,##0.00_-;\-* #,##0.00_-;_-* &quot;-&quot;??_-;_-@_-"/>
    <numFmt numFmtId="164" formatCode="#,##0_ ;\-#,##0\ "/>
    <numFmt numFmtId="165" formatCode="0.000000"/>
    <numFmt numFmtId="166" formatCode="_-* #,##0_-;\-* #,##0_-;_-* &quot;-&quot;??_-;_-@_-"/>
  </numFmts>
  <fonts count="45" x14ac:knownFonts="1">
    <font>
      <sz val="10"/>
      <color theme="1"/>
      <name val="Arial"/>
      <family val="2"/>
    </font>
    <font>
      <sz val="11"/>
      <color theme="1"/>
      <name val="Tw Cen MT"/>
      <family val="2"/>
      <scheme val="minor"/>
    </font>
    <font>
      <sz val="11"/>
      <color theme="1"/>
      <name val="Arial"/>
      <family val="2"/>
    </font>
    <font>
      <sz val="11"/>
      <color theme="1"/>
      <name val="Arial"/>
      <family val="2"/>
    </font>
    <font>
      <sz val="11"/>
      <color theme="1"/>
      <name val="Arial"/>
      <family val="2"/>
    </font>
    <font>
      <sz val="10"/>
      <name val="Arial"/>
      <family val="2"/>
    </font>
    <font>
      <sz val="10"/>
      <color theme="1"/>
      <name val="Arial"/>
      <family val="2"/>
    </font>
    <font>
      <sz val="8"/>
      <color theme="1"/>
      <name val="Arial"/>
      <family val="2"/>
    </font>
    <font>
      <sz val="10"/>
      <color theme="0"/>
      <name val="Arial"/>
      <family val="2"/>
    </font>
    <font>
      <sz val="11"/>
      <color theme="1"/>
      <name val="Arial"/>
      <family val="2"/>
    </font>
    <font>
      <sz val="11"/>
      <color theme="1"/>
      <name val="Tw Cen MT"/>
      <family val="2"/>
      <scheme val="minor"/>
    </font>
    <font>
      <sz val="8"/>
      <color theme="0"/>
      <name val="Arial"/>
      <family val="2"/>
    </font>
    <font>
      <sz val="8"/>
      <color rgb="FF000099"/>
      <name val="Arial"/>
      <family val="2"/>
    </font>
    <font>
      <sz val="7"/>
      <name val="Arial"/>
      <family val="2"/>
    </font>
    <font>
      <sz val="8"/>
      <color rgb="FF000080"/>
      <name val="Arial"/>
      <family val="2"/>
    </font>
    <font>
      <b/>
      <sz val="11"/>
      <color theme="1"/>
      <name val="Arial"/>
      <family val="2"/>
    </font>
    <font>
      <b/>
      <sz val="10"/>
      <color theme="1"/>
      <name val="Arial"/>
      <family val="2"/>
    </font>
    <font>
      <b/>
      <sz val="18"/>
      <color theme="3"/>
      <name val="Tw Cen MT"/>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5"/>
      <color rgb="FFF47321"/>
      <name val="Arial"/>
      <family val="2"/>
    </font>
    <font>
      <b/>
      <sz val="11"/>
      <color rgb="FFF47321"/>
      <name val="Arial"/>
      <family val="2"/>
    </font>
    <font>
      <b/>
      <sz val="20"/>
      <color rgb="FFC41230"/>
      <name val="Tw Cen MT"/>
      <family val="2"/>
      <scheme val="major"/>
    </font>
    <font>
      <sz val="10"/>
      <color theme="1"/>
      <name val="Tw Cen MT"/>
      <family val="2"/>
      <scheme val="minor"/>
    </font>
    <font>
      <b/>
      <sz val="14"/>
      <color rgb="FFC41230"/>
      <name val="Tw Cen MT"/>
      <family val="2"/>
      <scheme val="major"/>
    </font>
    <font>
      <b/>
      <sz val="12"/>
      <color theme="5"/>
      <name val="Tw Cen MT"/>
      <family val="2"/>
      <scheme val="minor"/>
    </font>
    <font>
      <b/>
      <sz val="12"/>
      <color rgb="FFC00000"/>
      <name val="Tw Cen MT"/>
      <family val="2"/>
      <scheme val="major"/>
    </font>
    <font>
      <b/>
      <sz val="10"/>
      <color theme="5"/>
      <name val="Tw Cen MT"/>
      <family val="2"/>
      <scheme val="minor"/>
    </font>
    <font>
      <b/>
      <sz val="10"/>
      <color theme="1"/>
      <name val="Tw Cen MT"/>
      <family val="2"/>
      <scheme val="minor"/>
    </font>
    <font>
      <sz val="10"/>
      <color theme="1"/>
      <name val="Tw Cen MT"/>
      <family val="2"/>
      <scheme val="major"/>
    </font>
    <font>
      <b/>
      <sz val="8"/>
      <color theme="1"/>
      <name val="Tw Cen MT"/>
      <family val="2"/>
      <scheme val="minor"/>
    </font>
    <font>
      <b/>
      <sz val="8"/>
      <color rgb="FF000000"/>
      <name val="Tw Cen MT"/>
      <family val="2"/>
      <scheme val="minor"/>
    </font>
    <font>
      <sz val="8"/>
      <color theme="1"/>
      <name val="Tw Cen MT"/>
      <family val="2"/>
      <scheme val="minor"/>
    </font>
    <font>
      <b/>
      <sz val="10"/>
      <name val="Tw Cen MT"/>
      <family val="2"/>
      <scheme val="minor"/>
    </font>
  </fonts>
  <fills count="40">
    <fill>
      <patternFill patternType="none"/>
    </fill>
    <fill>
      <patternFill patternType="gray125"/>
    </fill>
    <fill>
      <patternFill patternType="solid">
        <fgColor theme="4"/>
      </patternFill>
    </fill>
    <fill>
      <patternFill patternType="solid">
        <fgColor indexed="26"/>
      </patternFill>
    </fill>
    <fill>
      <patternFill patternType="solid">
        <fgColor indexed="49"/>
      </patternFill>
    </fill>
    <fill>
      <patternFill patternType="solid">
        <fgColor rgb="FFD9D9D9"/>
        <bgColor indexed="64"/>
      </patternFill>
    </fill>
    <fill>
      <patternFill patternType="solid">
        <fgColor indexed="22"/>
        <bgColor indexed="64"/>
      </patternFill>
    </fill>
    <fill>
      <patternFill patternType="solid">
        <fgColor rgb="FFE6E6E6"/>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0" tint="-4.9989318521683403E-2"/>
        <bgColor indexed="64"/>
      </patternFill>
    </fill>
  </fills>
  <borders count="36">
    <border>
      <left/>
      <right/>
      <top/>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FEFDFD"/>
      </left>
      <right style="thin">
        <color theme="2"/>
      </right>
      <top style="thin">
        <color indexed="64"/>
      </top>
      <bottom style="thin">
        <color indexed="64"/>
      </bottom>
      <diagonal/>
    </border>
    <border>
      <left/>
      <right style="thin">
        <color rgb="FFFEFDFD"/>
      </right>
      <top style="thin">
        <color indexed="64"/>
      </top>
      <bottom style="thin">
        <color indexed="64"/>
      </bottom>
      <diagonal/>
    </border>
    <border>
      <left style="thin">
        <color rgb="FFFEFDFD"/>
      </left>
      <right style="thin">
        <color theme="1" tint="0.749992370372631"/>
      </right>
      <top style="thin">
        <color indexed="64"/>
      </top>
      <bottom style="thin">
        <color theme="1" tint="0.749992370372631"/>
      </bottom>
      <diagonal/>
    </border>
    <border>
      <left style="thin">
        <color theme="1" tint="0.749992370372631"/>
      </left>
      <right style="thin">
        <color rgb="FFFEFDFD"/>
      </right>
      <top style="thin">
        <color indexed="64"/>
      </top>
      <bottom style="thin">
        <color theme="1" tint="0.749992370372631"/>
      </bottom>
      <diagonal/>
    </border>
    <border>
      <left style="thin">
        <color rgb="FFFEFDFD"/>
      </left>
      <right/>
      <top/>
      <bottom/>
      <diagonal/>
    </border>
    <border>
      <left style="thin">
        <color theme="1" tint="0.749992370372631"/>
      </left>
      <right style="thin">
        <color rgb="FFFEFDFD"/>
      </right>
      <top style="thin">
        <color theme="1" tint="0.749992370372631"/>
      </top>
      <bottom/>
      <diagonal/>
    </border>
    <border>
      <left style="thin">
        <color rgb="FFFEFDFD"/>
      </left>
      <right style="thin">
        <color theme="1" tint="0.749992370372631"/>
      </right>
      <top style="thin">
        <color theme="1" tint="0.749992370372631"/>
      </top>
      <bottom style="thin">
        <color theme="1" tint="0.749992370372631"/>
      </bottom>
      <diagonal/>
    </border>
    <border>
      <left style="thin">
        <color theme="1" tint="0.749992370372631"/>
      </left>
      <right style="thin">
        <color rgb="FFFEFDFD"/>
      </right>
      <top/>
      <bottom style="thin">
        <color theme="1" tint="0.749992370372631"/>
      </bottom>
      <diagonal/>
    </border>
    <border>
      <left style="thin">
        <color theme="1" tint="0.749992370372631"/>
      </left>
      <right style="thin">
        <color rgb="FFFEFDFD"/>
      </right>
      <top/>
      <bottom/>
      <diagonal/>
    </border>
    <border>
      <left style="thin">
        <color theme="1" tint="0.749992370372631"/>
      </left>
      <right style="thin">
        <color rgb="FFFEFDFD"/>
      </right>
      <top style="thin">
        <color theme="1" tint="0.749992370372631"/>
      </top>
      <bottom style="thin">
        <color theme="1" tint="0.749992370372631"/>
      </bottom>
      <diagonal/>
    </border>
    <border>
      <left/>
      <right/>
      <top style="thin">
        <color indexed="64"/>
      </top>
      <bottom style="thin">
        <color indexed="64"/>
      </bottom>
      <diagonal/>
    </border>
    <border>
      <left/>
      <right style="medium">
        <color theme="0"/>
      </right>
      <top style="thin">
        <color indexed="64"/>
      </top>
      <bottom/>
      <diagonal/>
    </border>
    <border>
      <left/>
      <right style="medium">
        <color theme="0"/>
      </right>
      <top/>
      <bottom/>
      <diagonal/>
    </border>
    <border>
      <left/>
      <right style="medium">
        <color theme="0"/>
      </right>
      <top/>
      <bottom style="medium">
        <color theme="0"/>
      </bottom>
      <diagonal/>
    </border>
    <border>
      <left/>
      <right/>
      <top/>
      <bottom style="thin">
        <color indexed="64"/>
      </bottom>
      <diagonal/>
    </border>
    <border>
      <left style="medium">
        <color rgb="FFC00000"/>
      </left>
      <right/>
      <top style="medium">
        <color rgb="FFC00000"/>
      </top>
      <bottom/>
      <diagonal/>
    </border>
    <border>
      <left/>
      <right/>
      <top style="medium">
        <color rgb="FFC00000"/>
      </top>
      <bottom/>
      <diagonal/>
    </border>
    <border>
      <left/>
      <right style="medium">
        <color rgb="FFC00000"/>
      </right>
      <top style="medium">
        <color rgb="FFC00000"/>
      </top>
      <bottom/>
      <diagonal/>
    </border>
    <border>
      <left style="medium">
        <color rgb="FFC00000"/>
      </left>
      <right/>
      <top/>
      <bottom/>
      <diagonal/>
    </border>
    <border>
      <left/>
      <right style="medium">
        <color rgb="FFC00000"/>
      </right>
      <top/>
      <bottom/>
      <diagonal/>
    </border>
    <border>
      <left style="medium">
        <color rgb="FFC00000"/>
      </left>
      <right/>
      <top/>
      <bottom style="medium">
        <color rgb="FFC00000"/>
      </bottom>
      <diagonal/>
    </border>
    <border>
      <left/>
      <right/>
      <top/>
      <bottom style="medium">
        <color rgb="FFC00000"/>
      </bottom>
      <diagonal/>
    </border>
    <border>
      <left/>
      <right style="medium">
        <color rgb="FFC00000"/>
      </right>
      <top/>
      <bottom style="medium">
        <color rgb="FFC00000"/>
      </bottom>
      <diagonal/>
    </border>
    <border>
      <left style="thin">
        <color rgb="FFFEFDFD"/>
      </left>
      <right style="thin">
        <color theme="1" tint="0.749992370372631"/>
      </right>
      <top style="thin">
        <color theme="1" tint="0.749992370372631"/>
      </top>
      <bottom/>
      <diagonal/>
    </border>
    <border>
      <left/>
      <right/>
      <top style="thin">
        <color theme="1" tint="0.749992370372631"/>
      </top>
      <bottom/>
      <diagonal/>
    </border>
  </borders>
  <cellStyleXfs count="711">
    <xf numFmtId="0" fontId="0" fillId="0" borderId="0"/>
    <xf numFmtId="0" fontId="6" fillId="0" borderId="0"/>
    <xf numFmtId="0" fontId="9" fillId="0" borderId="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4" fontId="6"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7" fillId="0" borderId="0"/>
    <xf numFmtId="0" fontId="7" fillId="0" borderId="0"/>
    <xf numFmtId="0" fontId="10" fillId="0" borderId="0"/>
    <xf numFmtId="0" fontId="10" fillId="0" borderId="0"/>
    <xf numFmtId="0" fontId="10"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10"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6"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9" fillId="0" borderId="0"/>
    <xf numFmtId="0" fontId="5" fillId="0" borderId="0"/>
    <xf numFmtId="0" fontId="7" fillId="0" borderId="0"/>
    <xf numFmtId="0" fontId="6" fillId="0" borderId="0"/>
    <xf numFmtId="0" fontId="5" fillId="0" borderId="0"/>
    <xf numFmtId="0" fontId="6" fillId="0" borderId="0"/>
    <xf numFmtId="0" fontId="6" fillId="0" borderId="0"/>
    <xf numFmtId="0" fontId="6" fillId="0" borderId="0"/>
    <xf numFmtId="0" fontId="6" fillId="0" borderId="0"/>
    <xf numFmtId="0" fontId="6" fillId="0" borderId="0"/>
    <xf numFmtId="0" fontId="5" fillId="3" borderId="1" applyNumberFormat="0" applyFont="0" applyAlignment="0" applyProtection="0"/>
    <xf numFmtId="0" fontId="11" fillId="4" borderId="0">
      <alignment horizontal="center"/>
    </xf>
    <xf numFmtId="0" fontId="11" fillId="4" borderId="0">
      <alignment horizontal="center"/>
    </xf>
    <xf numFmtId="0" fontId="11" fillId="2"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2"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4"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9" fontId="5" fillId="0" borderId="0" applyFont="0" applyFill="0" applyBorder="0" applyAlignment="0" applyProtection="0"/>
    <xf numFmtId="9" fontId="5" fillId="0" borderId="0" applyFont="0" applyFill="0" applyBorder="0" applyAlignment="0" applyProtection="0"/>
    <xf numFmtId="4" fontId="7" fillId="0" borderId="0" applyNumberFormat="0" applyBorder="0" applyAlignment="0" applyProtection="0">
      <alignment horizontal="center"/>
    </xf>
    <xf numFmtId="0" fontId="12" fillId="5" borderId="0">
      <alignment horizontal="center" wrapText="1"/>
    </xf>
    <xf numFmtId="0" fontId="13" fillId="0" borderId="0" applyNumberFormat="0" applyBorder="0">
      <alignment horizontal="left" wrapText="1"/>
    </xf>
    <xf numFmtId="0" fontId="13" fillId="0" borderId="0" applyNumberFormat="0" applyBorder="0">
      <alignment horizontal="left" wrapText="1"/>
    </xf>
    <xf numFmtId="0" fontId="14" fillId="6" borderId="0" applyNumberFormat="0" applyProtection="0"/>
    <xf numFmtId="0" fontId="14" fillId="6" borderId="0" applyNumberFormat="0" applyProtection="0"/>
    <xf numFmtId="0" fontId="14" fillId="7"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7"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6"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4" fillId="0" borderId="0"/>
    <xf numFmtId="43" fontId="6" fillId="0" borderId="0" applyFont="0" applyFill="0" applyBorder="0" applyAlignment="0" applyProtection="0"/>
    <xf numFmtId="0" fontId="4" fillId="0" borderId="0"/>
    <xf numFmtId="0" fontId="4" fillId="0" borderId="0"/>
    <xf numFmtId="0" fontId="17" fillId="0" borderId="0" applyNumberFormat="0" applyFill="0" applyBorder="0" applyAlignment="0" applyProtection="0"/>
    <xf numFmtId="0" fontId="18" fillId="0" borderId="2" applyNumberFormat="0" applyFill="0" applyAlignment="0" applyProtection="0"/>
    <xf numFmtId="0" fontId="19" fillId="0" borderId="3" applyNumberFormat="0" applyFill="0" applyAlignment="0" applyProtection="0"/>
    <xf numFmtId="0" fontId="20" fillId="0" borderId="4" applyNumberFormat="0" applyFill="0" applyAlignment="0" applyProtection="0"/>
    <xf numFmtId="0" fontId="20" fillId="0" borderId="0" applyNumberFormat="0" applyFill="0" applyBorder="0" applyAlignment="0" applyProtection="0"/>
    <xf numFmtId="0" fontId="21" fillId="8" borderId="0" applyNumberFormat="0" applyBorder="0" applyAlignment="0" applyProtection="0"/>
    <xf numFmtId="0" fontId="22" fillId="9" borderId="0" applyNumberFormat="0" applyBorder="0" applyAlignment="0" applyProtection="0"/>
    <xf numFmtId="0" fontId="23" fillId="10" borderId="0" applyNumberFormat="0" applyBorder="0" applyAlignment="0" applyProtection="0"/>
    <xf numFmtId="0" fontId="24" fillId="11" borderId="5" applyNumberFormat="0" applyAlignment="0" applyProtection="0"/>
    <xf numFmtId="0" fontId="25" fillId="12" borderId="6" applyNumberFormat="0" applyAlignment="0" applyProtection="0"/>
    <xf numFmtId="0" fontId="26" fillId="12" borderId="5" applyNumberFormat="0" applyAlignment="0" applyProtection="0"/>
    <xf numFmtId="0" fontId="27" fillId="0" borderId="7" applyNumberFormat="0" applyFill="0" applyAlignment="0" applyProtection="0"/>
    <xf numFmtId="0" fontId="28" fillId="13" borderId="8" applyNumberFormat="0" applyAlignment="0" applyProtection="0"/>
    <xf numFmtId="0" fontId="29" fillId="0" borderId="0" applyNumberFormat="0" applyFill="0" applyBorder="0" applyAlignment="0" applyProtection="0"/>
    <xf numFmtId="0" fontId="30" fillId="0" borderId="0" applyNumberFormat="0" applyFill="0" applyBorder="0" applyAlignment="0" applyProtection="0"/>
    <xf numFmtId="0" fontId="16" fillId="0" borderId="10" applyNumberFormat="0" applyFill="0" applyAlignment="0" applyProtection="0"/>
    <xf numFmtId="0" fontId="8" fillId="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8" fillId="21" borderId="0" applyNumberFormat="0" applyBorder="0" applyAlignment="0" applyProtection="0"/>
    <xf numFmtId="0" fontId="8"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8" fillId="25" borderId="0" applyNumberFormat="0" applyBorder="0" applyAlignment="0" applyProtection="0"/>
    <xf numFmtId="0" fontId="8"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8" fillId="33" borderId="0" applyNumberFormat="0" applyBorder="0" applyAlignment="0" applyProtection="0"/>
    <xf numFmtId="0" fontId="8" fillId="34"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8" fillId="37" borderId="0" applyNumberFormat="0" applyBorder="0" applyAlignment="0" applyProtection="0"/>
    <xf numFmtId="0" fontId="6" fillId="14" borderId="9" applyNumberFormat="0" applyFont="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6" fillId="0" borderId="0"/>
    <xf numFmtId="0" fontId="6" fillId="14" borderId="9" applyNumberFormat="0" applyFont="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6" fillId="0" borderId="0"/>
    <xf numFmtId="0" fontId="6" fillId="14" borderId="9" applyNumberFormat="0" applyFont="0" applyAlignment="0" applyProtection="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6" fillId="0" borderId="0"/>
    <xf numFmtId="43" fontId="6" fillId="0" borderId="0" applyFont="0" applyFill="0" applyBorder="0" applyAlignment="0" applyProtection="0"/>
  </cellStyleXfs>
  <cellXfs count="106">
    <xf numFmtId="0" fontId="0" fillId="0" borderId="0" xfId="0"/>
    <xf numFmtId="0" fontId="9" fillId="0" borderId="0" xfId="2"/>
    <xf numFmtId="165" fontId="0" fillId="0" borderId="0" xfId="0" applyNumberFormat="1"/>
    <xf numFmtId="164" fontId="9" fillId="0" borderId="0" xfId="2" applyNumberFormat="1"/>
    <xf numFmtId="0" fontId="0" fillId="0" borderId="0" xfId="0"/>
    <xf numFmtId="0" fontId="31" fillId="38" borderId="0" xfId="0" applyFont="1" applyFill="1" applyAlignment="1">
      <alignment vertical="center"/>
    </xf>
    <xf numFmtId="0" fontId="32" fillId="38" borderId="0" xfId="0" applyFont="1" applyFill="1" applyAlignment="1">
      <alignment horizontal="left" vertical="center"/>
    </xf>
    <xf numFmtId="0" fontId="7" fillId="0" borderId="0" xfId="0" applyFont="1"/>
    <xf numFmtId="164" fontId="7" fillId="0" borderId="0" xfId="0" applyNumberFormat="1" applyFont="1"/>
    <xf numFmtId="0" fontId="0" fillId="38" borderId="0" xfId="0" applyFont="1" applyFill="1" applyAlignment="1">
      <alignment horizontal="left" vertical="center" wrapText="1"/>
    </xf>
    <xf numFmtId="0" fontId="0" fillId="38" borderId="0" xfId="0" applyFill="1"/>
    <xf numFmtId="0" fontId="33" fillId="38" borderId="0" xfId="0" applyFont="1" applyFill="1" applyAlignment="1">
      <alignment vertical="center"/>
    </xf>
    <xf numFmtId="0" fontId="35" fillId="38" borderId="0" xfId="0" applyFont="1" applyFill="1" applyAlignment="1">
      <alignment horizontal="left" vertical="center"/>
    </xf>
    <xf numFmtId="0" fontId="7" fillId="38" borderId="0" xfId="0" applyFont="1" applyFill="1"/>
    <xf numFmtId="0" fontId="36" fillId="38" borderId="11" xfId="0" applyFont="1" applyFill="1" applyBorder="1"/>
    <xf numFmtId="0" fontId="36" fillId="38" borderId="12" xfId="0" applyFont="1" applyFill="1" applyBorder="1" applyAlignment="1">
      <alignment wrapText="1"/>
    </xf>
    <xf numFmtId="0" fontId="34" fillId="38" borderId="13" xfId="0" applyFont="1" applyFill="1" applyBorder="1" applyAlignment="1">
      <alignment horizontal="left" vertical="center" wrapText="1"/>
    </xf>
    <xf numFmtId="0" fontId="34" fillId="38" borderId="14" xfId="0" applyFont="1" applyFill="1" applyBorder="1" applyAlignment="1">
      <alignment horizontal="left" vertical="center" wrapText="1"/>
    </xf>
    <xf numFmtId="0" fontId="34" fillId="38" borderId="15" xfId="0" applyFont="1" applyFill="1" applyBorder="1" applyAlignment="1">
      <alignment horizontal="left" vertical="center" wrapText="1"/>
    </xf>
    <xf numFmtId="0" fontId="34" fillId="38" borderId="17" xfId="0" applyFont="1" applyFill="1" applyBorder="1" applyAlignment="1">
      <alignment horizontal="left" vertical="center" wrapText="1"/>
    </xf>
    <xf numFmtId="0" fontId="34" fillId="38" borderId="20" xfId="0" applyFont="1" applyFill="1" applyBorder="1" applyAlignment="1">
      <alignment horizontal="left" vertical="center" wrapText="1"/>
    </xf>
    <xf numFmtId="0" fontId="37" fillId="0" borderId="0" xfId="0" applyFont="1" applyBorder="1" applyAlignment="1"/>
    <xf numFmtId="0" fontId="16" fillId="0" borderId="0" xfId="0" applyFont="1" applyBorder="1" applyAlignment="1"/>
    <xf numFmtId="0" fontId="36" fillId="0" borderId="21" xfId="0" applyFont="1" applyFill="1" applyBorder="1"/>
    <xf numFmtId="0" fontId="38" fillId="0" borderId="21" xfId="0" applyFont="1" applyFill="1" applyBorder="1"/>
    <xf numFmtId="0" fontId="0" fillId="0" borderId="0" xfId="0" applyFill="1" applyBorder="1"/>
    <xf numFmtId="0" fontId="34" fillId="0" borderId="0" xfId="0" applyFont="1" applyFill="1" applyBorder="1" applyAlignment="1">
      <alignment horizontal="left" vertical="center" wrapText="1"/>
    </xf>
    <xf numFmtId="166" fontId="34" fillId="0" borderId="0" xfId="618" applyNumberFormat="1" applyFont="1" applyFill="1" applyBorder="1" applyAlignment="1">
      <alignment horizontal="left" vertical="center" wrapText="1"/>
    </xf>
    <xf numFmtId="0" fontId="39" fillId="0" borderId="0" xfId="0" applyFont="1" applyFill="1" applyBorder="1" applyAlignment="1">
      <alignment horizontal="left" vertical="center" wrapText="1"/>
    </xf>
    <xf numFmtId="166" fontId="39" fillId="0" borderId="0" xfId="618" applyNumberFormat="1" applyFont="1" applyFill="1" applyBorder="1" applyAlignment="1">
      <alignment horizontal="left" vertical="center" wrapText="1"/>
    </xf>
    <xf numFmtId="0" fontId="37" fillId="0" borderId="0" xfId="696" applyFont="1" applyFill="1" applyBorder="1"/>
    <xf numFmtId="0" fontId="40" fillId="0" borderId="0" xfId="0" applyFont="1" applyFill="1" applyBorder="1"/>
    <xf numFmtId="164" fontId="40" fillId="0" borderId="0" xfId="0" applyNumberFormat="1" applyFont="1" applyFill="1" applyBorder="1"/>
    <xf numFmtId="0" fontId="41" fillId="0" borderId="21" xfId="0" applyFont="1" applyFill="1" applyBorder="1" applyAlignment="1">
      <alignment horizontal="left" vertical="center" wrapText="1"/>
    </xf>
    <xf numFmtId="0" fontId="42" fillId="39" borderId="21" xfId="0" applyFont="1" applyFill="1" applyBorder="1" applyAlignment="1">
      <alignment horizontal="left" vertical="center" wrapText="1"/>
    </xf>
    <xf numFmtId="0" fontId="42" fillId="0" borderId="21" xfId="0" applyFont="1" applyFill="1" applyBorder="1" applyAlignment="1">
      <alignment horizontal="center" vertical="center"/>
    </xf>
    <xf numFmtId="0" fontId="42" fillId="39" borderId="21" xfId="0" applyFont="1" applyFill="1" applyBorder="1" applyAlignment="1">
      <alignment horizontal="center" vertical="center"/>
    </xf>
    <xf numFmtId="0" fontId="34" fillId="0" borderId="0" xfId="0" applyFont="1" applyFill="1" applyBorder="1"/>
    <xf numFmtId="164" fontId="43" fillId="39" borderId="0" xfId="618" applyNumberFormat="1" applyFont="1" applyFill="1" applyBorder="1" applyAlignment="1">
      <alignment horizontal="left"/>
    </xf>
    <xf numFmtId="164" fontId="43" fillId="0" borderId="0" xfId="618" applyNumberFormat="1" applyFont="1" applyFill="1" applyBorder="1" applyAlignment="1">
      <alignment horizontal="right"/>
    </xf>
    <xf numFmtId="164" fontId="43" fillId="39" borderId="0" xfId="618" applyNumberFormat="1" applyFont="1" applyFill="1" applyBorder="1" applyAlignment="1">
      <alignment horizontal="right"/>
    </xf>
    <xf numFmtId="0" fontId="43" fillId="0" borderId="0" xfId="0" applyFont="1" applyFill="1" applyBorder="1"/>
    <xf numFmtId="164" fontId="41" fillId="39" borderId="0" xfId="618" applyNumberFormat="1" applyFont="1" applyFill="1" applyBorder="1" applyAlignment="1">
      <alignment horizontal="left"/>
    </xf>
    <xf numFmtId="164" fontId="41" fillId="0" borderId="0" xfId="618" applyNumberFormat="1" applyFont="1" applyFill="1" applyBorder="1" applyAlignment="1">
      <alignment horizontal="right"/>
    </xf>
    <xf numFmtId="164" fontId="41" fillId="39" borderId="0" xfId="618" applyNumberFormat="1" applyFont="1" applyFill="1" applyBorder="1" applyAlignment="1">
      <alignment horizontal="right"/>
    </xf>
    <xf numFmtId="164" fontId="43" fillId="0" borderId="0" xfId="0" applyNumberFormat="1" applyFont="1" applyFill="1" applyBorder="1"/>
    <xf numFmtId="164" fontId="34" fillId="0" borderId="0" xfId="0" applyNumberFormat="1" applyFont="1" applyFill="1" applyBorder="1"/>
    <xf numFmtId="164" fontId="43" fillId="0" borderId="0" xfId="618" applyNumberFormat="1" applyFont="1" applyFill="1" applyBorder="1" applyAlignment="1">
      <alignment horizontal="left"/>
    </xf>
    <xf numFmtId="166" fontId="43" fillId="39" borderId="0" xfId="618" applyNumberFormat="1" applyFont="1" applyFill="1" applyBorder="1" applyAlignment="1">
      <alignment horizontal="right"/>
    </xf>
    <xf numFmtId="166" fontId="43" fillId="0" borderId="0" xfId="618" applyNumberFormat="1" applyFont="1" applyFill="1" applyBorder="1" applyAlignment="1">
      <alignment horizontal="right"/>
    </xf>
    <xf numFmtId="0" fontId="0" fillId="0" borderId="0" xfId="0" applyAlignment="1">
      <alignment horizontal="right"/>
    </xf>
    <xf numFmtId="0" fontId="42" fillId="0" borderId="21" xfId="0" applyFont="1" applyFill="1" applyBorder="1" applyAlignment="1">
      <alignment horizontal="right" vertical="center"/>
    </xf>
    <xf numFmtId="0" fontId="42" fillId="39" borderId="21" xfId="0" applyFont="1" applyFill="1" applyBorder="1" applyAlignment="1">
      <alignment horizontal="right" vertical="center"/>
    </xf>
    <xf numFmtId="164" fontId="0" fillId="0" borderId="0" xfId="0" applyNumberFormat="1" applyAlignment="1">
      <alignment horizontal="right"/>
    </xf>
    <xf numFmtId="0" fontId="2" fillId="0" borderId="0" xfId="700"/>
    <xf numFmtId="0" fontId="2" fillId="0" borderId="0" xfId="700" applyFont="1" applyFill="1"/>
    <xf numFmtId="0" fontId="2" fillId="0" borderId="0" xfId="700" applyFill="1"/>
    <xf numFmtId="0" fontId="7" fillId="0" borderId="0" xfId="700" applyFont="1"/>
    <xf numFmtId="0" fontId="15" fillId="0" borderId="0" xfId="700" applyFont="1"/>
    <xf numFmtId="164" fontId="2" fillId="0" borderId="0" xfId="700" applyNumberFormat="1"/>
    <xf numFmtId="8" fontId="43" fillId="0" borderId="0" xfId="0" applyNumberFormat="1" applyFont="1"/>
    <xf numFmtId="0" fontId="1" fillId="38" borderId="0" xfId="708" applyFill="1"/>
    <xf numFmtId="0" fontId="1" fillId="38" borderId="0" xfId="708" applyFill="1" applyBorder="1"/>
    <xf numFmtId="0" fontId="37" fillId="38" borderId="0" xfId="709" applyFont="1" applyFill="1" applyBorder="1" applyAlignment="1"/>
    <xf numFmtId="0" fontId="16" fillId="38" borderId="0" xfId="709" applyFont="1" applyFill="1" applyBorder="1" applyAlignment="1"/>
    <xf numFmtId="0" fontId="36" fillId="38" borderId="21" xfId="709" applyFont="1" applyFill="1" applyBorder="1"/>
    <xf numFmtId="0" fontId="44" fillId="38" borderId="21" xfId="709" applyFont="1" applyFill="1" applyBorder="1" applyAlignment="1">
      <alignment horizontal="right" wrapText="1"/>
    </xf>
    <xf numFmtId="0" fontId="44" fillId="38" borderId="21" xfId="709" applyFont="1" applyFill="1" applyBorder="1" applyAlignment="1">
      <alignment horizontal="right"/>
    </xf>
    <xf numFmtId="0" fontId="36" fillId="38" borderId="21" xfId="709" applyFont="1" applyFill="1" applyBorder="1" applyAlignment="1">
      <alignment horizontal="right" wrapText="1"/>
    </xf>
    <xf numFmtId="0" fontId="34" fillId="38" borderId="0" xfId="709" applyFont="1" applyFill="1" applyBorder="1" applyAlignment="1">
      <alignment horizontal="left" vertical="center" wrapText="1"/>
    </xf>
    <xf numFmtId="166" fontId="34" fillId="38" borderId="0" xfId="710" applyNumberFormat="1" applyFont="1" applyFill="1" applyBorder="1" applyAlignment="1">
      <alignment horizontal="left" vertical="center" wrapText="1"/>
    </xf>
    <xf numFmtId="0" fontId="39" fillId="38" borderId="25" xfId="709" applyFont="1" applyFill="1" applyBorder="1" applyAlignment="1">
      <alignment horizontal="left" vertical="center" wrapText="1"/>
    </xf>
    <xf numFmtId="166" fontId="39" fillId="38" borderId="25" xfId="710" applyNumberFormat="1" applyFont="1" applyFill="1" applyBorder="1" applyAlignment="1">
      <alignment horizontal="left" vertical="center" wrapText="1"/>
    </xf>
    <xf numFmtId="0" fontId="1" fillId="38" borderId="26" xfId="708" applyFill="1" applyBorder="1"/>
    <xf numFmtId="0" fontId="1" fillId="38" borderId="27" xfId="708" applyFill="1" applyBorder="1"/>
    <xf numFmtId="0" fontId="1" fillId="38" borderId="28" xfId="708" applyFill="1" applyBorder="1"/>
    <xf numFmtId="0" fontId="1" fillId="38" borderId="29" xfId="708" applyFill="1" applyBorder="1"/>
    <xf numFmtId="0" fontId="1" fillId="38" borderId="30" xfId="708" applyFill="1" applyBorder="1"/>
    <xf numFmtId="0" fontId="1" fillId="38" borderId="31" xfId="708" applyFill="1" applyBorder="1"/>
    <xf numFmtId="166" fontId="34" fillId="38" borderId="32" xfId="710" applyNumberFormat="1" applyFont="1" applyFill="1" applyBorder="1" applyAlignment="1">
      <alignment horizontal="left" vertical="center" wrapText="1"/>
    </xf>
    <xf numFmtId="0" fontId="1" fillId="38" borderId="33" xfId="708" applyFill="1" applyBorder="1"/>
    <xf numFmtId="0" fontId="0" fillId="38" borderId="0" xfId="0" applyFont="1" applyFill="1" applyAlignment="1">
      <alignment horizontal="left" vertical="center" wrapText="1"/>
    </xf>
    <xf numFmtId="0" fontId="34" fillId="38" borderId="0" xfId="0" applyFont="1" applyFill="1" applyAlignment="1">
      <alignment horizontal="left" vertical="center" wrapText="1"/>
    </xf>
    <xf numFmtId="0" fontId="34" fillId="38" borderId="19" xfId="0" applyFont="1" applyFill="1" applyBorder="1" applyAlignment="1">
      <alignment horizontal="left" vertical="center" wrapText="1"/>
    </xf>
    <xf numFmtId="166" fontId="39" fillId="38" borderId="0" xfId="710" applyNumberFormat="1" applyFont="1" applyFill="1" applyBorder="1" applyAlignment="1">
      <alignment horizontal="left" vertical="center" wrapText="1"/>
    </xf>
    <xf numFmtId="0" fontId="39" fillId="38" borderId="0" xfId="709" applyFont="1" applyFill="1" applyBorder="1" applyAlignment="1">
      <alignment horizontal="left" vertical="center" wrapText="1"/>
    </xf>
    <xf numFmtId="0" fontId="39" fillId="38" borderId="32" xfId="709" applyFont="1" applyFill="1" applyBorder="1" applyAlignment="1">
      <alignment horizontal="left" vertical="center" wrapText="1"/>
    </xf>
    <xf numFmtId="166" fontId="39" fillId="38" borderId="32" xfId="710" applyNumberFormat="1" applyFont="1" applyFill="1" applyBorder="1" applyAlignment="1">
      <alignment horizontal="left" vertical="center" wrapText="1"/>
    </xf>
    <xf numFmtId="0" fontId="38" fillId="38" borderId="21" xfId="709" applyFont="1" applyFill="1" applyBorder="1" applyAlignment="1">
      <alignment horizontal="right"/>
    </xf>
    <xf numFmtId="0" fontId="34" fillId="38" borderId="16" xfId="0" applyFont="1" applyFill="1" applyBorder="1" applyAlignment="1">
      <alignment horizontal="left" vertical="center" wrapText="1"/>
    </xf>
    <xf numFmtId="0" fontId="34" fillId="38" borderId="19" xfId="0" applyFont="1" applyFill="1" applyBorder="1" applyAlignment="1">
      <alignment horizontal="left" vertical="center" wrapText="1"/>
    </xf>
    <xf numFmtId="0" fontId="0" fillId="38" borderId="0" xfId="0" applyFont="1" applyFill="1" applyAlignment="1">
      <alignment horizontal="left" vertical="center" wrapText="1"/>
    </xf>
    <xf numFmtId="0" fontId="34" fillId="38" borderId="0" xfId="0" applyFont="1" applyFill="1" applyAlignment="1">
      <alignment horizontal="left" vertical="center" wrapText="1"/>
    </xf>
    <xf numFmtId="0" fontId="34" fillId="38" borderId="18" xfId="0" applyFont="1" applyFill="1" applyBorder="1" applyAlignment="1">
      <alignment horizontal="left" vertical="center" wrapText="1"/>
    </xf>
    <xf numFmtId="0" fontId="43" fillId="0" borderId="0" xfId="1" applyFont="1" applyFill="1" applyBorder="1" applyAlignment="1">
      <alignment horizontal="center" vertical="center"/>
    </xf>
    <xf numFmtId="0" fontId="43" fillId="39" borderId="0" xfId="1" applyFont="1" applyFill="1" applyBorder="1" applyAlignment="1">
      <alignment horizontal="center" vertical="center"/>
    </xf>
    <xf numFmtId="0" fontId="43" fillId="0" borderId="22" xfId="1" applyFont="1" applyFill="1" applyBorder="1" applyAlignment="1">
      <alignment horizontal="center" vertical="center"/>
    </xf>
    <xf numFmtId="0" fontId="43" fillId="0" borderId="23" xfId="1" applyFont="1" applyFill="1" applyBorder="1" applyAlignment="1">
      <alignment horizontal="center" vertical="center"/>
    </xf>
    <xf numFmtId="0" fontId="43" fillId="0" borderId="24" xfId="1" applyFont="1" applyFill="1" applyBorder="1" applyAlignment="1">
      <alignment horizontal="center" vertical="center"/>
    </xf>
    <xf numFmtId="0" fontId="43" fillId="39" borderId="22" xfId="1" applyFont="1" applyFill="1" applyBorder="1" applyAlignment="1">
      <alignment horizontal="center" vertical="center"/>
    </xf>
    <xf numFmtId="0" fontId="43" fillId="39" borderId="23" xfId="1" applyFont="1" applyFill="1" applyBorder="1" applyAlignment="1">
      <alignment horizontal="center" vertical="center"/>
    </xf>
    <xf numFmtId="0" fontId="43" fillId="39" borderId="24" xfId="1" applyFont="1" applyFill="1" applyBorder="1" applyAlignment="1">
      <alignment horizontal="center" vertical="center"/>
    </xf>
    <xf numFmtId="0" fontId="36" fillId="38" borderId="11" xfId="0" applyFont="1" applyFill="1" applyBorder="1" applyAlignment="1">
      <alignment horizontal="center"/>
    </xf>
    <xf numFmtId="0" fontId="34" fillId="38" borderId="13" xfId="0" applyFont="1" applyFill="1" applyBorder="1" applyAlignment="1">
      <alignment horizontal="center" vertical="center" wrapText="1"/>
    </xf>
    <xf numFmtId="0" fontId="34" fillId="38" borderId="34" xfId="0" applyFont="1" applyFill="1" applyBorder="1" applyAlignment="1">
      <alignment horizontal="center" vertical="center" wrapText="1"/>
    </xf>
    <xf numFmtId="0" fontId="7" fillId="38" borderId="35" xfId="0" applyFont="1" applyFill="1" applyBorder="1"/>
  </cellXfs>
  <cellStyles count="711">
    <cellStyle name="20% - Accent1" xfId="638" builtinId="30" customBuiltin="1"/>
    <cellStyle name="20% - Accent1 2" xfId="676"/>
    <cellStyle name="20% - Accent1 3" xfId="662"/>
    <cellStyle name="20% - Accent2" xfId="642" builtinId="34" customBuiltin="1"/>
    <cellStyle name="20% - Accent2 2" xfId="678"/>
    <cellStyle name="20% - Accent2 3" xfId="664"/>
    <cellStyle name="20% - Accent3" xfId="646" builtinId="38" customBuiltin="1"/>
    <cellStyle name="20% - Accent3 2" xfId="680"/>
    <cellStyle name="20% - Accent3 3" xfId="666"/>
    <cellStyle name="20% - Accent4" xfId="650" builtinId="42" customBuiltin="1"/>
    <cellStyle name="20% - Accent4 2" xfId="682"/>
    <cellStyle name="20% - Accent4 3" xfId="668"/>
    <cellStyle name="20% - Accent5" xfId="654" builtinId="46" customBuiltin="1"/>
    <cellStyle name="20% - Accent5 2" xfId="684"/>
    <cellStyle name="20% - Accent5 3" xfId="670"/>
    <cellStyle name="20% - Accent6" xfId="658" builtinId="50" customBuiltin="1"/>
    <cellStyle name="20% - Accent6 2" xfId="686"/>
    <cellStyle name="20% - Accent6 3" xfId="672"/>
    <cellStyle name="40% - Accent1" xfId="639" builtinId="31" customBuiltin="1"/>
    <cellStyle name="40% - Accent1 2" xfId="677"/>
    <cellStyle name="40% - Accent1 3" xfId="663"/>
    <cellStyle name="40% - Accent2" xfId="643" builtinId="35" customBuiltin="1"/>
    <cellStyle name="40% - Accent2 2" xfId="679"/>
    <cellStyle name="40% - Accent2 3" xfId="665"/>
    <cellStyle name="40% - Accent3" xfId="647" builtinId="39" customBuiltin="1"/>
    <cellStyle name="40% - Accent3 2" xfId="681"/>
    <cellStyle name="40% - Accent3 3" xfId="667"/>
    <cellStyle name="40% - Accent4" xfId="651" builtinId="43" customBuiltin="1"/>
    <cellStyle name="40% - Accent4 2" xfId="683"/>
    <cellStyle name="40% - Accent4 3" xfId="669"/>
    <cellStyle name="40% - Accent5" xfId="655" builtinId="47" customBuiltin="1"/>
    <cellStyle name="40% - Accent5 2" xfId="685"/>
    <cellStyle name="40% - Accent5 3" xfId="671"/>
    <cellStyle name="40% - Accent6" xfId="659" builtinId="51" customBuiltin="1"/>
    <cellStyle name="40% - Accent6 2" xfId="687"/>
    <cellStyle name="40% - Accent6 3" xfId="673"/>
    <cellStyle name="60% - Accent1" xfId="640" builtinId="32" customBuiltin="1"/>
    <cellStyle name="60% - Accent2" xfId="644" builtinId="36" customBuiltin="1"/>
    <cellStyle name="60% - Accent3" xfId="648" builtinId="40" customBuiltin="1"/>
    <cellStyle name="60% - Accent4" xfId="652" builtinId="44" customBuiltin="1"/>
    <cellStyle name="60% - Accent5" xfId="656" builtinId="48" customBuiltin="1"/>
    <cellStyle name="60% - Accent6" xfId="660" builtinId="52" customBuiltin="1"/>
    <cellStyle name="Accent1" xfId="637" builtinId="29" customBuiltin="1"/>
    <cellStyle name="Accent2" xfId="641" builtinId="33" customBuiltin="1"/>
    <cellStyle name="Accent3" xfId="645" builtinId="37" customBuiltin="1"/>
    <cellStyle name="Accent4" xfId="649" builtinId="41" customBuiltin="1"/>
    <cellStyle name="Accent5" xfId="653" builtinId="45" customBuiltin="1"/>
    <cellStyle name="Accent6" xfId="657" builtinId="49" customBuiltin="1"/>
    <cellStyle name="Bad" xfId="627" builtinId="27" customBuiltin="1"/>
    <cellStyle name="Calculation" xfId="631" builtinId="22" customBuiltin="1"/>
    <cellStyle name="Check Cell" xfId="633" builtinId="23" customBuiltin="1"/>
    <cellStyle name="Comma" xfId="618" builtinId="3"/>
    <cellStyle name="Comma 2" xfId="3"/>
    <cellStyle name="Comma 3" xfId="710"/>
    <cellStyle name="Comma 4" xfId="4"/>
    <cellStyle name="Comma 4 2" xfId="5"/>
    <cellStyle name="Currency 2" xfId="6"/>
    <cellStyle name="Explanatory Text" xfId="635" builtinId="53" customBuiltin="1"/>
    <cellStyle name="Good" xfId="626" builtinId="26" customBuiltin="1"/>
    <cellStyle name="Heading 1" xfId="622" builtinId="16" customBuiltin="1"/>
    <cellStyle name="Heading 2" xfId="623" builtinId="17" customBuiltin="1"/>
    <cellStyle name="Heading 3" xfId="624" builtinId="18" customBuiltin="1"/>
    <cellStyle name="Heading 4" xfId="625" builtinId="19" customBuiltin="1"/>
    <cellStyle name="Input" xfId="629" builtinId="20" customBuiltin="1"/>
    <cellStyle name="Linked Cell" xfId="632" builtinId="24" customBuiltin="1"/>
    <cellStyle name="Neutral" xfId="628" builtinId="28" customBuiltin="1"/>
    <cellStyle name="Normal" xfId="0" builtinId="0"/>
    <cellStyle name="Normal 10" xfId="7"/>
    <cellStyle name="Normal 10 10" xfId="8"/>
    <cellStyle name="Normal 10 13" xfId="9"/>
    <cellStyle name="Normal 10 5" xfId="10"/>
    <cellStyle name="Normal 10 8" xfId="11"/>
    <cellStyle name="Normal 10 9" xfId="12"/>
    <cellStyle name="Normal 106" xfId="13"/>
    <cellStyle name="Normal 11" xfId="14"/>
    <cellStyle name="Normal 11 2" xfId="15"/>
    <cellStyle name="Normal 12" xfId="617"/>
    <cellStyle name="Normal 12 2" xfId="692"/>
    <cellStyle name="Normal 12 2 2" xfId="696"/>
    <cellStyle name="Normal 12 3" xfId="697"/>
    <cellStyle name="Normal 12 4" xfId="695"/>
    <cellStyle name="Normal 13" xfId="698"/>
    <cellStyle name="Normal 14" xfId="699"/>
    <cellStyle name="Normal 15" xfId="708"/>
    <cellStyle name="Normal 15 2" xfId="709"/>
    <cellStyle name="Normal 160 2" xfId="16"/>
    <cellStyle name="Normal 176 2" xfId="17"/>
    <cellStyle name="Normal 177 2" xfId="18"/>
    <cellStyle name="Normal 2" xfId="1"/>
    <cellStyle name="Normal 2 2" xfId="19"/>
    <cellStyle name="Normal 2 2 2" xfId="688"/>
    <cellStyle name="Normal 2 3" xfId="20"/>
    <cellStyle name="Normal 2 3 2" xfId="674"/>
    <cellStyle name="Normal 2 4" xfId="21"/>
    <cellStyle name="Normal 2 4 2" xfId="22"/>
    <cellStyle name="Normal 2 4 2 2" xfId="23"/>
    <cellStyle name="Normal 2 4 3" xfId="24"/>
    <cellStyle name="Normal 2 4 3 2" xfId="25"/>
    <cellStyle name="Normal 2 4 4" xfId="26"/>
    <cellStyle name="Normal 2 5" xfId="27"/>
    <cellStyle name="Normal 2 5 2" xfId="28"/>
    <cellStyle name="Normal 2 6" xfId="29"/>
    <cellStyle name="Normal 2 6 2" xfId="30"/>
    <cellStyle name="Normal 2 7" xfId="31"/>
    <cellStyle name="Normal 22 2" xfId="32"/>
    <cellStyle name="Normal 23 2" xfId="33"/>
    <cellStyle name="Normal 24 2" xfId="34"/>
    <cellStyle name="Normal 25 2" xfId="35"/>
    <cellStyle name="Normal 26 2" xfId="36"/>
    <cellStyle name="Normal 28" xfId="37"/>
    <cellStyle name="Normal 3" xfId="2"/>
    <cellStyle name="Normal 3 10" xfId="700"/>
    <cellStyle name="Normal 3 2" xfId="38"/>
    <cellStyle name="Normal 3 2 2" xfId="39"/>
    <cellStyle name="Normal 3 2 2 2" xfId="40"/>
    <cellStyle name="Normal 3 2 2 2 2" xfId="41"/>
    <cellStyle name="Normal 3 2 2 2 2 2" xfId="42"/>
    <cellStyle name="Normal 3 2 2 2 3" xfId="43"/>
    <cellStyle name="Normal 3 2 2 2 3 2" xfId="44"/>
    <cellStyle name="Normal 3 2 2 2 4" xfId="45"/>
    <cellStyle name="Normal 3 2 2 3" xfId="46"/>
    <cellStyle name="Normal 3 2 2 3 2" xfId="47"/>
    <cellStyle name="Normal 3 2 2 4" xfId="48"/>
    <cellStyle name="Normal 3 2 2 4 2" xfId="49"/>
    <cellStyle name="Normal 3 2 2 5" xfId="50"/>
    <cellStyle name="Normal 3 2 3" xfId="51"/>
    <cellStyle name="Normal 3 2 3 2" xfId="52"/>
    <cellStyle name="Normal 3 2 3 2 2" xfId="53"/>
    <cellStyle name="Normal 3 2 3 2 2 2" xfId="54"/>
    <cellStyle name="Normal 3 2 3 2 3" xfId="55"/>
    <cellStyle name="Normal 3 2 3 2 3 2" xfId="56"/>
    <cellStyle name="Normal 3 2 3 2 4" xfId="57"/>
    <cellStyle name="Normal 3 2 3 3" xfId="58"/>
    <cellStyle name="Normal 3 2 3 3 2" xfId="59"/>
    <cellStyle name="Normal 3 2 3 4" xfId="60"/>
    <cellStyle name="Normal 3 2 3 4 2" xfId="61"/>
    <cellStyle name="Normal 3 2 3 5" xfId="62"/>
    <cellStyle name="Normal 3 2 4" xfId="63"/>
    <cellStyle name="Normal 3 2 4 2" xfId="64"/>
    <cellStyle name="Normal 3 2 4 2 2" xfId="65"/>
    <cellStyle name="Normal 3 2 4 3" xfId="66"/>
    <cellStyle name="Normal 3 2 4 3 2" xfId="67"/>
    <cellStyle name="Normal 3 2 4 4" xfId="68"/>
    <cellStyle name="Normal 3 2 5" xfId="69"/>
    <cellStyle name="Normal 3 2 5 2" xfId="70"/>
    <cellStyle name="Normal 3 2 6" xfId="71"/>
    <cellStyle name="Normal 3 2 6 2" xfId="72"/>
    <cellStyle name="Normal 3 2 7" xfId="73"/>
    <cellStyle name="Normal 3 3" xfId="74"/>
    <cellStyle name="Normal 3 3 2" xfId="75"/>
    <cellStyle name="Normal 3 3 2 2" xfId="76"/>
    <cellStyle name="Normal 3 3 2 2 2" xfId="77"/>
    <cellStyle name="Normal 3 3 2 2 2 2" xfId="78"/>
    <cellStyle name="Normal 3 3 2 2 3" xfId="79"/>
    <cellStyle name="Normal 3 3 2 2 3 2" xfId="80"/>
    <cellStyle name="Normal 3 3 2 2 4" xfId="81"/>
    <cellStyle name="Normal 3 3 2 3" xfId="82"/>
    <cellStyle name="Normal 3 3 2 3 2" xfId="83"/>
    <cellStyle name="Normal 3 3 2 4" xfId="84"/>
    <cellStyle name="Normal 3 3 2 4 2" xfId="85"/>
    <cellStyle name="Normal 3 3 2 5" xfId="86"/>
    <cellStyle name="Normal 3 3 3" xfId="87"/>
    <cellStyle name="Normal 3 3 3 2" xfId="88"/>
    <cellStyle name="Normal 3 3 3 2 2" xfId="89"/>
    <cellStyle name="Normal 3 3 3 2 2 2" xfId="90"/>
    <cellStyle name="Normal 3 3 3 2 3" xfId="91"/>
    <cellStyle name="Normal 3 3 3 2 3 2" xfId="92"/>
    <cellStyle name="Normal 3 3 3 2 4" xfId="93"/>
    <cellStyle name="Normal 3 3 3 3" xfId="94"/>
    <cellStyle name="Normal 3 3 3 3 2" xfId="95"/>
    <cellStyle name="Normal 3 3 3 4" xfId="96"/>
    <cellStyle name="Normal 3 3 3 4 2" xfId="97"/>
    <cellStyle name="Normal 3 3 3 5" xfId="98"/>
    <cellStyle name="Normal 3 4" xfId="99"/>
    <cellStyle name="Normal 3 4 2" xfId="100"/>
    <cellStyle name="Normal 3 4 2 2" xfId="101"/>
    <cellStyle name="Normal 3 4 2 2 2" xfId="102"/>
    <cellStyle name="Normal 3 4 2 2 2 2" xfId="103"/>
    <cellStyle name="Normal 3 4 2 2 3" xfId="104"/>
    <cellStyle name="Normal 3 4 2 2 3 2" xfId="105"/>
    <cellStyle name="Normal 3 4 2 2 4" xfId="106"/>
    <cellStyle name="Normal 3 4 2 3" xfId="107"/>
    <cellStyle name="Normal 3 4 2 3 2" xfId="108"/>
    <cellStyle name="Normal 3 4 2 4" xfId="109"/>
    <cellStyle name="Normal 3 4 2 4 2" xfId="110"/>
    <cellStyle name="Normal 3 4 2 5" xfId="111"/>
    <cellStyle name="Normal 3 4 3" xfId="112"/>
    <cellStyle name="Normal 3 4 3 2" xfId="113"/>
    <cellStyle name="Normal 3 4 3 2 2" xfId="114"/>
    <cellStyle name="Normal 3 4 3 3" xfId="115"/>
    <cellStyle name="Normal 3 4 3 3 2" xfId="116"/>
    <cellStyle name="Normal 3 4 3 4" xfId="117"/>
    <cellStyle name="Normal 3 4 4" xfId="118"/>
    <cellStyle name="Normal 3 4 4 2" xfId="119"/>
    <cellStyle name="Normal 3 4 5" xfId="120"/>
    <cellStyle name="Normal 3 4 5 2" xfId="121"/>
    <cellStyle name="Normal 3 4 6" xfId="122"/>
    <cellStyle name="Normal 3 5" xfId="123"/>
    <cellStyle name="Normal 3 5 2" xfId="124"/>
    <cellStyle name="Normal 3 5 2 2" xfId="125"/>
    <cellStyle name="Normal 3 5 2 2 2" xfId="126"/>
    <cellStyle name="Normal 3 5 2 3" xfId="127"/>
    <cellStyle name="Normal 3 5 2 3 2" xfId="128"/>
    <cellStyle name="Normal 3 5 2 4" xfId="129"/>
    <cellStyle name="Normal 3 5 3" xfId="130"/>
    <cellStyle name="Normal 3 5 3 2" xfId="131"/>
    <cellStyle name="Normal 3 5 4" xfId="132"/>
    <cellStyle name="Normal 3 5 4 2" xfId="133"/>
    <cellStyle name="Normal 3 5 5" xfId="134"/>
    <cellStyle name="Normal 3 6" xfId="135"/>
    <cellStyle name="Normal 3 6 2" xfId="136"/>
    <cellStyle name="Normal 3 6 2 2" xfId="137"/>
    <cellStyle name="Normal 3 6 2 2 2" xfId="138"/>
    <cellStyle name="Normal 3 6 2 3" xfId="139"/>
    <cellStyle name="Normal 3 6 2 3 2" xfId="140"/>
    <cellStyle name="Normal 3 6 2 4" xfId="141"/>
    <cellStyle name="Normal 3 6 3" xfId="142"/>
    <cellStyle name="Normal 3 6 3 2" xfId="143"/>
    <cellStyle name="Normal 3 6 4" xfId="144"/>
    <cellStyle name="Normal 3 6 4 2" xfId="145"/>
    <cellStyle name="Normal 3 6 5" xfId="146"/>
    <cellStyle name="Normal 3 7" xfId="619"/>
    <cellStyle name="Normal 3 7 2" xfId="693"/>
    <cellStyle name="Normal 3 7 3" xfId="701"/>
    <cellStyle name="Normal 3 7 4" xfId="702"/>
    <cellStyle name="Normal 3 8" xfId="690"/>
    <cellStyle name="Normal 3 9" xfId="703"/>
    <cellStyle name="Normal 30 2" xfId="147"/>
    <cellStyle name="Normal 30 2 2" xfId="148"/>
    <cellStyle name="Normal 30 2 2 2" xfId="149"/>
    <cellStyle name="Normal 30 2 2 2 2" xfId="150"/>
    <cellStyle name="Normal 30 2 2 3" xfId="151"/>
    <cellStyle name="Normal 30 2 2 3 2" xfId="152"/>
    <cellStyle name="Normal 30 2 2 4" xfId="153"/>
    <cellStyle name="Normal 30 2 3" xfId="154"/>
    <cellStyle name="Normal 30 2 3 2" xfId="155"/>
    <cellStyle name="Normal 30 2 4" xfId="156"/>
    <cellStyle name="Normal 30 2 4 2" xfId="157"/>
    <cellStyle name="Normal 30 2 5" xfId="158"/>
    <cellStyle name="Normal 32 3" xfId="159"/>
    <cellStyle name="Normal 36" xfId="160"/>
    <cellStyle name="Normal 37" xfId="161"/>
    <cellStyle name="Normal 39" xfId="162"/>
    <cellStyle name="Normal 4" xfId="163"/>
    <cellStyle name="Normal 4 2" xfId="164"/>
    <cellStyle name="Normal 4 2 2" xfId="165"/>
    <cellStyle name="Normal 4 2 2 2" xfId="166"/>
    <cellStyle name="Normal 4 2 2 2 2" xfId="167"/>
    <cellStyle name="Normal 4 2 2 2 2 2" xfId="168"/>
    <cellStyle name="Normal 4 2 2 2 3" xfId="169"/>
    <cellStyle name="Normal 4 2 2 2 3 2" xfId="170"/>
    <cellStyle name="Normal 4 2 2 2 4" xfId="171"/>
    <cellStyle name="Normal 4 2 2 3" xfId="172"/>
    <cellStyle name="Normal 4 2 2 3 2" xfId="173"/>
    <cellStyle name="Normal 4 2 2 4" xfId="174"/>
    <cellStyle name="Normal 4 2 2 4 2" xfId="175"/>
    <cellStyle name="Normal 4 2 2 5" xfId="176"/>
    <cellStyle name="Normal 4 2 3" xfId="177"/>
    <cellStyle name="Normal 4 2 3 2" xfId="178"/>
    <cellStyle name="Normal 4 2 3 2 2" xfId="179"/>
    <cellStyle name="Normal 4 2 3 2 2 2" xfId="180"/>
    <cellStyle name="Normal 4 2 3 2 3" xfId="181"/>
    <cellStyle name="Normal 4 2 3 2 3 2" xfId="182"/>
    <cellStyle name="Normal 4 2 3 2 4" xfId="183"/>
    <cellStyle name="Normal 4 2 3 3" xfId="184"/>
    <cellStyle name="Normal 4 2 3 3 2" xfId="185"/>
    <cellStyle name="Normal 4 2 3 4" xfId="186"/>
    <cellStyle name="Normal 4 2 3 4 2" xfId="187"/>
    <cellStyle name="Normal 4 2 3 5" xfId="188"/>
    <cellStyle name="Normal 4 3" xfId="189"/>
    <cellStyle name="Normal 4 3 2" xfId="190"/>
    <cellStyle name="Normal 4 3 2 2" xfId="191"/>
    <cellStyle name="Normal 4 3 2 2 2" xfId="192"/>
    <cellStyle name="Normal 4 3 2 2 2 2" xfId="193"/>
    <cellStyle name="Normal 4 3 2 2 3" xfId="194"/>
    <cellStyle name="Normal 4 3 2 2 3 2" xfId="195"/>
    <cellStyle name="Normal 4 3 2 2 4" xfId="196"/>
    <cellStyle name="Normal 4 3 2 3" xfId="197"/>
    <cellStyle name="Normal 4 3 2 3 2" xfId="198"/>
    <cellStyle name="Normal 4 3 2 4" xfId="199"/>
    <cellStyle name="Normal 4 3 2 4 2" xfId="200"/>
    <cellStyle name="Normal 4 3 2 5" xfId="201"/>
    <cellStyle name="Normal 4 3 3" xfId="202"/>
    <cellStyle name="Normal 4 3 3 2" xfId="203"/>
    <cellStyle name="Normal 4 3 3 2 2" xfId="204"/>
    <cellStyle name="Normal 4 3 3 3" xfId="205"/>
    <cellStyle name="Normal 4 3 3 3 2" xfId="206"/>
    <cellStyle name="Normal 4 3 3 4" xfId="207"/>
    <cellStyle name="Normal 4 3 4" xfId="208"/>
    <cellStyle name="Normal 4 3 4 2" xfId="209"/>
    <cellStyle name="Normal 4 3 5" xfId="210"/>
    <cellStyle name="Normal 4 3 5 2" xfId="211"/>
    <cellStyle name="Normal 4 3 6" xfId="212"/>
    <cellStyle name="Normal 4 4" xfId="213"/>
    <cellStyle name="Normal 4 4 2" xfId="214"/>
    <cellStyle name="Normal 4 4 2 2" xfId="215"/>
    <cellStyle name="Normal 4 4 2 2 2" xfId="216"/>
    <cellStyle name="Normal 4 4 2 2 2 2" xfId="217"/>
    <cellStyle name="Normal 4 4 2 2 3" xfId="218"/>
    <cellStyle name="Normal 4 4 2 2 3 2" xfId="219"/>
    <cellStyle name="Normal 4 4 2 2 4" xfId="220"/>
    <cellStyle name="Normal 4 4 2 3" xfId="221"/>
    <cellStyle name="Normal 4 4 2 3 2" xfId="222"/>
    <cellStyle name="Normal 4 4 2 4" xfId="223"/>
    <cellStyle name="Normal 4 4 2 4 2" xfId="224"/>
    <cellStyle name="Normal 4 4 2 5" xfId="225"/>
    <cellStyle name="Normal 4 4 3" xfId="226"/>
    <cellStyle name="Normal 4 4 3 2" xfId="227"/>
    <cellStyle name="Normal 4 4 3 2 2" xfId="228"/>
    <cellStyle name="Normal 4 4 3 3" xfId="229"/>
    <cellStyle name="Normal 4 4 3 3 2" xfId="230"/>
    <cellStyle name="Normal 4 4 3 4" xfId="231"/>
    <cellStyle name="Normal 4 4 4" xfId="232"/>
    <cellStyle name="Normal 4 4 4 2" xfId="233"/>
    <cellStyle name="Normal 4 4 5" xfId="234"/>
    <cellStyle name="Normal 4 4 5 2" xfId="235"/>
    <cellStyle name="Normal 4 4 6" xfId="236"/>
    <cellStyle name="Normal 4 5" xfId="237"/>
    <cellStyle name="Normal 4 5 2" xfId="238"/>
    <cellStyle name="Normal 4 5 2 2" xfId="239"/>
    <cellStyle name="Normal 4 5 2 2 2" xfId="240"/>
    <cellStyle name="Normal 4 5 2 3" xfId="241"/>
    <cellStyle name="Normal 4 5 2 3 2" xfId="242"/>
    <cellStyle name="Normal 4 5 2 4" xfId="243"/>
    <cellStyle name="Normal 4 5 3" xfId="244"/>
    <cellStyle name="Normal 4 5 3 2" xfId="245"/>
    <cellStyle name="Normal 4 5 4" xfId="246"/>
    <cellStyle name="Normal 4 5 4 2" xfId="247"/>
    <cellStyle name="Normal 4 5 5" xfId="248"/>
    <cellStyle name="Normal 4 6" xfId="249"/>
    <cellStyle name="Normal 4 6 2" xfId="250"/>
    <cellStyle name="Normal 4 6 2 2" xfId="251"/>
    <cellStyle name="Normal 4 6 2 2 2" xfId="252"/>
    <cellStyle name="Normal 4 6 2 3" xfId="253"/>
    <cellStyle name="Normal 4 6 2 3 2" xfId="254"/>
    <cellStyle name="Normal 4 6 2 4" xfId="255"/>
    <cellStyle name="Normal 4 6 3" xfId="256"/>
    <cellStyle name="Normal 4 6 3 2" xfId="257"/>
    <cellStyle name="Normal 4 6 4" xfId="258"/>
    <cellStyle name="Normal 4 6 4 2" xfId="259"/>
    <cellStyle name="Normal 4 6 5" xfId="260"/>
    <cellStyle name="Normal 40" xfId="261"/>
    <cellStyle name="Normal 5" xfId="262"/>
    <cellStyle name="Normal 5 2" xfId="263"/>
    <cellStyle name="Normal 5 2 2" xfId="264"/>
    <cellStyle name="Normal 5 2 2 2" xfId="265"/>
    <cellStyle name="Normal 5 2 2 2 2" xfId="266"/>
    <cellStyle name="Normal 5 2 2 2 2 2" xfId="267"/>
    <cellStyle name="Normal 5 2 2 2 2 2 2" xfId="268"/>
    <cellStyle name="Normal 5 2 2 2 2 3" xfId="269"/>
    <cellStyle name="Normal 5 2 2 2 2 3 2" xfId="270"/>
    <cellStyle name="Normal 5 2 2 2 2 4" xfId="271"/>
    <cellStyle name="Normal 5 2 2 2 3" xfId="272"/>
    <cellStyle name="Normal 5 2 2 2 3 2" xfId="273"/>
    <cellStyle name="Normal 5 2 2 2 4" xfId="274"/>
    <cellStyle name="Normal 5 2 2 2 4 2" xfId="275"/>
    <cellStyle name="Normal 5 2 2 2 5" xfId="276"/>
    <cellStyle name="Normal 5 2 2 3" xfId="277"/>
    <cellStyle name="Normal 5 2 2 3 2" xfId="278"/>
    <cellStyle name="Normal 5 2 2 3 2 2" xfId="279"/>
    <cellStyle name="Normal 5 2 2 3 3" xfId="280"/>
    <cellStyle name="Normal 5 2 2 3 3 2" xfId="281"/>
    <cellStyle name="Normal 5 2 2 3 4" xfId="282"/>
    <cellStyle name="Normal 5 2 2 4" xfId="283"/>
    <cellStyle name="Normal 5 2 2 4 2" xfId="284"/>
    <cellStyle name="Normal 5 2 2 5" xfId="285"/>
    <cellStyle name="Normal 5 2 2 5 2" xfId="286"/>
    <cellStyle name="Normal 5 2 2 6" xfId="287"/>
    <cellStyle name="Normal 5 2 3" xfId="288"/>
    <cellStyle name="Normal 5 2 3 2" xfId="289"/>
    <cellStyle name="Normal 5 2 3 2 2" xfId="290"/>
    <cellStyle name="Normal 5 2 3 2 2 2" xfId="291"/>
    <cellStyle name="Normal 5 2 3 2 2 2 2" xfId="292"/>
    <cellStyle name="Normal 5 2 3 2 2 3" xfId="293"/>
    <cellStyle name="Normal 5 2 3 2 2 3 2" xfId="294"/>
    <cellStyle name="Normal 5 2 3 2 2 4" xfId="295"/>
    <cellStyle name="Normal 5 2 3 2 3" xfId="296"/>
    <cellStyle name="Normal 5 2 3 2 3 2" xfId="297"/>
    <cellStyle name="Normal 5 2 3 2 4" xfId="298"/>
    <cellStyle name="Normal 5 2 3 2 4 2" xfId="299"/>
    <cellStyle name="Normal 5 2 3 2 5" xfId="300"/>
    <cellStyle name="Normal 5 2 3 3" xfId="301"/>
    <cellStyle name="Normal 5 2 3 3 2" xfId="302"/>
    <cellStyle name="Normal 5 2 3 3 2 2" xfId="303"/>
    <cellStyle name="Normal 5 2 3 3 3" xfId="304"/>
    <cellStyle name="Normal 5 2 3 3 3 2" xfId="305"/>
    <cellStyle name="Normal 5 2 3 3 4" xfId="306"/>
    <cellStyle name="Normal 5 2 3 4" xfId="307"/>
    <cellStyle name="Normal 5 2 3 4 2" xfId="308"/>
    <cellStyle name="Normal 5 2 3 5" xfId="309"/>
    <cellStyle name="Normal 5 2 3 5 2" xfId="310"/>
    <cellStyle name="Normal 5 2 3 6" xfId="311"/>
    <cellStyle name="Normal 5 2 4" xfId="312"/>
    <cellStyle name="Normal 5 2 4 2" xfId="313"/>
    <cellStyle name="Normal 5 2 4 2 2" xfId="314"/>
    <cellStyle name="Normal 5 2 4 2 2 2" xfId="315"/>
    <cellStyle name="Normal 5 2 4 2 2 2 2" xfId="316"/>
    <cellStyle name="Normal 5 2 4 2 2 3" xfId="317"/>
    <cellStyle name="Normal 5 2 4 2 2 3 2" xfId="318"/>
    <cellStyle name="Normal 5 2 4 2 2 4" xfId="319"/>
    <cellStyle name="Normal 5 2 4 2 3" xfId="320"/>
    <cellStyle name="Normal 5 2 4 2 3 2" xfId="321"/>
    <cellStyle name="Normal 5 2 4 2 4" xfId="322"/>
    <cellStyle name="Normal 5 2 4 2 4 2" xfId="323"/>
    <cellStyle name="Normal 5 2 4 2 5" xfId="324"/>
    <cellStyle name="Normal 5 2 4 3" xfId="325"/>
    <cellStyle name="Normal 5 2 4 3 2" xfId="326"/>
    <cellStyle name="Normal 5 2 4 3 2 2" xfId="327"/>
    <cellStyle name="Normal 5 2 4 3 3" xfId="328"/>
    <cellStyle name="Normal 5 2 4 3 3 2" xfId="329"/>
    <cellStyle name="Normal 5 2 4 3 4" xfId="330"/>
    <cellStyle name="Normal 5 2 4 4" xfId="331"/>
    <cellStyle name="Normal 5 2 4 4 2" xfId="332"/>
    <cellStyle name="Normal 5 2 4 5" xfId="333"/>
    <cellStyle name="Normal 5 2 4 5 2" xfId="334"/>
    <cellStyle name="Normal 5 2 4 6" xfId="335"/>
    <cellStyle name="Normal 5 2 5" xfId="336"/>
    <cellStyle name="Normal 5 2 5 2" xfId="337"/>
    <cellStyle name="Normal 5 2 5 2 2" xfId="338"/>
    <cellStyle name="Normal 5 2 5 2 2 2" xfId="339"/>
    <cellStyle name="Normal 5 2 5 2 3" xfId="340"/>
    <cellStyle name="Normal 5 2 5 2 3 2" xfId="341"/>
    <cellStyle name="Normal 5 2 5 2 4" xfId="342"/>
    <cellStyle name="Normal 5 2 5 3" xfId="343"/>
    <cellStyle name="Normal 5 2 5 3 2" xfId="344"/>
    <cellStyle name="Normal 5 2 5 4" xfId="345"/>
    <cellStyle name="Normal 5 2 5 4 2" xfId="346"/>
    <cellStyle name="Normal 5 2 5 5" xfId="347"/>
    <cellStyle name="Normal 5 2 6" xfId="348"/>
    <cellStyle name="Normal 5 2 6 2" xfId="349"/>
    <cellStyle name="Normal 5 2 6 2 2" xfId="350"/>
    <cellStyle name="Normal 5 2 6 2 2 2" xfId="351"/>
    <cellStyle name="Normal 5 2 6 2 3" xfId="352"/>
    <cellStyle name="Normal 5 2 6 2 3 2" xfId="353"/>
    <cellStyle name="Normal 5 2 6 2 4" xfId="354"/>
    <cellStyle name="Normal 5 2 6 3" xfId="355"/>
    <cellStyle name="Normal 5 2 6 3 2" xfId="356"/>
    <cellStyle name="Normal 5 2 6 4" xfId="357"/>
    <cellStyle name="Normal 5 2 6 4 2" xfId="358"/>
    <cellStyle name="Normal 5 2 6 5" xfId="359"/>
    <cellStyle name="Normal 5 3" xfId="360"/>
    <cellStyle name="Normal 5 3 2" xfId="361"/>
    <cellStyle name="Normal 5 3 2 2" xfId="362"/>
    <cellStyle name="Normal 5 3 3" xfId="363"/>
    <cellStyle name="Normal 5 3 3 2" xfId="364"/>
    <cellStyle name="Normal 5 3 4" xfId="365"/>
    <cellStyle name="Normal 5 4" xfId="366"/>
    <cellStyle name="Normal 5 4 2" xfId="367"/>
    <cellStyle name="Normal 5 5" xfId="368"/>
    <cellStyle name="Normal 5 5 2" xfId="369"/>
    <cellStyle name="Normal 5 6" xfId="370"/>
    <cellStyle name="Normal 6" xfId="371"/>
    <cellStyle name="Normal 6 2" xfId="372"/>
    <cellStyle name="Normal 7" xfId="373"/>
    <cellStyle name="Normal 70 2" xfId="374"/>
    <cellStyle name="Normal 70 2 2" xfId="375"/>
    <cellStyle name="Normal 70 2 2 2" xfId="376"/>
    <cellStyle name="Normal 70 2 2 2 2" xfId="377"/>
    <cellStyle name="Normal 70 2 2 3" xfId="378"/>
    <cellStyle name="Normal 70 2 2 3 2" xfId="379"/>
    <cellStyle name="Normal 70 2 2 4" xfId="380"/>
    <cellStyle name="Normal 70 2 3" xfId="381"/>
    <cellStyle name="Normal 70 2 3 2" xfId="382"/>
    <cellStyle name="Normal 70 2 4" xfId="383"/>
    <cellStyle name="Normal 70 2 4 2" xfId="384"/>
    <cellStyle name="Normal 70 2 5" xfId="385"/>
    <cellStyle name="Normal 72 2" xfId="386"/>
    <cellStyle name="Normal 72 2 2" xfId="387"/>
    <cellStyle name="Normal 72 2 2 2" xfId="388"/>
    <cellStyle name="Normal 72 2 2 2 2" xfId="389"/>
    <cellStyle name="Normal 72 2 2 3" xfId="390"/>
    <cellStyle name="Normal 72 2 2 3 2" xfId="391"/>
    <cellStyle name="Normal 72 2 2 4" xfId="392"/>
    <cellStyle name="Normal 72 2 3" xfId="393"/>
    <cellStyle name="Normal 72 2 3 2" xfId="394"/>
    <cellStyle name="Normal 72 2 4" xfId="395"/>
    <cellStyle name="Normal 72 2 4 2" xfId="396"/>
    <cellStyle name="Normal 72 2 5" xfId="397"/>
    <cellStyle name="Normal 8" xfId="398"/>
    <cellStyle name="Normal 8 2" xfId="399"/>
    <cellStyle name="Normal 8 3" xfId="620"/>
    <cellStyle name="Normal 8 3 2" xfId="694"/>
    <cellStyle name="Normal 8 3 3" xfId="704"/>
    <cellStyle name="Normal 8 3 4" xfId="705"/>
    <cellStyle name="Normal 8 4" xfId="691"/>
    <cellStyle name="Normal 8 5" xfId="706"/>
    <cellStyle name="Normal 8 6" xfId="707"/>
    <cellStyle name="Normal 80 2" xfId="400"/>
    <cellStyle name="Normal 9" xfId="401"/>
    <cellStyle name="Normal 9 2" xfId="402"/>
    <cellStyle name="Normal 9 3" xfId="403"/>
    <cellStyle name="Normal 9 3 2" xfId="404"/>
    <cellStyle name="Normal 9 4" xfId="405"/>
    <cellStyle name="Normal 9 4 2" xfId="406"/>
    <cellStyle name="Normal 9 5" xfId="407"/>
    <cellStyle name="Note 2" xfId="408"/>
    <cellStyle name="Note 2 2" xfId="689"/>
    <cellStyle name="Note 2 3" xfId="675"/>
    <cellStyle name="Note 2 4" xfId="661"/>
    <cellStyle name="OK Heading" xfId="409"/>
    <cellStyle name="OK Heading 10" xfId="410"/>
    <cellStyle name="OK Heading 100" xfId="411"/>
    <cellStyle name="OK Heading 11" xfId="412"/>
    <cellStyle name="OK Heading 12" xfId="413"/>
    <cellStyle name="OK Heading 13" xfId="414"/>
    <cellStyle name="OK Heading 14" xfId="415"/>
    <cellStyle name="OK Heading 15" xfId="416"/>
    <cellStyle name="OK Heading 16" xfId="417"/>
    <cellStyle name="OK Heading 17" xfId="418"/>
    <cellStyle name="OK Heading 18" xfId="419"/>
    <cellStyle name="OK Heading 19" xfId="420"/>
    <cellStyle name="OK Heading 2" xfId="421"/>
    <cellStyle name="OK Heading 2 2" xfId="422"/>
    <cellStyle name="OK Heading 20" xfId="423"/>
    <cellStyle name="OK Heading 21" xfId="424"/>
    <cellStyle name="OK Heading 22" xfId="425"/>
    <cellStyle name="OK Heading 23" xfId="426"/>
    <cellStyle name="OK Heading 24" xfId="427"/>
    <cellStyle name="OK Heading 25" xfId="428"/>
    <cellStyle name="OK Heading 26" xfId="429"/>
    <cellStyle name="OK Heading 27" xfId="430"/>
    <cellStyle name="OK Heading 28" xfId="431"/>
    <cellStyle name="OK Heading 29" xfId="432"/>
    <cellStyle name="OK Heading 3" xfId="433"/>
    <cellStyle name="OK Heading 30" xfId="434"/>
    <cellStyle name="OK Heading 31" xfId="435"/>
    <cellStyle name="OK Heading 32" xfId="436"/>
    <cellStyle name="OK Heading 33" xfId="437"/>
    <cellStyle name="OK Heading 34" xfId="438"/>
    <cellStyle name="OK Heading 35" xfId="439"/>
    <cellStyle name="OK Heading 36" xfId="440"/>
    <cellStyle name="OK Heading 37" xfId="441"/>
    <cellStyle name="OK Heading 38" xfId="442"/>
    <cellStyle name="OK Heading 39" xfId="443"/>
    <cellStyle name="OK Heading 4" xfId="444"/>
    <cellStyle name="OK Heading 40" xfId="445"/>
    <cellStyle name="OK Heading 41" xfId="446"/>
    <cellStyle name="OK Heading 42" xfId="447"/>
    <cellStyle name="OK Heading 43" xfId="448"/>
    <cellStyle name="OK Heading 44" xfId="449"/>
    <cellStyle name="OK Heading 45" xfId="450"/>
    <cellStyle name="OK Heading 46" xfId="451"/>
    <cellStyle name="OK Heading 47" xfId="452"/>
    <cellStyle name="OK Heading 48" xfId="453"/>
    <cellStyle name="OK Heading 49" xfId="454"/>
    <cellStyle name="OK Heading 5" xfId="455"/>
    <cellStyle name="OK Heading 50" xfId="456"/>
    <cellStyle name="OK Heading 51" xfId="457"/>
    <cellStyle name="OK Heading 52" xfId="458"/>
    <cellStyle name="OK Heading 53" xfId="459"/>
    <cellStyle name="OK Heading 54" xfId="460"/>
    <cellStyle name="OK Heading 55" xfId="461"/>
    <cellStyle name="OK Heading 56" xfId="462"/>
    <cellStyle name="OK Heading 57" xfId="463"/>
    <cellStyle name="OK Heading 58" xfId="464"/>
    <cellStyle name="OK Heading 59" xfId="465"/>
    <cellStyle name="OK Heading 6" xfId="466"/>
    <cellStyle name="OK Heading 60" xfId="467"/>
    <cellStyle name="OK Heading 61" xfId="468"/>
    <cellStyle name="OK Heading 62" xfId="469"/>
    <cellStyle name="OK Heading 63" xfId="470"/>
    <cellStyle name="OK Heading 64" xfId="471"/>
    <cellStyle name="OK Heading 65" xfId="472"/>
    <cellStyle name="OK Heading 66" xfId="473"/>
    <cellStyle name="OK Heading 67" xfId="474"/>
    <cellStyle name="OK Heading 68" xfId="475"/>
    <cellStyle name="OK Heading 69" xfId="476"/>
    <cellStyle name="OK Heading 7" xfId="477"/>
    <cellStyle name="OK Heading 70" xfId="478"/>
    <cellStyle name="OK Heading 71" xfId="479"/>
    <cellStyle name="OK Heading 72" xfId="480"/>
    <cellStyle name="OK Heading 73" xfId="481"/>
    <cellStyle name="OK Heading 74" xfId="482"/>
    <cellStyle name="OK Heading 75" xfId="483"/>
    <cellStyle name="OK Heading 76" xfId="484"/>
    <cellStyle name="OK Heading 77" xfId="485"/>
    <cellStyle name="OK Heading 78" xfId="486"/>
    <cellStyle name="OK Heading 79" xfId="487"/>
    <cellStyle name="OK Heading 8" xfId="488"/>
    <cellStyle name="OK Heading 80" xfId="489"/>
    <cellStyle name="OK Heading 81" xfId="490"/>
    <cellStyle name="OK Heading 82" xfId="491"/>
    <cellStyle name="OK Heading 83" xfId="492"/>
    <cellStyle name="OK Heading 84" xfId="493"/>
    <cellStyle name="OK Heading 85" xfId="494"/>
    <cellStyle name="OK Heading 86" xfId="495"/>
    <cellStyle name="OK Heading 87" xfId="496"/>
    <cellStyle name="OK Heading 88" xfId="497"/>
    <cellStyle name="OK Heading 89" xfId="498"/>
    <cellStyle name="OK Heading 9" xfId="499"/>
    <cellStyle name="OK Heading 90" xfId="500"/>
    <cellStyle name="OK Heading 91" xfId="501"/>
    <cellStyle name="OK Heading 92" xfId="502"/>
    <cellStyle name="OK Heading 93" xfId="503"/>
    <cellStyle name="OK Heading 94" xfId="504"/>
    <cellStyle name="OK Heading 95" xfId="505"/>
    <cellStyle name="OK Heading 96" xfId="506"/>
    <cellStyle name="OK Heading 97" xfId="507"/>
    <cellStyle name="OK Heading 98" xfId="508"/>
    <cellStyle name="OK Heading 99" xfId="509"/>
    <cellStyle name="Output" xfId="630" builtinId="21" customBuiltin="1"/>
    <cellStyle name="Percent 5" xfId="510"/>
    <cellStyle name="Percent 5 2" xfId="511"/>
    <cellStyle name="Report Body" xfId="512"/>
    <cellStyle name="Report Heading" xfId="513"/>
    <cellStyle name="SOO Table Footnote" xfId="514"/>
    <cellStyle name="SOO Table Footnote 2" xfId="515"/>
    <cellStyle name="Sub Heading" xfId="516"/>
    <cellStyle name="Sub Heading 10" xfId="517"/>
    <cellStyle name="Sub Heading 100" xfId="518"/>
    <cellStyle name="Sub Heading 11" xfId="519"/>
    <cellStyle name="Sub Heading 12" xfId="520"/>
    <cellStyle name="Sub Heading 13" xfId="521"/>
    <cellStyle name="Sub Heading 14" xfId="522"/>
    <cellStyle name="Sub Heading 15" xfId="523"/>
    <cellStyle name="Sub Heading 16" xfId="524"/>
    <cellStyle name="Sub Heading 17" xfId="525"/>
    <cellStyle name="Sub Heading 18" xfId="526"/>
    <cellStyle name="Sub Heading 19" xfId="527"/>
    <cellStyle name="Sub Heading 2" xfId="528"/>
    <cellStyle name="Sub Heading 2 2" xfId="529"/>
    <cellStyle name="Sub Heading 20" xfId="530"/>
    <cellStyle name="Sub Heading 21" xfId="531"/>
    <cellStyle name="Sub Heading 22" xfId="532"/>
    <cellStyle name="Sub Heading 23" xfId="533"/>
    <cellStyle name="Sub Heading 24" xfId="534"/>
    <cellStyle name="Sub Heading 25" xfId="535"/>
    <cellStyle name="Sub Heading 26" xfId="536"/>
    <cellStyle name="Sub Heading 27" xfId="537"/>
    <cellStyle name="Sub Heading 28" xfId="538"/>
    <cellStyle name="Sub Heading 29" xfId="539"/>
    <cellStyle name="Sub Heading 3" xfId="540"/>
    <cellStyle name="Sub Heading 30" xfId="541"/>
    <cellStyle name="Sub Heading 31" xfId="542"/>
    <cellStyle name="Sub Heading 32" xfId="543"/>
    <cellStyle name="Sub Heading 33" xfId="544"/>
    <cellStyle name="Sub Heading 34" xfId="545"/>
    <cellStyle name="Sub Heading 35" xfId="546"/>
    <cellStyle name="Sub Heading 36" xfId="547"/>
    <cellStyle name="Sub Heading 37" xfId="548"/>
    <cellStyle name="Sub Heading 38" xfId="549"/>
    <cellStyle name="Sub Heading 39" xfId="550"/>
    <cellStyle name="Sub Heading 4" xfId="551"/>
    <cellStyle name="Sub Heading 40" xfId="552"/>
    <cellStyle name="Sub Heading 41" xfId="553"/>
    <cellStyle name="Sub Heading 42" xfId="554"/>
    <cellStyle name="Sub Heading 43" xfId="555"/>
    <cellStyle name="Sub Heading 44" xfId="556"/>
    <cellStyle name="Sub Heading 45" xfId="557"/>
    <cellStyle name="Sub Heading 46" xfId="558"/>
    <cellStyle name="Sub Heading 47" xfId="559"/>
    <cellStyle name="Sub Heading 48" xfId="560"/>
    <cellStyle name="Sub Heading 49" xfId="561"/>
    <cellStyle name="Sub Heading 5" xfId="562"/>
    <cellStyle name="Sub Heading 50" xfId="563"/>
    <cellStyle name="Sub Heading 51" xfId="564"/>
    <cellStyle name="Sub Heading 52" xfId="565"/>
    <cellStyle name="Sub Heading 53" xfId="566"/>
    <cellStyle name="Sub Heading 54" xfId="567"/>
    <cellStyle name="Sub Heading 55" xfId="568"/>
    <cellStyle name="Sub Heading 56" xfId="569"/>
    <cellStyle name="Sub Heading 57" xfId="570"/>
    <cellStyle name="Sub Heading 58" xfId="571"/>
    <cellStyle name="Sub Heading 59" xfId="572"/>
    <cellStyle name="Sub Heading 6" xfId="573"/>
    <cellStyle name="Sub Heading 60" xfId="574"/>
    <cellStyle name="Sub Heading 61" xfId="575"/>
    <cellStyle name="Sub Heading 62" xfId="576"/>
    <cellStyle name="Sub Heading 63" xfId="577"/>
    <cellStyle name="Sub Heading 64" xfId="578"/>
    <cellStyle name="Sub Heading 65" xfId="579"/>
    <cellStyle name="Sub Heading 66" xfId="580"/>
    <cellStyle name="Sub Heading 67" xfId="581"/>
    <cellStyle name="Sub Heading 68" xfId="582"/>
    <cellStyle name="Sub Heading 69" xfId="583"/>
    <cellStyle name="Sub Heading 7" xfId="584"/>
    <cellStyle name="Sub Heading 70" xfId="585"/>
    <cellStyle name="Sub Heading 71" xfId="586"/>
    <cellStyle name="Sub Heading 72" xfId="587"/>
    <cellStyle name="Sub Heading 73" xfId="588"/>
    <cellStyle name="Sub Heading 74" xfId="589"/>
    <cellStyle name="Sub Heading 75" xfId="590"/>
    <cellStyle name="Sub Heading 76" xfId="591"/>
    <cellStyle name="Sub Heading 77" xfId="592"/>
    <cellStyle name="Sub Heading 78" xfId="593"/>
    <cellStyle name="Sub Heading 79" xfId="594"/>
    <cellStyle name="Sub Heading 8" xfId="595"/>
    <cellStyle name="Sub Heading 80" xfId="596"/>
    <cellStyle name="Sub Heading 81" xfId="597"/>
    <cellStyle name="Sub Heading 82" xfId="598"/>
    <cellStyle name="Sub Heading 83" xfId="599"/>
    <cellStyle name="Sub Heading 84" xfId="600"/>
    <cellStyle name="Sub Heading 85" xfId="601"/>
    <cellStyle name="Sub Heading 86" xfId="602"/>
    <cellStyle name="Sub Heading 87" xfId="603"/>
    <cellStyle name="Sub Heading 88" xfId="604"/>
    <cellStyle name="Sub Heading 89" xfId="605"/>
    <cellStyle name="Sub Heading 9" xfId="606"/>
    <cellStyle name="Sub Heading 90" xfId="607"/>
    <cellStyle name="Sub Heading 91" xfId="608"/>
    <cellStyle name="Sub Heading 92" xfId="609"/>
    <cellStyle name="Sub Heading 93" xfId="610"/>
    <cellStyle name="Sub Heading 94" xfId="611"/>
    <cellStyle name="Sub Heading 95" xfId="612"/>
    <cellStyle name="Sub Heading 96" xfId="613"/>
    <cellStyle name="Sub Heading 97" xfId="614"/>
    <cellStyle name="Sub Heading 98" xfId="615"/>
    <cellStyle name="Sub Heading 99" xfId="616"/>
    <cellStyle name="Title" xfId="621" builtinId="15" customBuiltin="1"/>
    <cellStyle name="Total" xfId="636" builtinId="25" customBuiltin="1"/>
    <cellStyle name="Warning Text" xfId="634" builtinId="11" customBuiltin="1"/>
  </cellStyles>
  <dxfs count="0"/>
  <tableStyles count="0" defaultTableStyle="TableStyleMedium2" defaultPivotStyle="PivotStyleLight16"/>
  <colors>
    <mruColors>
      <color rgb="FFC41230"/>
      <color rgb="FFADE0EE"/>
      <color rgb="FFC0AF2C"/>
      <color rgb="FFFBB483"/>
      <color rgb="FFCB7E80"/>
      <color rgb="FFA9C3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3.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5.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chartsheet" Target="chartsheets/sheet2.xml"/><Relationship Id="rId11" Type="http://schemas.openxmlformats.org/officeDocument/2006/relationships/theme" Target="theme/theme1.xml"/><Relationship Id="rId5" Type="http://schemas.openxmlformats.org/officeDocument/2006/relationships/worksheet" Target="worksheets/sheet4.xml"/><Relationship Id="rId15" Type="http://schemas.openxmlformats.org/officeDocument/2006/relationships/customXml" Target="../customXml/item1.xml"/><Relationship Id="rId10" Type="http://schemas.openxmlformats.org/officeDocument/2006/relationships/worksheet" Target="worksheets/sheet7.xml"/><Relationship Id="rId4" Type="http://schemas.openxmlformats.org/officeDocument/2006/relationships/chartsheet" Target="chartsheets/sheet1.xml"/><Relationship Id="rId9" Type="http://schemas.openxmlformats.org/officeDocument/2006/relationships/worksheet" Target="worksheets/sheet6.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526772857308464"/>
          <c:y val="3.2648402413411041E-2"/>
          <c:w val="0.84059724936764346"/>
          <c:h val="0.66226524758683436"/>
        </c:manualLayout>
      </c:layout>
      <c:barChart>
        <c:barDir val="col"/>
        <c:grouping val="stacked"/>
        <c:varyColors val="0"/>
        <c:ser>
          <c:idx val="0"/>
          <c:order val="0"/>
          <c:tx>
            <c:strRef>
              <c:f>'NEMInstalledCapacity Data'!$B$3</c:f>
              <c:strCache>
                <c:ptCount val="1"/>
                <c:pt idx="0">
                  <c:v>Black coal</c:v>
                </c:pt>
              </c:strCache>
            </c:strRef>
          </c:tx>
          <c:spPr>
            <a:solidFill>
              <a:srgbClr val="000000"/>
            </a:solidFill>
            <a:ln>
              <a:noFill/>
            </a:ln>
            <a:effectLst/>
          </c:spPr>
          <c:invertIfNegative val="0"/>
          <c:dPt>
            <c:idx val="0"/>
            <c:invertIfNegative val="0"/>
            <c:bubble3D val="0"/>
            <c:extLst>
              <c:ext xmlns:c16="http://schemas.microsoft.com/office/drawing/2014/chart" uri="{C3380CC4-5D6E-409C-BE32-E72D297353CC}">
                <c16:uniqueId val="{000001AB-9C22-49C7-AC0B-30C491EA6644}"/>
              </c:ext>
            </c:extLst>
          </c:dPt>
          <c:dPt>
            <c:idx val="1"/>
            <c:invertIfNegative val="0"/>
            <c:bubble3D val="0"/>
            <c:extLst>
              <c:ext xmlns:c16="http://schemas.microsoft.com/office/drawing/2014/chart" uri="{C3380CC4-5D6E-409C-BE32-E72D297353CC}">
                <c16:uniqueId val="{000001AD-9C22-49C7-AC0B-30C491EA6644}"/>
              </c:ext>
            </c:extLst>
          </c:dPt>
          <c:dPt>
            <c:idx val="2"/>
            <c:invertIfNegative val="0"/>
            <c:bubble3D val="0"/>
            <c:extLst>
              <c:ext xmlns:c16="http://schemas.microsoft.com/office/drawing/2014/chart" uri="{C3380CC4-5D6E-409C-BE32-E72D297353CC}">
                <c16:uniqueId val="{000001AF-9C22-49C7-AC0B-30C491EA6644}"/>
              </c:ext>
            </c:extLst>
          </c:dPt>
          <c:dPt>
            <c:idx val="3"/>
            <c:invertIfNegative val="0"/>
            <c:bubble3D val="0"/>
            <c:extLst>
              <c:ext xmlns:c16="http://schemas.microsoft.com/office/drawing/2014/chart" uri="{C3380CC4-5D6E-409C-BE32-E72D297353CC}">
                <c16:uniqueId val="{000001B1-9C22-49C7-AC0B-30C491EA6644}"/>
              </c:ext>
            </c:extLst>
          </c:dPt>
          <c:dPt>
            <c:idx val="4"/>
            <c:invertIfNegative val="0"/>
            <c:bubble3D val="0"/>
            <c:extLst>
              <c:ext xmlns:c16="http://schemas.microsoft.com/office/drawing/2014/chart" uri="{C3380CC4-5D6E-409C-BE32-E72D297353CC}">
                <c16:uniqueId val="{000001B3-9C22-49C7-AC0B-30C491EA6644}"/>
              </c:ext>
            </c:extLst>
          </c:dPt>
          <c:dPt>
            <c:idx val="5"/>
            <c:invertIfNegative val="0"/>
            <c:bubble3D val="0"/>
            <c:extLst>
              <c:ext xmlns:c16="http://schemas.microsoft.com/office/drawing/2014/chart" uri="{C3380CC4-5D6E-409C-BE32-E72D297353CC}">
                <c16:uniqueId val="{000001B5-9C22-49C7-AC0B-30C491EA6644}"/>
              </c:ext>
            </c:extLst>
          </c:dPt>
          <c:dPt>
            <c:idx val="6"/>
            <c:invertIfNegative val="0"/>
            <c:bubble3D val="0"/>
            <c:extLst>
              <c:ext xmlns:c16="http://schemas.microsoft.com/office/drawing/2014/chart" uri="{C3380CC4-5D6E-409C-BE32-E72D297353CC}">
                <c16:uniqueId val="{000001B7-9C22-49C7-AC0B-30C491EA6644}"/>
              </c:ext>
            </c:extLst>
          </c:dPt>
          <c:dPt>
            <c:idx val="7"/>
            <c:invertIfNegative val="0"/>
            <c:bubble3D val="0"/>
            <c:extLst>
              <c:ext xmlns:c16="http://schemas.microsoft.com/office/drawing/2014/chart" uri="{C3380CC4-5D6E-409C-BE32-E72D297353CC}">
                <c16:uniqueId val="{000001B9-9C22-49C7-AC0B-30C491EA6644}"/>
              </c:ext>
            </c:extLst>
          </c:dPt>
          <c:dPt>
            <c:idx val="8"/>
            <c:invertIfNegative val="0"/>
            <c:bubble3D val="0"/>
            <c:extLst>
              <c:ext xmlns:c16="http://schemas.microsoft.com/office/drawing/2014/chart" uri="{C3380CC4-5D6E-409C-BE32-E72D297353CC}">
                <c16:uniqueId val="{000001BB-9C22-49C7-AC0B-30C491EA6644}"/>
              </c:ext>
            </c:extLst>
          </c:dPt>
          <c:dPt>
            <c:idx val="9"/>
            <c:invertIfNegative val="0"/>
            <c:bubble3D val="0"/>
            <c:extLst>
              <c:ext xmlns:c16="http://schemas.microsoft.com/office/drawing/2014/chart" uri="{C3380CC4-5D6E-409C-BE32-E72D297353CC}">
                <c16:uniqueId val="{000001BD-9C22-49C7-AC0B-30C491EA6644}"/>
              </c:ext>
            </c:extLst>
          </c:dPt>
          <c:dPt>
            <c:idx val="10"/>
            <c:invertIfNegative val="0"/>
            <c:bubble3D val="0"/>
            <c:extLst>
              <c:ext xmlns:c16="http://schemas.microsoft.com/office/drawing/2014/chart" uri="{C3380CC4-5D6E-409C-BE32-E72D297353CC}">
                <c16:uniqueId val="{000001BF-9C22-49C7-AC0B-30C491EA6644}"/>
              </c:ext>
            </c:extLst>
          </c:dPt>
          <c:dPt>
            <c:idx val="11"/>
            <c:invertIfNegative val="0"/>
            <c:bubble3D val="0"/>
            <c:extLst>
              <c:ext xmlns:c16="http://schemas.microsoft.com/office/drawing/2014/chart" uri="{C3380CC4-5D6E-409C-BE32-E72D297353CC}">
                <c16:uniqueId val="{000001C1-9C22-49C7-AC0B-30C491EA6644}"/>
              </c:ext>
            </c:extLst>
          </c:dPt>
          <c:dPt>
            <c:idx val="12"/>
            <c:invertIfNegative val="0"/>
            <c:bubble3D val="0"/>
            <c:extLst>
              <c:ext xmlns:c16="http://schemas.microsoft.com/office/drawing/2014/chart" uri="{C3380CC4-5D6E-409C-BE32-E72D297353CC}">
                <c16:uniqueId val="{000001C3-9C22-49C7-AC0B-30C491EA6644}"/>
              </c:ext>
            </c:extLst>
          </c:dPt>
          <c:dPt>
            <c:idx val="13"/>
            <c:invertIfNegative val="0"/>
            <c:bubble3D val="0"/>
            <c:extLst>
              <c:ext xmlns:c16="http://schemas.microsoft.com/office/drawing/2014/chart" uri="{C3380CC4-5D6E-409C-BE32-E72D297353CC}">
                <c16:uniqueId val="{000001C5-9C22-49C7-AC0B-30C491EA6644}"/>
              </c:ext>
            </c:extLst>
          </c:dPt>
          <c:dPt>
            <c:idx val="14"/>
            <c:invertIfNegative val="0"/>
            <c:bubble3D val="0"/>
            <c:extLst>
              <c:ext xmlns:c16="http://schemas.microsoft.com/office/drawing/2014/chart" uri="{C3380CC4-5D6E-409C-BE32-E72D297353CC}">
                <c16:uniqueId val="{000001C7-9C22-49C7-AC0B-30C491EA6644}"/>
              </c:ext>
            </c:extLst>
          </c:dPt>
          <c:dPt>
            <c:idx val="15"/>
            <c:invertIfNegative val="0"/>
            <c:bubble3D val="0"/>
            <c:extLst>
              <c:ext xmlns:c16="http://schemas.microsoft.com/office/drawing/2014/chart" uri="{C3380CC4-5D6E-409C-BE32-E72D297353CC}">
                <c16:uniqueId val="{000001C9-9C22-49C7-AC0B-30C491EA6644}"/>
              </c:ext>
            </c:extLst>
          </c:dPt>
          <c:dPt>
            <c:idx val="16"/>
            <c:invertIfNegative val="0"/>
            <c:bubble3D val="0"/>
            <c:extLst>
              <c:ext xmlns:c16="http://schemas.microsoft.com/office/drawing/2014/chart" uri="{C3380CC4-5D6E-409C-BE32-E72D297353CC}">
                <c16:uniqueId val="{000001CB-9C22-49C7-AC0B-30C491EA6644}"/>
              </c:ext>
            </c:extLst>
          </c:dPt>
          <c:dPt>
            <c:idx val="17"/>
            <c:invertIfNegative val="0"/>
            <c:bubble3D val="0"/>
            <c:extLst>
              <c:ext xmlns:c16="http://schemas.microsoft.com/office/drawing/2014/chart" uri="{C3380CC4-5D6E-409C-BE32-E72D297353CC}">
                <c16:uniqueId val="{000001CD-9C22-49C7-AC0B-30C491EA6644}"/>
              </c:ext>
            </c:extLst>
          </c:dPt>
          <c:dPt>
            <c:idx val="18"/>
            <c:invertIfNegative val="0"/>
            <c:bubble3D val="0"/>
            <c:extLst>
              <c:ext xmlns:c16="http://schemas.microsoft.com/office/drawing/2014/chart" uri="{C3380CC4-5D6E-409C-BE32-E72D297353CC}">
                <c16:uniqueId val="{000001CF-9C22-49C7-AC0B-30C491EA6644}"/>
              </c:ext>
            </c:extLst>
          </c:dPt>
          <c:dPt>
            <c:idx val="19"/>
            <c:invertIfNegative val="0"/>
            <c:bubble3D val="0"/>
            <c:extLst>
              <c:ext xmlns:c16="http://schemas.microsoft.com/office/drawing/2014/chart" uri="{C3380CC4-5D6E-409C-BE32-E72D297353CC}">
                <c16:uniqueId val="{000001D1-9C22-49C7-AC0B-30C491EA6644}"/>
              </c:ext>
            </c:extLst>
          </c:dPt>
          <c:dPt>
            <c:idx val="20"/>
            <c:invertIfNegative val="0"/>
            <c:bubble3D val="0"/>
            <c:extLst>
              <c:ext xmlns:c16="http://schemas.microsoft.com/office/drawing/2014/chart" uri="{C3380CC4-5D6E-409C-BE32-E72D297353CC}">
                <c16:uniqueId val="{000001D3-9C22-49C7-AC0B-30C491EA6644}"/>
              </c:ext>
            </c:extLst>
          </c:dPt>
          <c:dPt>
            <c:idx val="21"/>
            <c:invertIfNegative val="0"/>
            <c:bubble3D val="0"/>
            <c:extLst>
              <c:ext xmlns:c16="http://schemas.microsoft.com/office/drawing/2014/chart" uri="{C3380CC4-5D6E-409C-BE32-E72D297353CC}">
                <c16:uniqueId val="{000001D5-9C22-49C7-AC0B-30C491EA6644}"/>
              </c:ext>
            </c:extLst>
          </c:dPt>
          <c:dPt>
            <c:idx val="22"/>
            <c:invertIfNegative val="0"/>
            <c:bubble3D val="0"/>
            <c:extLst>
              <c:ext xmlns:c16="http://schemas.microsoft.com/office/drawing/2014/chart" uri="{C3380CC4-5D6E-409C-BE32-E72D297353CC}">
                <c16:uniqueId val="{000001D7-9C22-49C7-AC0B-30C491EA6644}"/>
              </c:ext>
            </c:extLst>
          </c:dPt>
          <c:dPt>
            <c:idx val="23"/>
            <c:invertIfNegative val="0"/>
            <c:bubble3D val="0"/>
            <c:extLst>
              <c:ext xmlns:c16="http://schemas.microsoft.com/office/drawing/2014/chart" uri="{C3380CC4-5D6E-409C-BE32-E72D297353CC}">
                <c16:uniqueId val="{000001D9-9C22-49C7-AC0B-30C491EA6644}"/>
              </c:ext>
            </c:extLst>
          </c:dPt>
          <c:dPt>
            <c:idx val="24"/>
            <c:invertIfNegative val="0"/>
            <c:bubble3D val="0"/>
            <c:extLst>
              <c:ext xmlns:c16="http://schemas.microsoft.com/office/drawing/2014/chart" uri="{C3380CC4-5D6E-409C-BE32-E72D297353CC}">
                <c16:uniqueId val="{000001DB-9C22-49C7-AC0B-30C491EA6644}"/>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Data'!$C$3:$X$3</c:f>
              <c:numCache>
                <c:formatCode>#,##0_ ;\-#,##0\ </c:formatCode>
                <c:ptCount val="22"/>
                <c:pt idx="0">
                  <c:v>18219</c:v>
                </c:pt>
                <c:pt idx="1">
                  <c:v>18219</c:v>
                </c:pt>
                <c:pt idx="2">
                  <c:v>18219</c:v>
                </c:pt>
                <c:pt idx="3">
                  <c:v>18219</c:v>
                </c:pt>
                <c:pt idx="4">
                  <c:v>16419</c:v>
                </c:pt>
                <c:pt idx="5">
                  <c:v>16419</c:v>
                </c:pt>
                <c:pt idx="6">
                  <c:v>16419</c:v>
                </c:pt>
                <c:pt idx="7">
                  <c:v>16419</c:v>
                </c:pt>
                <c:pt idx="8">
                  <c:v>16419</c:v>
                </c:pt>
                <c:pt idx="9">
                  <c:v>16419</c:v>
                </c:pt>
                <c:pt idx="10">
                  <c:v>15099</c:v>
                </c:pt>
                <c:pt idx="11">
                  <c:v>13419</c:v>
                </c:pt>
                <c:pt idx="12">
                  <c:v>13419</c:v>
                </c:pt>
                <c:pt idx="13">
                  <c:v>13419</c:v>
                </c:pt>
                <c:pt idx="14">
                  <c:v>13419</c:v>
                </c:pt>
                <c:pt idx="15">
                  <c:v>13419</c:v>
                </c:pt>
                <c:pt idx="16">
                  <c:v>10539</c:v>
                </c:pt>
                <c:pt idx="17">
                  <c:v>7899</c:v>
                </c:pt>
                <c:pt idx="18">
                  <c:v>6499</c:v>
                </c:pt>
                <c:pt idx="19">
                  <c:v>6499</c:v>
                </c:pt>
                <c:pt idx="20">
                  <c:v>5799</c:v>
                </c:pt>
                <c:pt idx="21">
                  <c:v>5799</c:v>
                </c:pt>
              </c:numCache>
            </c:numRef>
          </c:val>
          <c:extLst>
            <c:ext xmlns:c16="http://schemas.microsoft.com/office/drawing/2014/chart" uri="{C3380CC4-5D6E-409C-BE32-E72D297353CC}">
              <c16:uniqueId val="{000001DC-9C22-49C7-AC0B-30C491EA6644}"/>
            </c:ext>
          </c:extLst>
        </c:ser>
        <c:ser>
          <c:idx val="1"/>
          <c:order val="1"/>
          <c:tx>
            <c:strRef>
              <c:f>'NEMInstalledCapacity Data'!$B$4</c:f>
              <c:strCache>
                <c:ptCount val="1"/>
                <c:pt idx="0">
                  <c:v>Brown coal</c:v>
                </c:pt>
              </c:strCache>
            </c:strRef>
          </c:tx>
          <c:spPr>
            <a:solidFill>
              <a:srgbClr val="833807"/>
            </a:solidFill>
            <a:ln>
              <a:noFill/>
            </a:ln>
            <a:effectLst/>
          </c:spPr>
          <c:invertIfNegative val="0"/>
          <c:dPt>
            <c:idx val="0"/>
            <c:invertIfNegative val="0"/>
            <c:bubble3D val="0"/>
            <c:extLst>
              <c:ext xmlns:c16="http://schemas.microsoft.com/office/drawing/2014/chart" uri="{C3380CC4-5D6E-409C-BE32-E72D297353CC}">
                <c16:uniqueId val="{000001DF-9C22-49C7-AC0B-30C491EA6644}"/>
              </c:ext>
            </c:extLst>
          </c:dPt>
          <c:dPt>
            <c:idx val="1"/>
            <c:invertIfNegative val="0"/>
            <c:bubble3D val="0"/>
            <c:extLst>
              <c:ext xmlns:c16="http://schemas.microsoft.com/office/drawing/2014/chart" uri="{C3380CC4-5D6E-409C-BE32-E72D297353CC}">
                <c16:uniqueId val="{000001E1-9C22-49C7-AC0B-30C491EA6644}"/>
              </c:ext>
            </c:extLst>
          </c:dPt>
          <c:dPt>
            <c:idx val="2"/>
            <c:invertIfNegative val="0"/>
            <c:bubble3D val="0"/>
            <c:extLst>
              <c:ext xmlns:c16="http://schemas.microsoft.com/office/drawing/2014/chart" uri="{C3380CC4-5D6E-409C-BE32-E72D297353CC}">
                <c16:uniqueId val="{000001E3-9C22-49C7-AC0B-30C491EA6644}"/>
              </c:ext>
            </c:extLst>
          </c:dPt>
          <c:dPt>
            <c:idx val="3"/>
            <c:invertIfNegative val="0"/>
            <c:bubble3D val="0"/>
            <c:extLst>
              <c:ext xmlns:c16="http://schemas.microsoft.com/office/drawing/2014/chart" uri="{C3380CC4-5D6E-409C-BE32-E72D297353CC}">
                <c16:uniqueId val="{000001E5-9C22-49C7-AC0B-30C491EA6644}"/>
              </c:ext>
            </c:extLst>
          </c:dPt>
          <c:dPt>
            <c:idx val="4"/>
            <c:invertIfNegative val="0"/>
            <c:bubble3D val="0"/>
            <c:extLst>
              <c:ext xmlns:c16="http://schemas.microsoft.com/office/drawing/2014/chart" uri="{C3380CC4-5D6E-409C-BE32-E72D297353CC}">
                <c16:uniqueId val="{000001E7-9C22-49C7-AC0B-30C491EA6644}"/>
              </c:ext>
            </c:extLst>
          </c:dPt>
          <c:dPt>
            <c:idx val="5"/>
            <c:invertIfNegative val="0"/>
            <c:bubble3D val="0"/>
            <c:extLst>
              <c:ext xmlns:c16="http://schemas.microsoft.com/office/drawing/2014/chart" uri="{C3380CC4-5D6E-409C-BE32-E72D297353CC}">
                <c16:uniqueId val="{000001E9-9C22-49C7-AC0B-30C491EA6644}"/>
              </c:ext>
            </c:extLst>
          </c:dPt>
          <c:dPt>
            <c:idx val="6"/>
            <c:invertIfNegative val="0"/>
            <c:bubble3D val="0"/>
            <c:extLst>
              <c:ext xmlns:c16="http://schemas.microsoft.com/office/drawing/2014/chart" uri="{C3380CC4-5D6E-409C-BE32-E72D297353CC}">
                <c16:uniqueId val="{000001EB-9C22-49C7-AC0B-30C491EA6644}"/>
              </c:ext>
            </c:extLst>
          </c:dPt>
          <c:dPt>
            <c:idx val="7"/>
            <c:invertIfNegative val="0"/>
            <c:bubble3D val="0"/>
            <c:extLst>
              <c:ext xmlns:c16="http://schemas.microsoft.com/office/drawing/2014/chart" uri="{C3380CC4-5D6E-409C-BE32-E72D297353CC}">
                <c16:uniqueId val="{000001ED-9C22-49C7-AC0B-30C491EA6644}"/>
              </c:ext>
            </c:extLst>
          </c:dPt>
          <c:dPt>
            <c:idx val="8"/>
            <c:invertIfNegative val="0"/>
            <c:bubble3D val="0"/>
            <c:extLst>
              <c:ext xmlns:c16="http://schemas.microsoft.com/office/drawing/2014/chart" uri="{C3380CC4-5D6E-409C-BE32-E72D297353CC}">
                <c16:uniqueId val="{000001EF-9C22-49C7-AC0B-30C491EA6644}"/>
              </c:ext>
            </c:extLst>
          </c:dPt>
          <c:dPt>
            <c:idx val="9"/>
            <c:invertIfNegative val="0"/>
            <c:bubble3D val="0"/>
            <c:extLst>
              <c:ext xmlns:c16="http://schemas.microsoft.com/office/drawing/2014/chart" uri="{C3380CC4-5D6E-409C-BE32-E72D297353CC}">
                <c16:uniqueId val="{000001F1-9C22-49C7-AC0B-30C491EA6644}"/>
              </c:ext>
            </c:extLst>
          </c:dPt>
          <c:dPt>
            <c:idx val="10"/>
            <c:invertIfNegative val="0"/>
            <c:bubble3D val="0"/>
            <c:extLst>
              <c:ext xmlns:c16="http://schemas.microsoft.com/office/drawing/2014/chart" uri="{C3380CC4-5D6E-409C-BE32-E72D297353CC}">
                <c16:uniqueId val="{000001F3-9C22-49C7-AC0B-30C491EA6644}"/>
              </c:ext>
            </c:extLst>
          </c:dPt>
          <c:dPt>
            <c:idx val="11"/>
            <c:invertIfNegative val="0"/>
            <c:bubble3D val="0"/>
            <c:extLst>
              <c:ext xmlns:c16="http://schemas.microsoft.com/office/drawing/2014/chart" uri="{C3380CC4-5D6E-409C-BE32-E72D297353CC}">
                <c16:uniqueId val="{000001F5-9C22-49C7-AC0B-30C491EA6644}"/>
              </c:ext>
            </c:extLst>
          </c:dPt>
          <c:dPt>
            <c:idx val="12"/>
            <c:invertIfNegative val="0"/>
            <c:bubble3D val="0"/>
            <c:extLst>
              <c:ext xmlns:c16="http://schemas.microsoft.com/office/drawing/2014/chart" uri="{C3380CC4-5D6E-409C-BE32-E72D297353CC}">
                <c16:uniqueId val="{000001F7-9C22-49C7-AC0B-30C491EA6644}"/>
              </c:ext>
            </c:extLst>
          </c:dPt>
          <c:dPt>
            <c:idx val="13"/>
            <c:invertIfNegative val="0"/>
            <c:bubble3D val="0"/>
            <c:extLst>
              <c:ext xmlns:c16="http://schemas.microsoft.com/office/drawing/2014/chart" uri="{C3380CC4-5D6E-409C-BE32-E72D297353CC}">
                <c16:uniqueId val="{000001F9-9C22-49C7-AC0B-30C491EA6644}"/>
              </c:ext>
            </c:extLst>
          </c:dPt>
          <c:dPt>
            <c:idx val="14"/>
            <c:invertIfNegative val="0"/>
            <c:bubble3D val="0"/>
            <c:extLst>
              <c:ext xmlns:c16="http://schemas.microsoft.com/office/drawing/2014/chart" uri="{C3380CC4-5D6E-409C-BE32-E72D297353CC}">
                <c16:uniqueId val="{000001FB-9C22-49C7-AC0B-30C491EA6644}"/>
              </c:ext>
            </c:extLst>
          </c:dPt>
          <c:dPt>
            <c:idx val="15"/>
            <c:invertIfNegative val="0"/>
            <c:bubble3D val="0"/>
            <c:extLst>
              <c:ext xmlns:c16="http://schemas.microsoft.com/office/drawing/2014/chart" uri="{C3380CC4-5D6E-409C-BE32-E72D297353CC}">
                <c16:uniqueId val="{000001FD-9C22-49C7-AC0B-30C491EA6644}"/>
              </c:ext>
            </c:extLst>
          </c:dPt>
          <c:dPt>
            <c:idx val="16"/>
            <c:invertIfNegative val="0"/>
            <c:bubble3D val="0"/>
            <c:extLst>
              <c:ext xmlns:c16="http://schemas.microsoft.com/office/drawing/2014/chart" uri="{C3380CC4-5D6E-409C-BE32-E72D297353CC}">
                <c16:uniqueId val="{000001FF-9C22-49C7-AC0B-30C491EA6644}"/>
              </c:ext>
            </c:extLst>
          </c:dPt>
          <c:dPt>
            <c:idx val="17"/>
            <c:invertIfNegative val="0"/>
            <c:bubble3D val="0"/>
            <c:extLst>
              <c:ext xmlns:c16="http://schemas.microsoft.com/office/drawing/2014/chart" uri="{C3380CC4-5D6E-409C-BE32-E72D297353CC}">
                <c16:uniqueId val="{00000201-9C22-49C7-AC0B-30C491EA6644}"/>
              </c:ext>
            </c:extLst>
          </c:dPt>
          <c:dPt>
            <c:idx val="18"/>
            <c:invertIfNegative val="0"/>
            <c:bubble3D val="0"/>
            <c:extLst>
              <c:ext xmlns:c16="http://schemas.microsoft.com/office/drawing/2014/chart" uri="{C3380CC4-5D6E-409C-BE32-E72D297353CC}">
                <c16:uniqueId val="{00000203-9C22-49C7-AC0B-30C491EA6644}"/>
              </c:ext>
            </c:extLst>
          </c:dPt>
          <c:dPt>
            <c:idx val="19"/>
            <c:invertIfNegative val="0"/>
            <c:bubble3D val="0"/>
            <c:extLst>
              <c:ext xmlns:c16="http://schemas.microsoft.com/office/drawing/2014/chart" uri="{C3380CC4-5D6E-409C-BE32-E72D297353CC}">
                <c16:uniqueId val="{00000205-9C22-49C7-AC0B-30C491EA6644}"/>
              </c:ext>
            </c:extLst>
          </c:dPt>
          <c:dPt>
            <c:idx val="20"/>
            <c:invertIfNegative val="0"/>
            <c:bubble3D val="0"/>
            <c:extLst>
              <c:ext xmlns:c16="http://schemas.microsoft.com/office/drawing/2014/chart" uri="{C3380CC4-5D6E-409C-BE32-E72D297353CC}">
                <c16:uniqueId val="{00000207-9C22-49C7-AC0B-30C491EA6644}"/>
              </c:ext>
            </c:extLst>
          </c:dPt>
          <c:dPt>
            <c:idx val="21"/>
            <c:invertIfNegative val="0"/>
            <c:bubble3D val="0"/>
            <c:extLst>
              <c:ext xmlns:c16="http://schemas.microsoft.com/office/drawing/2014/chart" uri="{C3380CC4-5D6E-409C-BE32-E72D297353CC}">
                <c16:uniqueId val="{00000209-9C22-49C7-AC0B-30C491EA6644}"/>
              </c:ext>
            </c:extLst>
          </c:dPt>
          <c:dPt>
            <c:idx val="22"/>
            <c:invertIfNegative val="0"/>
            <c:bubble3D val="0"/>
            <c:extLst>
              <c:ext xmlns:c16="http://schemas.microsoft.com/office/drawing/2014/chart" uri="{C3380CC4-5D6E-409C-BE32-E72D297353CC}">
                <c16:uniqueId val="{0000020B-9C22-49C7-AC0B-30C491EA6644}"/>
              </c:ext>
            </c:extLst>
          </c:dPt>
          <c:dPt>
            <c:idx val="23"/>
            <c:invertIfNegative val="0"/>
            <c:bubble3D val="0"/>
            <c:extLst>
              <c:ext xmlns:c16="http://schemas.microsoft.com/office/drawing/2014/chart" uri="{C3380CC4-5D6E-409C-BE32-E72D297353CC}">
                <c16:uniqueId val="{0000020D-9C22-49C7-AC0B-30C491EA6644}"/>
              </c:ext>
            </c:extLst>
          </c:dPt>
          <c:dPt>
            <c:idx val="24"/>
            <c:invertIfNegative val="0"/>
            <c:bubble3D val="0"/>
            <c:extLst>
              <c:ext xmlns:c16="http://schemas.microsoft.com/office/drawing/2014/chart" uri="{C3380CC4-5D6E-409C-BE32-E72D297353CC}">
                <c16:uniqueId val="{0000020F-9C22-49C7-AC0B-30C491EA6644}"/>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Data'!$C$4:$X$4</c:f>
              <c:numCache>
                <c:formatCode>#,##0_ ;\-#,##0\ </c:formatCode>
                <c:ptCount val="22"/>
                <c:pt idx="0">
                  <c:v>4808</c:v>
                </c:pt>
                <c:pt idx="1">
                  <c:v>4808</c:v>
                </c:pt>
                <c:pt idx="2">
                  <c:v>4808</c:v>
                </c:pt>
                <c:pt idx="3">
                  <c:v>4808</c:v>
                </c:pt>
                <c:pt idx="4">
                  <c:v>4808</c:v>
                </c:pt>
                <c:pt idx="5">
                  <c:v>4808</c:v>
                </c:pt>
                <c:pt idx="6">
                  <c:v>4808</c:v>
                </c:pt>
                <c:pt idx="7">
                  <c:v>4808</c:v>
                </c:pt>
                <c:pt idx="8">
                  <c:v>4808</c:v>
                </c:pt>
                <c:pt idx="9">
                  <c:v>4808</c:v>
                </c:pt>
                <c:pt idx="10">
                  <c:v>4808</c:v>
                </c:pt>
                <c:pt idx="11">
                  <c:v>4808</c:v>
                </c:pt>
                <c:pt idx="12">
                  <c:v>4808</c:v>
                </c:pt>
                <c:pt idx="13">
                  <c:v>4808</c:v>
                </c:pt>
                <c:pt idx="14">
                  <c:v>3280</c:v>
                </c:pt>
                <c:pt idx="15">
                  <c:v>3280</c:v>
                </c:pt>
                <c:pt idx="16">
                  <c:v>3280</c:v>
                </c:pt>
                <c:pt idx="17">
                  <c:v>3280</c:v>
                </c:pt>
                <c:pt idx="18">
                  <c:v>3280</c:v>
                </c:pt>
                <c:pt idx="19">
                  <c:v>3280</c:v>
                </c:pt>
                <c:pt idx="20">
                  <c:v>3280</c:v>
                </c:pt>
                <c:pt idx="21">
                  <c:v>3280</c:v>
                </c:pt>
              </c:numCache>
            </c:numRef>
          </c:val>
          <c:extLst>
            <c:ext xmlns:c16="http://schemas.microsoft.com/office/drawing/2014/chart" uri="{C3380CC4-5D6E-409C-BE32-E72D297353CC}">
              <c16:uniqueId val="{00000210-9C22-49C7-AC0B-30C491EA6644}"/>
            </c:ext>
          </c:extLst>
        </c:ser>
        <c:ser>
          <c:idx val="2"/>
          <c:order val="2"/>
          <c:tx>
            <c:strRef>
              <c:f>'NEMInstalledCapacity Data'!$B$5</c:f>
              <c:strCache>
                <c:ptCount val="1"/>
                <c:pt idx="0">
                  <c:v>Hydro</c:v>
                </c:pt>
              </c:strCache>
            </c:strRef>
          </c:tx>
          <c:spPr>
            <a:solidFill>
              <a:srgbClr val="268BAA"/>
            </a:solidFill>
            <a:ln>
              <a:noFill/>
            </a:ln>
            <a:effectLst/>
          </c:spPr>
          <c:invertIfNegative val="0"/>
          <c:dPt>
            <c:idx val="0"/>
            <c:invertIfNegative val="0"/>
            <c:bubble3D val="0"/>
            <c:extLst>
              <c:ext xmlns:c16="http://schemas.microsoft.com/office/drawing/2014/chart" uri="{C3380CC4-5D6E-409C-BE32-E72D297353CC}">
                <c16:uniqueId val="{00000213-9C22-49C7-AC0B-30C491EA6644}"/>
              </c:ext>
            </c:extLst>
          </c:dPt>
          <c:dPt>
            <c:idx val="1"/>
            <c:invertIfNegative val="0"/>
            <c:bubble3D val="0"/>
            <c:extLst>
              <c:ext xmlns:c16="http://schemas.microsoft.com/office/drawing/2014/chart" uri="{C3380CC4-5D6E-409C-BE32-E72D297353CC}">
                <c16:uniqueId val="{00000215-9C22-49C7-AC0B-30C491EA6644}"/>
              </c:ext>
            </c:extLst>
          </c:dPt>
          <c:dPt>
            <c:idx val="2"/>
            <c:invertIfNegative val="0"/>
            <c:bubble3D val="0"/>
            <c:extLst>
              <c:ext xmlns:c16="http://schemas.microsoft.com/office/drawing/2014/chart" uri="{C3380CC4-5D6E-409C-BE32-E72D297353CC}">
                <c16:uniqueId val="{00000217-9C22-49C7-AC0B-30C491EA6644}"/>
              </c:ext>
            </c:extLst>
          </c:dPt>
          <c:dPt>
            <c:idx val="3"/>
            <c:invertIfNegative val="0"/>
            <c:bubble3D val="0"/>
            <c:extLst>
              <c:ext xmlns:c16="http://schemas.microsoft.com/office/drawing/2014/chart" uri="{C3380CC4-5D6E-409C-BE32-E72D297353CC}">
                <c16:uniqueId val="{00000219-9C22-49C7-AC0B-30C491EA6644}"/>
              </c:ext>
            </c:extLst>
          </c:dPt>
          <c:dPt>
            <c:idx val="4"/>
            <c:invertIfNegative val="0"/>
            <c:bubble3D val="0"/>
            <c:extLst>
              <c:ext xmlns:c16="http://schemas.microsoft.com/office/drawing/2014/chart" uri="{C3380CC4-5D6E-409C-BE32-E72D297353CC}">
                <c16:uniqueId val="{0000021B-9C22-49C7-AC0B-30C491EA6644}"/>
              </c:ext>
            </c:extLst>
          </c:dPt>
          <c:dPt>
            <c:idx val="5"/>
            <c:invertIfNegative val="0"/>
            <c:bubble3D val="0"/>
            <c:extLst>
              <c:ext xmlns:c16="http://schemas.microsoft.com/office/drawing/2014/chart" uri="{C3380CC4-5D6E-409C-BE32-E72D297353CC}">
                <c16:uniqueId val="{0000021D-9C22-49C7-AC0B-30C491EA6644}"/>
              </c:ext>
            </c:extLst>
          </c:dPt>
          <c:dPt>
            <c:idx val="6"/>
            <c:invertIfNegative val="0"/>
            <c:bubble3D val="0"/>
            <c:extLst>
              <c:ext xmlns:c16="http://schemas.microsoft.com/office/drawing/2014/chart" uri="{C3380CC4-5D6E-409C-BE32-E72D297353CC}">
                <c16:uniqueId val="{0000021F-9C22-49C7-AC0B-30C491EA6644}"/>
              </c:ext>
            </c:extLst>
          </c:dPt>
          <c:dPt>
            <c:idx val="7"/>
            <c:invertIfNegative val="0"/>
            <c:bubble3D val="0"/>
            <c:extLst>
              <c:ext xmlns:c16="http://schemas.microsoft.com/office/drawing/2014/chart" uri="{C3380CC4-5D6E-409C-BE32-E72D297353CC}">
                <c16:uniqueId val="{00000221-9C22-49C7-AC0B-30C491EA6644}"/>
              </c:ext>
            </c:extLst>
          </c:dPt>
          <c:dPt>
            <c:idx val="8"/>
            <c:invertIfNegative val="0"/>
            <c:bubble3D val="0"/>
            <c:extLst>
              <c:ext xmlns:c16="http://schemas.microsoft.com/office/drawing/2014/chart" uri="{C3380CC4-5D6E-409C-BE32-E72D297353CC}">
                <c16:uniqueId val="{00000223-9C22-49C7-AC0B-30C491EA6644}"/>
              </c:ext>
            </c:extLst>
          </c:dPt>
          <c:dPt>
            <c:idx val="9"/>
            <c:invertIfNegative val="0"/>
            <c:bubble3D val="0"/>
            <c:extLst>
              <c:ext xmlns:c16="http://schemas.microsoft.com/office/drawing/2014/chart" uri="{C3380CC4-5D6E-409C-BE32-E72D297353CC}">
                <c16:uniqueId val="{00000225-9C22-49C7-AC0B-30C491EA6644}"/>
              </c:ext>
            </c:extLst>
          </c:dPt>
          <c:dPt>
            <c:idx val="10"/>
            <c:invertIfNegative val="0"/>
            <c:bubble3D val="0"/>
            <c:extLst>
              <c:ext xmlns:c16="http://schemas.microsoft.com/office/drawing/2014/chart" uri="{C3380CC4-5D6E-409C-BE32-E72D297353CC}">
                <c16:uniqueId val="{00000227-9C22-49C7-AC0B-30C491EA6644}"/>
              </c:ext>
            </c:extLst>
          </c:dPt>
          <c:dPt>
            <c:idx val="11"/>
            <c:invertIfNegative val="0"/>
            <c:bubble3D val="0"/>
            <c:extLst>
              <c:ext xmlns:c16="http://schemas.microsoft.com/office/drawing/2014/chart" uri="{C3380CC4-5D6E-409C-BE32-E72D297353CC}">
                <c16:uniqueId val="{00000229-9C22-49C7-AC0B-30C491EA6644}"/>
              </c:ext>
            </c:extLst>
          </c:dPt>
          <c:dPt>
            <c:idx val="12"/>
            <c:invertIfNegative val="0"/>
            <c:bubble3D val="0"/>
            <c:extLst>
              <c:ext xmlns:c16="http://schemas.microsoft.com/office/drawing/2014/chart" uri="{C3380CC4-5D6E-409C-BE32-E72D297353CC}">
                <c16:uniqueId val="{0000022B-9C22-49C7-AC0B-30C491EA6644}"/>
              </c:ext>
            </c:extLst>
          </c:dPt>
          <c:dPt>
            <c:idx val="13"/>
            <c:invertIfNegative val="0"/>
            <c:bubble3D val="0"/>
            <c:extLst>
              <c:ext xmlns:c16="http://schemas.microsoft.com/office/drawing/2014/chart" uri="{C3380CC4-5D6E-409C-BE32-E72D297353CC}">
                <c16:uniqueId val="{0000022D-9C22-49C7-AC0B-30C491EA6644}"/>
              </c:ext>
            </c:extLst>
          </c:dPt>
          <c:dPt>
            <c:idx val="14"/>
            <c:invertIfNegative val="0"/>
            <c:bubble3D val="0"/>
            <c:extLst>
              <c:ext xmlns:c16="http://schemas.microsoft.com/office/drawing/2014/chart" uri="{C3380CC4-5D6E-409C-BE32-E72D297353CC}">
                <c16:uniqueId val="{0000022F-9C22-49C7-AC0B-30C491EA6644}"/>
              </c:ext>
            </c:extLst>
          </c:dPt>
          <c:dPt>
            <c:idx val="15"/>
            <c:invertIfNegative val="0"/>
            <c:bubble3D val="0"/>
            <c:extLst>
              <c:ext xmlns:c16="http://schemas.microsoft.com/office/drawing/2014/chart" uri="{C3380CC4-5D6E-409C-BE32-E72D297353CC}">
                <c16:uniqueId val="{00000231-9C22-49C7-AC0B-30C491EA6644}"/>
              </c:ext>
            </c:extLst>
          </c:dPt>
          <c:dPt>
            <c:idx val="16"/>
            <c:invertIfNegative val="0"/>
            <c:bubble3D val="0"/>
            <c:extLst>
              <c:ext xmlns:c16="http://schemas.microsoft.com/office/drawing/2014/chart" uri="{C3380CC4-5D6E-409C-BE32-E72D297353CC}">
                <c16:uniqueId val="{00000233-9C22-49C7-AC0B-30C491EA6644}"/>
              </c:ext>
            </c:extLst>
          </c:dPt>
          <c:dPt>
            <c:idx val="17"/>
            <c:invertIfNegative val="0"/>
            <c:bubble3D val="0"/>
            <c:extLst>
              <c:ext xmlns:c16="http://schemas.microsoft.com/office/drawing/2014/chart" uri="{C3380CC4-5D6E-409C-BE32-E72D297353CC}">
                <c16:uniqueId val="{00000235-9C22-49C7-AC0B-30C491EA6644}"/>
              </c:ext>
            </c:extLst>
          </c:dPt>
          <c:dPt>
            <c:idx val="18"/>
            <c:invertIfNegative val="0"/>
            <c:bubble3D val="0"/>
            <c:extLst>
              <c:ext xmlns:c16="http://schemas.microsoft.com/office/drawing/2014/chart" uri="{C3380CC4-5D6E-409C-BE32-E72D297353CC}">
                <c16:uniqueId val="{00000237-9C22-49C7-AC0B-30C491EA6644}"/>
              </c:ext>
            </c:extLst>
          </c:dPt>
          <c:dPt>
            <c:idx val="19"/>
            <c:invertIfNegative val="0"/>
            <c:bubble3D val="0"/>
            <c:extLst>
              <c:ext xmlns:c16="http://schemas.microsoft.com/office/drawing/2014/chart" uri="{C3380CC4-5D6E-409C-BE32-E72D297353CC}">
                <c16:uniqueId val="{00000239-9C22-49C7-AC0B-30C491EA6644}"/>
              </c:ext>
            </c:extLst>
          </c:dPt>
          <c:dPt>
            <c:idx val="20"/>
            <c:invertIfNegative val="0"/>
            <c:bubble3D val="0"/>
            <c:extLst>
              <c:ext xmlns:c16="http://schemas.microsoft.com/office/drawing/2014/chart" uri="{C3380CC4-5D6E-409C-BE32-E72D297353CC}">
                <c16:uniqueId val="{0000023B-9C22-49C7-AC0B-30C491EA6644}"/>
              </c:ext>
            </c:extLst>
          </c:dPt>
          <c:dPt>
            <c:idx val="21"/>
            <c:invertIfNegative val="0"/>
            <c:bubble3D val="0"/>
            <c:extLst>
              <c:ext xmlns:c16="http://schemas.microsoft.com/office/drawing/2014/chart" uri="{C3380CC4-5D6E-409C-BE32-E72D297353CC}">
                <c16:uniqueId val="{0000023D-9C22-49C7-AC0B-30C491EA6644}"/>
              </c:ext>
            </c:extLst>
          </c:dPt>
          <c:dPt>
            <c:idx val="22"/>
            <c:invertIfNegative val="0"/>
            <c:bubble3D val="0"/>
            <c:extLst>
              <c:ext xmlns:c16="http://schemas.microsoft.com/office/drawing/2014/chart" uri="{C3380CC4-5D6E-409C-BE32-E72D297353CC}">
                <c16:uniqueId val="{0000023F-9C22-49C7-AC0B-30C491EA6644}"/>
              </c:ext>
            </c:extLst>
          </c:dPt>
          <c:dPt>
            <c:idx val="23"/>
            <c:invertIfNegative val="0"/>
            <c:bubble3D val="0"/>
            <c:extLst>
              <c:ext xmlns:c16="http://schemas.microsoft.com/office/drawing/2014/chart" uri="{C3380CC4-5D6E-409C-BE32-E72D297353CC}">
                <c16:uniqueId val="{00000241-9C22-49C7-AC0B-30C491EA6644}"/>
              </c:ext>
            </c:extLst>
          </c:dPt>
          <c:dPt>
            <c:idx val="24"/>
            <c:invertIfNegative val="0"/>
            <c:bubble3D val="0"/>
            <c:extLst>
              <c:ext xmlns:c16="http://schemas.microsoft.com/office/drawing/2014/chart" uri="{C3380CC4-5D6E-409C-BE32-E72D297353CC}">
                <c16:uniqueId val="{00000243-9C22-49C7-AC0B-30C491EA6644}"/>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Data'!$C$5:$X$5</c:f>
              <c:numCache>
                <c:formatCode>#,##0_ ;\-#,##0\ </c:formatCode>
                <c:ptCount val="22"/>
                <c:pt idx="0">
                  <c:v>5364</c:v>
                </c:pt>
                <c:pt idx="1">
                  <c:v>5364</c:v>
                </c:pt>
                <c:pt idx="2">
                  <c:v>5364</c:v>
                </c:pt>
                <c:pt idx="3">
                  <c:v>5364</c:v>
                </c:pt>
                <c:pt idx="4">
                  <c:v>5364</c:v>
                </c:pt>
                <c:pt idx="5">
                  <c:v>5364</c:v>
                </c:pt>
                <c:pt idx="6">
                  <c:v>5364</c:v>
                </c:pt>
                <c:pt idx="7">
                  <c:v>5364</c:v>
                </c:pt>
                <c:pt idx="8">
                  <c:v>5364</c:v>
                </c:pt>
                <c:pt idx="9">
                  <c:v>5364</c:v>
                </c:pt>
                <c:pt idx="10">
                  <c:v>5364</c:v>
                </c:pt>
                <c:pt idx="11">
                  <c:v>5364</c:v>
                </c:pt>
                <c:pt idx="12">
                  <c:v>5364</c:v>
                </c:pt>
                <c:pt idx="13">
                  <c:v>5364</c:v>
                </c:pt>
                <c:pt idx="14">
                  <c:v>5364</c:v>
                </c:pt>
                <c:pt idx="15">
                  <c:v>5364</c:v>
                </c:pt>
                <c:pt idx="16">
                  <c:v>5364</c:v>
                </c:pt>
                <c:pt idx="17">
                  <c:v>5364</c:v>
                </c:pt>
                <c:pt idx="18">
                  <c:v>5364</c:v>
                </c:pt>
                <c:pt idx="19">
                  <c:v>5364</c:v>
                </c:pt>
                <c:pt idx="20">
                  <c:v>5364</c:v>
                </c:pt>
                <c:pt idx="21">
                  <c:v>5364</c:v>
                </c:pt>
              </c:numCache>
            </c:numRef>
          </c:val>
          <c:extLst>
            <c:ext xmlns:c16="http://schemas.microsoft.com/office/drawing/2014/chart" uri="{C3380CC4-5D6E-409C-BE32-E72D297353CC}">
              <c16:uniqueId val="{00000244-9C22-49C7-AC0B-30C491EA6644}"/>
            </c:ext>
          </c:extLst>
        </c:ser>
        <c:ser>
          <c:idx val="3"/>
          <c:order val="3"/>
          <c:tx>
            <c:strRef>
              <c:f>'NEMInstalledCapacity Data'!$B$6</c:f>
              <c:strCache>
                <c:ptCount val="1"/>
                <c:pt idx="0">
                  <c:v>CCGT</c:v>
                </c:pt>
              </c:strCache>
            </c:strRef>
          </c:tx>
          <c:spPr>
            <a:solidFill>
              <a:srgbClr val="A6A6A6"/>
            </a:solidFill>
            <a:ln>
              <a:noFill/>
            </a:ln>
            <a:effectLst/>
          </c:spPr>
          <c:invertIfNegative val="0"/>
          <c:dPt>
            <c:idx val="0"/>
            <c:invertIfNegative val="0"/>
            <c:bubble3D val="0"/>
            <c:extLst>
              <c:ext xmlns:c16="http://schemas.microsoft.com/office/drawing/2014/chart" uri="{C3380CC4-5D6E-409C-BE32-E72D297353CC}">
                <c16:uniqueId val="{00000246-9C22-49C7-AC0B-30C491EA6644}"/>
              </c:ext>
            </c:extLst>
          </c:dPt>
          <c:dPt>
            <c:idx val="1"/>
            <c:invertIfNegative val="0"/>
            <c:bubble3D val="0"/>
            <c:extLst>
              <c:ext xmlns:c16="http://schemas.microsoft.com/office/drawing/2014/chart" uri="{C3380CC4-5D6E-409C-BE32-E72D297353CC}">
                <c16:uniqueId val="{00000247-9C22-49C7-AC0B-30C491EA6644}"/>
              </c:ext>
            </c:extLst>
          </c:dPt>
          <c:dPt>
            <c:idx val="2"/>
            <c:invertIfNegative val="0"/>
            <c:bubble3D val="0"/>
            <c:extLst>
              <c:ext xmlns:c16="http://schemas.microsoft.com/office/drawing/2014/chart" uri="{C3380CC4-5D6E-409C-BE32-E72D297353CC}">
                <c16:uniqueId val="{00000248-9C22-49C7-AC0B-30C491EA6644}"/>
              </c:ext>
            </c:extLst>
          </c:dPt>
          <c:dPt>
            <c:idx val="3"/>
            <c:invertIfNegative val="0"/>
            <c:bubble3D val="0"/>
            <c:extLst>
              <c:ext xmlns:c16="http://schemas.microsoft.com/office/drawing/2014/chart" uri="{C3380CC4-5D6E-409C-BE32-E72D297353CC}">
                <c16:uniqueId val="{00000249-9C22-49C7-AC0B-30C491EA6644}"/>
              </c:ext>
            </c:extLst>
          </c:dPt>
          <c:dPt>
            <c:idx val="4"/>
            <c:invertIfNegative val="0"/>
            <c:bubble3D val="0"/>
            <c:extLst>
              <c:ext xmlns:c16="http://schemas.microsoft.com/office/drawing/2014/chart" uri="{C3380CC4-5D6E-409C-BE32-E72D297353CC}">
                <c16:uniqueId val="{0000024A-9C22-49C7-AC0B-30C491EA6644}"/>
              </c:ext>
            </c:extLst>
          </c:dPt>
          <c:dPt>
            <c:idx val="5"/>
            <c:invertIfNegative val="0"/>
            <c:bubble3D val="0"/>
            <c:extLst>
              <c:ext xmlns:c16="http://schemas.microsoft.com/office/drawing/2014/chart" uri="{C3380CC4-5D6E-409C-BE32-E72D297353CC}">
                <c16:uniqueId val="{0000024B-9C22-49C7-AC0B-30C491EA6644}"/>
              </c:ext>
            </c:extLst>
          </c:dPt>
          <c:dPt>
            <c:idx val="6"/>
            <c:invertIfNegative val="0"/>
            <c:bubble3D val="0"/>
            <c:extLst>
              <c:ext xmlns:c16="http://schemas.microsoft.com/office/drawing/2014/chart" uri="{C3380CC4-5D6E-409C-BE32-E72D297353CC}">
                <c16:uniqueId val="{0000024C-9C22-49C7-AC0B-30C491EA6644}"/>
              </c:ext>
            </c:extLst>
          </c:dPt>
          <c:dPt>
            <c:idx val="7"/>
            <c:invertIfNegative val="0"/>
            <c:bubble3D val="0"/>
            <c:extLst>
              <c:ext xmlns:c16="http://schemas.microsoft.com/office/drawing/2014/chart" uri="{C3380CC4-5D6E-409C-BE32-E72D297353CC}">
                <c16:uniqueId val="{0000024D-9C22-49C7-AC0B-30C491EA6644}"/>
              </c:ext>
            </c:extLst>
          </c:dPt>
          <c:dPt>
            <c:idx val="8"/>
            <c:invertIfNegative val="0"/>
            <c:bubble3D val="0"/>
            <c:extLst>
              <c:ext xmlns:c16="http://schemas.microsoft.com/office/drawing/2014/chart" uri="{C3380CC4-5D6E-409C-BE32-E72D297353CC}">
                <c16:uniqueId val="{0000024E-9C22-49C7-AC0B-30C491EA6644}"/>
              </c:ext>
            </c:extLst>
          </c:dPt>
          <c:dPt>
            <c:idx val="9"/>
            <c:invertIfNegative val="0"/>
            <c:bubble3D val="0"/>
            <c:extLst>
              <c:ext xmlns:c16="http://schemas.microsoft.com/office/drawing/2014/chart" uri="{C3380CC4-5D6E-409C-BE32-E72D297353CC}">
                <c16:uniqueId val="{0000024F-9C22-49C7-AC0B-30C491EA6644}"/>
              </c:ext>
            </c:extLst>
          </c:dPt>
          <c:dPt>
            <c:idx val="10"/>
            <c:invertIfNegative val="0"/>
            <c:bubble3D val="0"/>
            <c:extLst>
              <c:ext xmlns:c16="http://schemas.microsoft.com/office/drawing/2014/chart" uri="{C3380CC4-5D6E-409C-BE32-E72D297353CC}">
                <c16:uniqueId val="{00000250-9C22-49C7-AC0B-30C491EA6644}"/>
              </c:ext>
            </c:extLst>
          </c:dPt>
          <c:dPt>
            <c:idx val="11"/>
            <c:invertIfNegative val="0"/>
            <c:bubble3D val="0"/>
            <c:extLst>
              <c:ext xmlns:c16="http://schemas.microsoft.com/office/drawing/2014/chart" uri="{C3380CC4-5D6E-409C-BE32-E72D297353CC}">
                <c16:uniqueId val="{00000251-9C22-49C7-AC0B-30C491EA6644}"/>
              </c:ext>
            </c:extLst>
          </c:dPt>
          <c:dPt>
            <c:idx val="12"/>
            <c:invertIfNegative val="0"/>
            <c:bubble3D val="0"/>
            <c:extLst>
              <c:ext xmlns:c16="http://schemas.microsoft.com/office/drawing/2014/chart" uri="{C3380CC4-5D6E-409C-BE32-E72D297353CC}">
                <c16:uniqueId val="{00000252-9C22-49C7-AC0B-30C491EA6644}"/>
              </c:ext>
            </c:extLst>
          </c:dPt>
          <c:dPt>
            <c:idx val="13"/>
            <c:invertIfNegative val="0"/>
            <c:bubble3D val="0"/>
            <c:extLst>
              <c:ext xmlns:c16="http://schemas.microsoft.com/office/drawing/2014/chart" uri="{C3380CC4-5D6E-409C-BE32-E72D297353CC}">
                <c16:uniqueId val="{00000253-9C22-49C7-AC0B-30C491EA6644}"/>
              </c:ext>
            </c:extLst>
          </c:dPt>
          <c:dPt>
            <c:idx val="14"/>
            <c:invertIfNegative val="0"/>
            <c:bubble3D val="0"/>
            <c:extLst>
              <c:ext xmlns:c16="http://schemas.microsoft.com/office/drawing/2014/chart" uri="{C3380CC4-5D6E-409C-BE32-E72D297353CC}">
                <c16:uniqueId val="{00000254-9C22-49C7-AC0B-30C491EA6644}"/>
              </c:ext>
            </c:extLst>
          </c:dPt>
          <c:dPt>
            <c:idx val="15"/>
            <c:invertIfNegative val="0"/>
            <c:bubble3D val="0"/>
            <c:extLst>
              <c:ext xmlns:c16="http://schemas.microsoft.com/office/drawing/2014/chart" uri="{C3380CC4-5D6E-409C-BE32-E72D297353CC}">
                <c16:uniqueId val="{00000255-9C22-49C7-AC0B-30C491EA6644}"/>
              </c:ext>
            </c:extLst>
          </c:dPt>
          <c:dPt>
            <c:idx val="16"/>
            <c:invertIfNegative val="0"/>
            <c:bubble3D val="0"/>
            <c:extLst>
              <c:ext xmlns:c16="http://schemas.microsoft.com/office/drawing/2014/chart" uri="{C3380CC4-5D6E-409C-BE32-E72D297353CC}">
                <c16:uniqueId val="{00000256-9C22-49C7-AC0B-30C491EA6644}"/>
              </c:ext>
            </c:extLst>
          </c:dPt>
          <c:dPt>
            <c:idx val="17"/>
            <c:invertIfNegative val="0"/>
            <c:bubble3D val="0"/>
            <c:extLst>
              <c:ext xmlns:c16="http://schemas.microsoft.com/office/drawing/2014/chart" uri="{C3380CC4-5D6E-409C-BE32-E72D297353CC}">
                <c16:uniqueId val="{00000257-9C22-49C7-AC0B-30C491EA6644}"/>
              </c:ext>
            </c:extLst>
          </c:dPt>
          <c:dPt>
            <c:idx val="18"/>
            <c:invertIfNegative val="0"/>
            <c:bubble3D val="0"/>
            <c:extLst>
              <c:ext xmlns:c16="http://schemas.microsoft.com/office/drawing/2014/chart" uri="{C3380CC4-5D6E-409C-BE32-E72D297353CC}">
                <c16:uniqueId val="{00000258-9C22-49C7-AC0B-30C491EA6644}"/>
              </c:ext>
            </c:extLst>
          </c:dPt>
          <c:dPt>
            <c:idx val="19"/>
            <c:invertIfNegative val="0"/>
            <c:bubble3D val="0"/>
            <c:extLst>
              <c:ext xmlns:c16="http://schemas.microsoft.com/office/drawing/2014/chart" uri="{C3380CC4-5D6E-409C-BE32-E72D297353CC}">
                <c16:uniqueId val="{00000259-9C22-49C7-AC0B-30C491EA6644}"/>
              </c:ext>
            </c:extLst>
          </c:dPt>
          <c:dPt>
            <c:idx val="20"/>
            <c:invertIfNegative val="0"/>
            <c:bubble3D val="0"/>
            <c:extLst>
              <c:ext xmlns:c16="http://schemas.microsoft.com/office/drawing/2014/chart" uri="{C3380CC4-5D6E-409C-BE32-E72D297353CC}">
                <c16:uniqueId val="{0000025A-9C22-49C7-AC0B-30C491EA6644}"/>
              </c:ext>
            </c:extLst>
          </c:dPt>
          <c:dPt>
            <c:idx val="21"/>
            <c:invertIfNegative val="0"/>
            <c:bubble3D val="0"/>
            <c:extLst>
              <c:ext xmlns:c16="http://schemas.microsoft.com/office/drawing/2014/chart" uri="{C3380CC4-5D6E-409C-BE32-E72D297353CC}">
                <c16:uniqueId val="{0000025B-9C22-49C7-AC0B-30C491EA6644}"/>
              </c:ext>
            </c:extLst>
          </c:dPt>
          <c:dPt>
            <c:idx val="22"/>
            <c:invertIfNegative val="0"/>
            <c:bubble3D val="0"/>
            <c:extLst>
              <c:ext xmlns:c16="http://schemas.microsoft.com/office/drawing/2014/chart" uri="{C3380CC4-5D6E-409C-BE32-E72D297353CC}">
                <c16:uniqueId val="{0000025C-9C22-49C7-AC0B-30C491EA6644}"/>
              </c:ext>
            </c:extLst>
          </c:dPt>
          <c:dPt>
            <c:idx val="23"/>
            <c:invertIfNegative val="0"/>
            <c:bubble3D val="0"/>
            <c:extLst>
              <c:ext xmlns:c16="http://schemas.microsoft.com/office/drawing/2014/chart" uri="{C3380CC4-5D6E-409C-BE32-E72D297353CC}">
                <c16:uniqueId val="{0000025D-9C22-49C7-AC0B-30C491EA6644}"/>
              </c:ext>
            </c:extLst>
          </c:dPt>
          <c:dPt>
            <c:idx val="24"/>
            <c:invertIfNegative val="0"/>
            <c:bubble3D val="0"/>
            <c:extLst>
              <c:ext xmlns:c16="http://schemas.microsoft.com/office/drawing/2014/chart" uri="{C3380CC4-5D6E-409C-BE32-E72D297353CC}">
                <c16:uniqueId val="{0000025E-9C22-49C7-AC0B-30C491EA6644}"/>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Data'!$C$6:$X$6</c:f>
              <c:numCache>
                <c:formatCode>#,##0_ ;\-#,##0\ </c:formatCode>
                <c:ptCount val="22"/>
                <c:pt idx="0">
                  <c:v>4111</c:v>
                </c:pt>
                <c:pt idx="1">
                  <c:v>4111</c:v>
                </c:pt>
                <c:pt idx="2">
                  <c:v>4111</c:v>
                </c:pt>
                <c:pt idx="3">
                  <c:v>4111</c:v>
                </c:pt>
                <c:pt idx="4">
                  <c:v>4111</c:v>
                </c:pt>
                <c:pt idx="5">
                  <c:v>4111</c:v>
                </c:pt>
                <c:pt idx="6">
                  <c:v>2649</c:v>
                </c:pt>
                <c:pt idx="7">
                  <c:v>2649</c:v>
                </c:pt>
                <c:pt idx="8">
                  <c:v>2649</c:v>
                </c:pt>
                <c:pt idx="9">
                  <c:v>2649</c:v>
                </c:pt>
                <c:pt idx="10">
                  <c:v>2649</c:v>
                </c:pt>
                <c:pt idx="11">
                  <c:v>2649</c:v>
                </c:pt>
                <c:pt idx="12">
                  <c:v>2649</c:v>
                </c:pt>
                <c:pt idx="13">
                  <c:v>2139</c:v>
                </c:pt>
                <c:pt idx="14">
                  <c:v>2139</c:v>
                </c:pt>
                <c:pt idx="15">
                  <c:v>2139</c:v>
                </c:pt>
                <c:pt idx="16">
                  <c:v>2139</c:v>
                </c:pt>
                <c:pt idx="17">
                  <c:v>2139</c:v>
                </c:pt>
                <c:pt idx="18">
                  <c:v>2139</c:v>
                </c:pt>
                <c:pt idx="19">
                  <c:v>2139</c:v>
                </c:pt>
                <c:pt idx="20">
                  <c:v>2139</c:v>
                </c:pt>
                <c:pt idx="21">
                  <c:v>2139</c:v>
                </c:pt>
              </c:numCache>
            </c:numRef>
          </c:val>
          <c:extLst>
            <c:ext xmlns:c16="http://schemas.microsoft.com/office/drawing/2014/chart" uri="{C3380CC4-5D6E-409C-BE32-E72D297353CC}">
              <c16:uniqueId val="{0000025F-9C22-49C7-AC0B-30C491EA6644}"/>
            </c:ext>
          </c:extLst>
        </c:ser>
        <c:ser>
          <c:idx val="4"/>
          <c:order val="4"/>
          <c:tx>
            <c:strRef>
              <c:f>'NEMInstalledCapacity Data'!$B$7</c:f>
              <c:strCache>
                <c:ptCount val="1"/>
                <c:pt idx="0">
                  <c:v>Peaking gas + liquids</c:v>
                </c:pt>
              </c:strCache>
            </c:strRef>
          </c:tx>
          <c:spPr>
            <a:solidFill>
              <a:srgbClr val="C41230"/>
            </a:solidFill>
            <a:ln>
              <a:noFill/>
            </a:ln>
            <a:effectLst/>
          </c:spPr>
          <c:invertIfNegative val="0"/>
          <c:dPt>
            <c:idx val="0"/>
            <c:invertIfNegative val="0"/>
            <c:bubble3D val="0"/>
            <c:extLst>
              <c:ext xmlns:c16="http://schemas.microsoft.com/office/drawing/2014/chart" uri="{C3380CC4-5D6E-409C-BE32-E72D297353CC}">
                <c16:uniqueId val="{00000262-9C22-49C7-AC0B-30C491EA6644}"/>
              </c:ext>
            </c:extLst>
          </c:dPt>
          <c:dPt>
            <c:idx val="1"/>
            <c:invertIfNegative val="0"/>
            <c:bubble3D val="0"/>
            <c:extLst>
              <c:ext xmlns:c16="http://schemas.microsoft.com/office/drawing/2014/chart" uri="{C3380CC4-5D6E-409C-BE32-E72D297353CC}">
                <c16:uniqueId val="{00000264-9C22-49C7-AC0B-30C491EA6644}"/>
              </c:ext>
            </c:extLst>
          </c:dPt>
          <c:dPt>
            <c:idx val="2"/>
            <c:invertIfNegative val="0"/>
            <c:bubble3D val="0"/>
            <c:extLst>
              <c:ext xmlns:c16="http://schemas.microsoft.com/office/drawing/2014/chart" uri="{C3380CC4-5D6E-409C-BE32-E72D297353CC}">
                <c16:uniqueId val="{00000266-9C22-49C7-AC0B-30C491EA6644}"/>
              </c:ext>
            </c:extLst>
          </c:dPt>
          <c:dPt>
            <c:idx val="3"/>
            <c:invertIfNegative val="0"/>
            <c:bubble3D val="0"/>
            <c:extLst>
              <c:ext xmlns:c16="http://schemas.microsoft.com/office/drawing/2014/chart" uri="{C3380CC4-5D6E-409C-BE32-E72D297353CC}">
                <c16:uniqueId val="{00000268-9C22-49C7-AC0B-30C491EA6644}"/>
              </c:ext>
            </c:extLst>
          </c:dPt>
          <c:dPt>
            <c:idx val="4"/>
            <c:invertIfNegative val="0"/>
            <c:bubble3D val="0"/>
            <c:extLst>
              <c:ext xmlns:c16="http://schemas.microsoft.com/office/drawing/2014/chart" uri="{C3380CC4-5D6E-409C-BE32-E72D297353CC}">
                <c16:uniqueId val="{0000026A-9C22-49C7-AC0B-30C491EA6644}"/>
              </c:ext>
            </c:extLst>
          </c:dPt>
          <c:dPt>
            <c:idx val="5"/>
            <c:invertIfNegative val="0"/>
            <c:bubble3D val="0"/>
            <c:extLst>
              <c:ext xmlns:c16="http://schemas.microsoft.com/office/drawing/2014/chart" uri="{C3380CC4-5D6E-409C-BE32-E72D297353CC}">
                <c16:uniqueId val="{0000026C-9C22-49C7-AC0B-30C491EA6644}"/>
              </c:ext>
            </c:extLst>
          </c:dPt>
          <c:dPt>
            <c:idx val="6"/>
            <c:invertIfNegative val="0"/>
            <c:bubble3D val="0"/>
            <c:extLst>
              <c:ext xmlns:c16="http://schemas.microsoft.com/office/drawing/2014/chart" uri="{C3380CC4-5D6E-409C-BE32-E72D297353CC}">
                <c16:uniqueId val="{0000026E-9C22-49C7-AC0B-30C491EA6644}"/>
              </c:ext>
            </c:extLst>
          </c:dPt>
          <c:dPt>
            <c:idx val="7"/>
            <c:invertIfNegative val="0"/>
            <c:bubble3D val="0"/>
            <c:extLst>
              <c:ext xmlns:c16="http://schemas.microsoft.com/office/drawing/2014/chart" uri="{C3380CC4-5D6E-409C-BE32-E72D297353CC}">
                <c16:uniqueId val="{00000270-9C22-49C7-AC0B-30C491EA6644}"/>
              </c:ext>
            </c:extLst>
          </c:dPt>
          <c:dPt>
            <c:idx val="8"/>
            <c:invertIfNegative val="0"/>
            <c:bubble3D val="0"/>
            <c:extLst>
              <c:ext xmlns:c16="http://schemas.microsoft.com/office/drawing/2014/chart" uri="{C3380CC4-5D6E-409C-BE32-E72D297353CC}">
                <c16:uniqueId val="{00000272-9C22-49C7-AC0B-30C491EA6644}"/>
              </c:ext>
            </c:extLst>
          </c:dPt>
          <c:dPt>
            <c:idx val="9"/>
            <c:invertIfNegative val="0"/>
            <c:bubble3D val="0"/>
            <c:extLst>
              <c:ext xmlns:c16="http://schemas.microsoft.com/office/drawing/2014/chart" uri="{C3380CC4-5D6E-409C-BE32-E72D297353CC}">
                <c16:uniqueId val="{00000274-9C22-49C7-AC0B-30C491EA6644}"/>
              </c:ext>
            </c:extLst>
          </c:dPt>
          <c:dPt>
            <c:idx val="10"/>
            <c:invertIfNegative val="0"/>
            <c:bubble3D val="0"/>
            <c:extLst>
              <c:ext xmlns:c16="http://schemas.microsoft.com/office/drawing/2014/chart" uri="{C3380CC4-5D6E-409C-BE32-E72D297353CC}">
                <c16:uniqueId val="{00000276-9C22-49C7-AC0B-30C491EA6644}"/>
              </c:ext>
            </c:extLst>
          </c:dPt>
          <c:dPt>
            <c:idx val="11"/>
            <c:invertIfNegative val="0"/>
            <c:bubble3D val="0"/>
            <c:extLst>
              <c:ext xmlns:c16="http://schemas.microsoft.com/office/drawing/2014/chart" uri="{C3380CC4-5D6E-409C-BE32-E72D297353CC}">
                <c16:uniqueId val="{00000278-9C22-49C7-AC0B-30C491EA6644}"/>
              </c:ext>
            </c:extLst>
          </c:dPt>
          <c:dPt>
            <c:idx val="12"/>
            <c:invertIfNegative val="0"/>
            <c:bubble3D val="0"/>
            <c:extLst>
              <c:ext xmlns:c16="http://schemas.microsoft.com/office/drawing/2014/chart" uri="{C3380CC4-5D6E-409C-BE32-E72D297353CC}">
                <c16:uniqueId val="{0000027A-9C22-49C7-AC0B-30C491EA6644}"/>
              </c:ext>
            </c:extLst>
          </c:dPt>
          <c:dPt>
            <c:idx val="13"/>
            <c:invertIfNegative val="0"/>
            <c:bubble3D val="0"/>
            <c:extLst>
              <c:ext xmlns:c16="http://schemas.microsoft.com/office/drawing/2014/chart" uri="{C3380CC4-5D6E-409C-BE32-E72D297353CC}">
                <c16:uniqueId val="{0000027C-9C22-49C7-AC0B-30C491EA6644}"/>
              </c:ext>
            </c:extLst>
          </c:dPt>
          <c:dPt>
            <c:idx val="14"/>
            <c:invertIfNegative val="0"/>
            <c:bubble3D val="0"/>
            <c:extLst>
              <c:ext xmlns:c16="http://schemas.microsoft.com/office/drawing/2014/chart" uri="{C3380CC4-5D6E-409C-BE32-E72D297353CC}">
                <c16:uniqueId val="{0000027E-9C22-49C7-AC0B-30C491EA6644}"/>
              </c:ext>
            </c:extLst>
          </c:dPt>
          <c:dPt>
            <c:idx val="15"/>
            <c:invertIfNegative val="0"/>
            <c:bubble3D val="0"/>
            <c:extLst>
              <c:ext xmlns:c16="http://schemas.microsoft.com/office/drawing/2014/chart" uri="{C3380CC4-5D6E-409C-BE32-E72D297353CC}">
                <c16:uniqueId val="{00000280-9C22-49C7-AC0B-30C491EA6644}"/>
              </c:ext>
            </c:extLst>
          </c:dPt>
          <c:dPt>
            <c:idx val="16"/>
            <c:invertIfNegative val="0"/>
            <c:bubble3D val="0"/>
            <c:extLst>
              <c:ext xmlns:c16="http://schemas.microsoft.com/office/drawing/2014/chart" uri="{C3380CC4-5D6E-409C-BE32-E72D297353CC}">
                <c16:uniqueId val="{00000282-9C22-49C7-AC0B-30C491EA6644}"/>
              </c:ext>
            </c:extLst>
          </c:dPt>
          <c:dPt>
            <c:idx val="17"/>
            <c:invertIfNegative val="0"/>
            <c:bubble3D val="0"/>
            <c:extLst>
              <c:ext xmlns:c16="http://schemas.microsoft.com/office/drawing/2014/chart" uri="{C3380CC4-5D6E-409C-BE32-E72D297353CC}">
                <c16:uniqueId val="{00000284-9C22-49C7-AC0B-30C491EA6644}"/>
              </c:ext>
            </c:extLst>
          </c:dPt>
          <c:dPt>
            <c:idx val="18"/>
            <c:invertIfNegative val="0"/>
            <c:bubble3D val="0"/>
            <c:extLst>
              <c:ext xmlns:c16="http://schemas.microsoft.com/office/drawing/2014/chart" uri="{C3380CC4-5D6E-409C-BE32-E72D297353CC}">
                <c16:uniqueId val="{00000286-9C22-49C7-AC0B-30C491EA6644}"/>
              </c:ext>
            </c:extLst>
          </c:dPt>
          <c:dPt>
            <c:idx val="19"/>
            <c:invertIfNegative val="0"/>
            <c:bubble3D val="0"/>
            <c:extLst>
              <c:ext xmlns:c16="http://schemas.microsoft.com/office/drawing/2014/chart" uri="{C3380CC4-5D6E-409C-BE32-E72D297353CC}">
                <c16:uniqueId val="{00000288-9C22-49C7-AC0B-30C491EA6644}"/>
              </c:ext>
            </c:extLst>
          </c:dPt>
          <c:dPt>
            <c:idx val="20"/>
            <c:invertIfNegative val="0"/>
            <c:bubble3D val="0"/>
            <c:extLst>
              <c:ext xmlns:c16="http://schemas.microsoft.com/office/drawing/2014/chart" uri="{C3380CC4-5D6E-409C-BE32-E72D297353CC}">
                <c16:uniqueId val="{0000028A-9C22-49C7-AC0B-30C491EA6644}"/>
              </c:ext>
            </c:extLst>
          </c:dPt>
          <c:dPt>
            <c:idx val="21"/>
            <c:invertIfNegative val="0"/>
            <c:bubble3D val="0"/>
            <c:extLst>
              <c:ext xmlns:c16="http://schemas.microsoft.com/office/drawing/2014/chart" uri="{C3380CC4-5D6E-409C-BE32-E72D297353CC}">
                <c16:uniqueId val="{0000028C-9C22-49C7-AC0B-30C491EA6644}"/>
              </c:ext>
            </c:extLst>
          </c:dPt>
          <c:dPt>
            <c:idx val="22"/>
            <c:invertIfNegative val="0"/>
            <c:bubble3D val="0"/>
            <c:extLst>
              <c:ext xmlns:c16="http://schemas.microsoft.com/office/drawing/2014/chart" uri="{C3380CC4-5D6E-409C-BE32-E72D297353CC}">
                <c16:uniqueId val="{0000028E-9C22-49C7-AC0B-30C491EA6644}"/>
              </c:ext>
            </c:extLst>
          </c:dPt>
          <c:dPt>
            <c:idx val="23"/>
            <c:invertIfNegative val="0"/>
            <c:bubble3D val="0"/>
            <c:extLst>
              <c:ext xmlns:c16="http://schemas.microsoft.com/office/drawing/2014/chart" uri="{C3380CC4-5D6E-409C-BE32-E72D297353CC}">
                <c16:uniqueId val="{00000290-9C22-49C7-AC0B-30C491EA6644}"/>
              </c:ext>
            </c:extLst>
          </c:dPt>
          <c:dPt>
            <c:idx val="24"/>
            <c:invertIfNegative val="0"/>
            <c:bubble3D val="0"/>
            <c:extLst>
              <c:ext xmlns:c16="http://schemas.microsoft.com/office/drawing/2014/chart" uri="{C3380CC4-5D6E-409C-BE32-E72D297353CC}">
                <c16:uniqueId val="{00000292-9C22-49C7-AC0B-30C491EA6644}"/>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Data'!$C$7:$X$7</c:f>
              <c:numCache>
                <c:formatCode>#,##0_ ;\-#,##0\ </c:formatCode>
                <c:ptCount val="22"/>
                <c:pt idx="0">
                  <c:v>6967.6</c:v>
                </c:pt>
                <c:pt idx="1">
                  <c:v>6943.6</c:v>
                </c:pt>
                <c:pt idx="2">
                  <c:v>6943.6</c:v>
                </c:pt>
                <c:pt idx="3">
                  <c:v>6669.6</c:v>
                </c:pt>
                <c:pt idx="4">
                  <c:v>6970.6935720000001</c:v>
                </c:pt>
                <c:pt idx="5">
                  <c:v>6970.6935720000001</c:v>
                </c:pt>
                <c:pt idx="6">
                  <c:v>6970.6935720000001</c:v>
                </c:pt>
                <c:pt idx="7">
                  <c:v>6970.6935720000001</c:v>
                </c:pt>
                <c:pt idx="8">
                  <c:v>6970.6935720000001</c:v>
                </c:pt>
                <c:pt idx="9">
                  <c:v>6970.6935720000001</c:v>
                </c:pt>
                <c:pt idx="10">
                  <c:v>6970.6935720000001</c:v>
                </c:pt>
                <c:pt idx="11">
                  <c:v>6970.6935720000001</c:v>
                </c:pt>
                <c:pt idx="12">
                  <c:v>6970.6935720000001</c:v>
                </c:pt>
                <c:pt idx="13">
                  <c:v>6970.6935720000001</c:v>
                </c:pt>
                <c:pt idx="14">
                  <c:v>6970.6935720000001</c:v>
                </c:pt>
                <c:pt idx="15">
                  <c:v>6970.6935720000001</c:v>
                </c:pt>
                <c:pt idx="16">
                  <c:v>6970.6935720000001</c:v>
                </c:pt>
                <c:pt idx="17">
                  <c:v>6970.6935720000001</c:v>
                </c:pt>
                <c:pt idx="18">
                  <c:v>6970.6935720000001</c:v>
                </c:pt>
                <c:pt idx="19">
                  <c:v>6970.6935720000001</c:v>
                </c:pt>
                <c:pt idx="20">
                  <c:v>6970.6935720000001</c:v>
                </c:pt>
                <c:pt idx="21">
                  <c:v>6970.6935720000001</c:v>
                </c:pt>
              </c:numCache>
            </c:numRef>
          </c:val>
          <c:extLst>
            <c:ext xmlns:c16="http://schemas.microsoft.com/office/drawing/2014/chart" uri="{C3380CC4-5D6E-409C-BE32-E72D297353CC}">
              <c16:uniqueId val="{00000293-9C22-49C7-AC0B-30C491EA6644}"/>
            </c:ext>
          </c:extLst>
        </c:ser>
        <c:ser>
          <c:idx val="5"/>
          <c:order val="5"/>
          <c:tx>
            <c:strRef>
              <c:f>'NEMInstalledCapacity Data'!$B$8</c:f>
              <c:strCache>
                <c:ptCount val="1"/>
                <c:pt idx="0">
                  <c:v>Wind</c:v>
                </c:pt>
              </c:strCache>
            </c:strRef>
          </c:tx>
          <c:spPr>
            <a:solidFill>
              <a:srgbClr val="339933"/>
            </a:solidFill>
            <a:ln>
              <a:noFill/>
            </a:ln>
            <a:effectLst/>
          </c:spPr>
          <c:invertIfNegative val="0"/>
          <c:dPt>
            <c:idx val="0"/>
            <c:invertIfNegative val="0"/>
            <c:bubble3D val="0"/>
            <c:extLst>
              <c:ext xmlns:c16="http://schemas.microsoft.com/office/drawing/2014/chart" uri="{C3380CC4-5D6E-409C-BE32-E72D297353CC}">
                <c16:uniqueId val="{00000295-9C22-49C7-AC0B-30C491EA6644}"/>
              </c:ext>
            </c:extLst>
          </c:dPt>
          <c:dPt>
            <c:idx val="1"/>
            <c:invertIfNegative val="0"/>
            <c:bubble3D val="0"/>
            <c:extLst>
              <c:ext xmlns:c16="http://schemas.microsoft.com/office/drawing/2014/chart" uri="{C3380CC4-5D6E-409C-BE32-E72D297353CC}">
                <c16:uniqueId val="{00000296-9C22-49C7-AC0B-30C491EA6644}"/>
              </c:ext>
            </c:extLst>
          </c:dPt>
          <c:dPt>
            <c:idx val="2"/>
            <c:invertIfNegative val="0"/>
            <c:bubble3D val="0"/>
            <c:extLst>
              <c:ext xmlns:c16="http://schemas.microsoft.com/office/drawing/2014/chart" uri="{C3380CC4-5D6E-409C-BE32-E72D297353CC}">
                <c16:uniqueId val="{00000297-9C22-49C7-AC0B-30C491EA6644}"/>
              </c:ext>
            </c:extLst>
          </c:dPt>
          <c:dPt>
            <c:idx val="3"/>
            <c:invertIfNegative val="0"/>
            <c:bubble3D val="0"/>
            <c:extLst>
              <c:ext xmlns:c16="http://schemas.microsoft.com/office/drawing/2014/chart" uri="{C3380CC4-5D6E-409C-BE32-E72D297353CC}">
                <c16:uniqueId val="{00000298-9C22-49C7-AC0B-30C491EA6644}"/>
              </c:ext>
            </c:extLst>
          </c:dPt>
          <c:dPt>
            <c:idx val="4"/>
            <c:invertIfNegative val="0"/>
            <c:bubble3D val="0"/>
            <c:extLst>
              <c:ext xmlns:c16="http://schemas.microsoft.com/office/drawing/2014/chart" uri="{C3380CC4-5D6E-409C-BE32-E72D297353CC}">
                <c16:uniqueId val="{00000299-9C22-49C7-AC0B-30C491EA6644}"/>
              </c:ext>
            </c:extLst>
          </c:dPt>
          <c:dPt>
            <c:idx val="5"/>
            <c:invertIfNegative val="0"/>
            <c:bubble3D val="0"/>
            <c:extLst>
              <c:ext xmlns:c16="http://schemas.microsoft.com/office/drawing/2014/chart" uri="{C3380CC4-5D6E-409C-BE32-E72D297353CC}">
                <c16:uniqueId val="{0000029A-9C22-49C7-AC0B-30C491EA6644}"/>
              </c:ext>
            </c:extLst>
          </c:dPt>
          <c:dPt>
            <c:idx val="6"/>
            <c:invertIfNegative val="0"/>
            <c:bubble3D val="0"/>
            <c:extLst>
              <c:ext xmlns:c16="http://schemas.microsoft.com/office/drawing/2014/chart" uri="{C3380CC4-5D6E-409C-BE32-E72D297353CC}">
                <c16:uniqueId val="{0000029B-9C22-49C7-AC0B-30C491EA6644}"/>
              </c:ext>
            </c:extLst>
          </c:dPt>
          <c:dPt>
            <c:idx val="7"/>
            <c:invertIfNegative val="0"/>
            <c:bubble3D val="0"/>
            <c:extLst>
              <c:ext xmlns:c16="http://schemas.microsoft.com/office/drawing/2014/chart" uri="{C3380CC4-5D6E-409C-BE32-E72D297353CC}">
                <c16:uniqueId val="{0000029C-9C22-49C7-AC0B-30C491EA6644}"/>
              </c:ext>
            </c:extLst>
          </c:dPt>
          <c:dPt>
            <c:idx val="8"/>
            <c:invertIfNegative val="0"/>
            <c:bubble3D val="0"/>
            <c:extLst>
              <c:ext xmlns:c16="http://schemas.microsoft.com/office/drawing/2014/chart" uri="{C3380CC4-5D6E-409C-BE32-E72D297353CC}">
                <c16:uniqueId val="{0000029D-9C22-49C7-AC0B-30C491EA6644}"/>
              </c:ext>
            </c:extLst>
          </c:dPt>
          <c:dPt>
            <c:idx val="9"/>
            <c:invertIfNegative val="0"/>
            <c:bubble3D val="0"/>
            <c:extLst>
              <c:ext xmlns:c16="http://schemas.microsoft.com/office/drawing/2014/chart" uri="{C3380CC4-5D6E-409C-BE32-E72D297353CC}">
                <c16:uniqueId val="{0000029E-9C22-49C7-AC0B-30C491EA6644}"/>
              </c:ext>
            </c:extLst>
          </c:dPt>
          <c:dPt>
            <c:idx val="10"/>
            <c:invertIfNegative val="0"/>
            <c:bubble3D val="0"/>
            <c:extLst>
              <c:ext xmlns:c16="http://schemas.microsoft.com/office/drawing/2014/chart" uri="{C3380CC4-5D6E-409C-BE32-E72D297353CC}">
                <c16:uniqueId val="{0000029F-9C22-49C7-AC0B-30C491EA6644}"/>
              </c:ext>
            </c:extLst>
          </c:dPt>
          <c:dPt>
            <c:idx val="11"/>
            <c:invertIfNegative val="0"/>
            <c:bubble3D val="0"/>
            <c:extLst>
              <c:ext xmlns:c16="http://schemas.microsoft.com/office/drawing/2014/chart" uri="{C3380CC4-5D6E-409C-BE32-E72D297353CC}">
                <c16:uniqueId val="{000002A0-9C22-49C7-AC0B-30C491EA6644}"/>
              </c:ext>
            </c:extLst>
          </c:dPt>
          <c:dPt>
            <c:idx val="12"/>
            <c:invertIfNegative val="0"/>
            <c:bubble3D val="0"/>
            <c:extLst>
              <c:ext xmlns:c16="http://schemas.microsoft.com/office/drawing/2014/chart" uri="{C3380CC4-5D6E-409C-BE32-E72D297353CC}">
                <c16:uniqueId val="{000002A1-9C22-49C7-AC0B-30C491EA6644}"/>
              </c:ext>
            </c:extLst>
          </c:dPt>
          <c:dPt>
            <c:idx val="13"/>
            <c:invertIfNegative val="0"/>
            <c:bubble3D val="0"/>
            <c:extLst>
              <c:ext xmlns:c16="http://schemas.microsoft.com/office/drawing/2014/chart" uri="{C3380CC4-5D6E-409C-BE32-E72D297353CC}">
                <c16:uniqueId val="{000002A2-9C22-49C7-AC0B-30C491EA6644}"/>
              </c:ext>
            </c:extLst>
          </c:dPt>
          <c:dPt>
            <c:idx val="14"/>
            <c:invertIfNegative val="0"/>
            <c:bubble3D val="0"/>
            <c:extLst>
              <c:ext xmlns:c16="http://schemas.microsoft.com/office/drawing/2014/chart" uri="{C3380CC4-5D6E-409C-BE32-E72D297353CC}">
                <c16:uniqueId val="{000002A3-9C22-49C7-AC0B-30C491EA6644}"/>
              </c:ext>
            </c:extLst>
          </c:dPt>
          <c:dPt>
            <c:idx val="15"/>
            <c:invertIfNegative val="0"/>
            <c:bubble3D val="0"/>
            <c:extLst>
              <c:ext xmlns:c16="http://schemas.microsoft.com/office/drawing/2014/chart" uri="{C3380CC4-5D6E-409C-BE32-E72D297353CC}">
                <c16:uniqueId val="{000002A4-9C22-49C7-AC0B-30C491EA6644}"/>
              </c:ext>
            </c:extLst>
          </c:dPt>
          <c:dPt>
            <c:idx val="16"/>
            <c:invertIfNegative val="0"/>
            <c:bubble3D val="0"/>
            <c:extLst>
              <c:ext xmlns:c16="http://schemas.microsoft.com/office/drawing/2014/chart" uri="{C3380CC4-5D6E-409C-BE32-E72D297353CC}">
                <c16:uniqueId val="{000002A5-9C22-49C7-AC0B-30C491EA6644}"/>
              </c:ext>
            </c:extLst>
          </c:dPt>
          <c:dPt>
            <c:idx val="17"/>
            <c:invertIfNegative val="0"/>
            <c:bubble3D val="0"/>
            <c:extLst>
              <c:ext xmlns:c16="http://schemas.microsoft.com/office/drawing/2014/chart" uri="{C3380CC4-5D6E-409C-BE32-E72D297353CC}">
                <c16:uniqueId val="{000002A6-9C22-49C7-AC0B-30C491EA6644}"/>
              </c:ext>
            </c:extLst>
          </c:dPt>
          <c:dPt>
            <c:idx val="18"/>
            <c:invertIfNegative val="0"/>
            <c:bubble3D val="0"/>
            <c:extLst>
              <c:ext xmlns:c16="http://schemas.microsoft.com/office/drawing/2014/chart" uri="{C3380CC4-5D6E-409C-BE32-E72D297353CC}">
                <c16:uniqueId val="{000002A7-9C22-49C7-AC0B-30C491EA6644}"/>
              </c:ext>
            </c:extLst>
          </c:dPt>
          <c:dPt>
            <c:idx val="19"/>
            <c:invertIfNegative val="0"/>
            <c:bubble3D val="0"/>
            <c:extLst>
              <c:ext xmlns:c16="http://schemas.microsoft.com/office/drawing/2014/chart" uri="{C3380CC4-5D6E-409C-BE32-E72D297353CC}">
                <c16:uniqueId val="{000002A8-9C22-49C7-AC0B-30C491EA6644}"/>
              </c:ext>
            </c:extLst>
          </c:dPt>
          <c:dPt>
            <c:idx val="20"/>
            <c:invertIfNegative val="0"/>
            <c:bubble3D val="0"/>
            <c:extLst>
              <c:ext xmlns:c16="http://schemas.microsoft.com/office/drawing/2014/chart" uri="{C3380CC4-5D6E-409C-BE32-E72D297353CC}">
                <c16:uniqueId val="{000002A9-9C22-49C7-AC0B-30C491EA6644}"/>
              </c:ext>
            </c:extLst>
          </c:dPt>
          <c:dPt>
            <c:idx val="21"/>
            <c:invertIfNegative val="0"/>
            <c:bubble3D val="0"/>
            <c:extLst>
              <c:ext xmlns:c16="http://schemas.microsoft.com/office/drawing/2014/chart" uri="{C3380CC4-5D6E-409C-BE32-E72D297353CC}">
                <c16:uniqueId val="{000002AA-9C22-49C7-AC0B-30C491EA6644}"/>
              </c:ext>
            </c:extLst>
          </c:dPt>
          <c:dPt>
            <c:idx val="22"/>
            <c:invertIfNegative val="0"/>
            <c:bubble3D val="0"/>
            <c:extLst>
              <c:ext xmlns:c16="http://schemas.microsoft.com/office/drawing/2014/chart" uri="{C3380CC4-5D6E-409C-BE32-E72D297353CC}">
                <c16:uniqueId val="{000002AB-9C22-49C7-AC0B-30C491EA6644}"/>
              </c:ext>
            </c:extLst>
          </c:dPt>
          <c:dPt>
            <c:idx val="23"/>
            <c:invertIfNegative val="0"/>
            <c:bubble3D val="0"/>
            <c:extLst>
              <c:ext xmlns:c16="http://schemas.microsoft.com/office/drawing/2014/chart" uri="{C3380CC4-5D6E-409C-BE32-E72D297353CC}">
                <c16:uniqueId val="{000002AC-9C22-49C7-AC0B-30C491EA6644}"/>
              </c:ext>
            </c:extLst>
          </c:dPt>
          <c:dPt>
            <c:idx val="24"/>
            <c:invertIfNegative val="0"/>
            <c:bubble3D val="0"/>
            <c:extLst>
              <c:ext xmlns:c16="http://schemas.microsoft.com/office/drawing/2014/chart" uri="{C3380CC4-5D6E-409C-BE32-E72D297353CC}">
                <c16:uniqueId val="{000002AD-9C22-49C7-AC0B-30C491EA6644}"/>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Data'!$C$8:$X$8</c:f>
              <c:numCache>
                <c:formatCode>#,##0_ ;\-#,##0\ </c:formatCode>
                <c:ptCount val="22"/>
                <c:pt idx="0">
                  <c:v>5824</c:v>
                </c:pt>
                <c:pt idx="1">
                  <c:v>7718</c:v>
                </c:pt>
                <c:pt idx="2">
                  <c:v>8118</c:v>
                </c:pt>
                <c:pt idx="3">
                  <c:v>8518</c:v>
                </c:pt>
                <c:pt idx="4">
                  <c:v>8918</c:v>
                </c:pt>
                <c:pt idx="5">
                  <c:v>9811</c:v>
                </c:pt>
                <c:pt idx="6">
                  <c:v>10211</c:v>
                </c:pt>
                <c:pt idx="7">
                  <c:v>10211</c:v>
                </c:pt>
                <c:pt idx="8">
                  <c:v>10302</c:v>
                </c:pt>
                <c:pt idx="9">
                  <c:v>10465</c:v>
                </c:pt>
                <c:pt idx="10">
                  <c:v>10770</c:v>
                </c:pt>
                <c:pt idx="11">
                  <c:v>10943</c:v>
                </c:pt>
                <c:pt idx="12">
                  <c:v>10943</c:v>
                </c:pt>
                <c:pt idx="13">
                  <c:v>10943</c:v>
                </c:pt>
                <c:pt idx="14">
                  <c:v>11135</c:v>
                </c:pt>
                <c:pt idx="15">
                  <c:v>11595</c:v>
                </c:pt>
                <c:pt idx="16">
                  <c:v>12242</c:v>
                </c:pt>
                <c:pt idx="17">
                  <c:v>13563</c:v>
                </c:pt>
                <c:pt idx="18">
                  <c:v>14682</c:v>
                </c:pt>
                <c:pt idx="19">
                  <c:v>14682</c:v>
                </c:pt>
                <c:pt idx="20">
                  <c:v>14796</c:v>
                </c:pt>
                <c:pt idx="21">
                  <c:v>14897</c:v>
                </c:pt>
              </c:numCache>
            </c:numRef>
          </c:val>
          <c:extLst>
            <c:ext xmlns:c16="http://schemas.microsoft.com/office/drawing/2014/chart" uri="{C3380CC4-5D6E-409C-BE32-E72D297353CC}">
              <c16:uniqueId val="{000002AE-9C22-49C7-AC0B-30C491EA6644}"/>
            </c:ext>
          </c:extLst>
        </c:ser>
        <c:ser>
          <c:idx val="9"/>
          <c:order val="6"/>
          <c:tx>
            <c:strRef>
              <c:f>'NEMInstalledCapacity Data'!$B$11</c:f>
              <c:strCache>
                <c:ptCount val="1"/>
                <c:pt idx="0">
                  <c:v>Biomass</c:v>
                </c:pt>
              </c:strCache>
            </c:strRef>
          </c:tx>
          <c:spPr>
            <a:solidFill>
              <a:srgbClr val="B3E0EE"/>
            </a:solidFill>
            <a:ln>
              <a:noFill/>
            </a:ln>
            <a:effectLst/>
          </c:spPr>
          <c:invertIfNegative val="0"/>
          <c:dPt>
            <c:idx val="0"/>
            <c:invertIfNegative val="0"/>
            <c:bubble3D val="0"/>
            <c:extLst>
              <c:ext xmlns:c16="http://schemas.microsoft.com/office/drawing/2014/chart" uri="{C3380CC4-5D6E-409C-BE32-E72D297353CC}">
                <c16:uniqueId val="{000002B1-9C22-49C7-AC0B-30C491EA6644}"/>
              </c:ext>
            </c:extLst>
          </c:dPt>
          <c:dPt>
            <c:idx val="1"/>
            <c:invertIfNegative val="0"/>
            <c:bubble3D val="0"/>
            <c:extLst>
              <c:ext xmlns:c16="http://schemas.microsoft.com/office/drawing/2014/chart" uri="{C3380CC4-5D6E-409C-BE32-E72D297353CC}">
                <c16:uniqueId val="{000002B3-9C22-49C7-AC0B-30C491EA6644}"/>
              </c:ext>
            </c:extLst>
          </c:dPt>
          <c:dPt>
            <c:idx val="2"/>
            <c:invertIfNegative val="0"/>
            <c:bubble3D val="0"/>
            <c:extLst>
              <c:ext xmlns:c16="http://schemas.microsoft.com/office/drawing/2014/chart" uri="{C3380CC4-5D6E-409C-BE32-E72D297353CC}">
                <c16:uniqueId val="{000002B5-9C22-49C7-AC0B-30C491EA6644}"/>
              </c:ext>
            </c:extLst>
          </c:dPt>
          <c:dPt>
            <c:idx val="3"/>
            <c:invertIfNegative val="0"/>
            <c:bubble3D val="0"/>
            <c:extLst>
              <c:ext xmlns:c16="http://schemas.microsoft.com/office/drawing/2014/chart" uri="{C3380CC4-5D6E-409C-BE32-E72D297353CC}">
                <c16:uniqueId val="{000002B7-9C22-49C7-AC0B-30C491EA6644}"/>
              </c:ext>
            </c:extLst>
          </c:dPt>
          <c:dPt>
            <c:idx val="4"/>
            <c:invertIfNegative val="0"/>
            <c:bubble3D val="0"/>
            <c:extLst>
              <c:ext xmlns:c16="http://schemas.microsoft.com/office/drawing/2014/chart" uri="{C3380CC4-5D6E-409C-BE32-E72D297353CC}">
                <c16:uniqueId val="{000002B9-9C22-49C7-AC0B-30C491EA6644}"/>
              </c:ext>
            </c:extLst>
          </c:dPt>
          <c:dPt>
            <c:idx val="5"/>
            <c:invertIfNegative val="0"/>
            <c:bubble3D val="0"/>
            <c:extLst>
              <c:ext xmlns:c16="http://schemas.microsoft.com/office/drawing/2014/chart" uri="{C3380CC4-5D6E-409C-BE32-E72D297353CC}">
                <c16:uniqueId val="{000002BB-9C22-49C7-AC0B-30C491EA6644}"/>
              </c:ext>
            </c:extLst>
          </c:dPt>
          <c:dPt>
            <c:idx val="6"/>
            <c:invertIfNegative val="0"/>
            <c:bubble3D val="0"/>
            <c:extLst>
              <c:ext xmlns:c16="http://schemas.microsoft.com/office/drawing/2014/chart" uri="{C3380CC4-5D6E-409C-BE32-E72D297353CC}">
                <c16:uniqueId val="{000002BD-9C22-49C7-AC0B-30C491EA6644}"/>
              </c:ext>
            </c:extLst>
          </c:dPt>
          <c:dPt>
            <c:idx val="7"/>
            <c:invertIfNegative val="0"/>
            <c:bubble3D val="0"/>
            <c:extLst>
              <c:ext xmlns:c16="http://schemas.microsoft.com/office/drawing/2014/chart" uri="{C3380CC4-5D6E-409C-BE32-E72D297353CC}">
                <c16:uniqueId val="{000002BF-9C22-49C7-AC0B-30C491EA6644}"/>
              </c:ext>
            </c:extLst>
          </c:dPt>
          <c:dPt>
            <c:idx val="8"/>
            <c:invertIfNegative val="0"/>
            <c:bubble3D val="0"/>
            <c:extLst>
              <c:ext xmlns:c16="http://schemas.microsoft.com/office/drawing/2014/chart" uri="{C3380CC4-5D6E-409C-BE32-E72D297353CC}">
                <c16:uniqueId val="{000002C1-9C22-49C7-AC0B-30C491EA6644}"/>
              </c:ext>
            </c:extLst>
          </c:dPt>
          <c:dPt>
            <c:idx val="9"/>
            <c:invertIfNegative val="0"/>
            <c:bubble3D val="0"/>
            <c:extLst>
              <c:ext xmlns:c16="http://schemas.microsoft.com/office/drawing/2014/chart" uri="{C3380CC4-5D6E-409C-BE32-E72D297353CC}">
                <c16:uniqueId val="{000002C3-9C22-49C7-AC0B-30C491EA6644}"/>
              </c:ext>
            </c:extLst>
          </c:dPt>
          <c:dPt>
            <c:idx val="10"/>
            <c:invertIfNegative val="0"/>
            <c:bubble3D val="0"/>
            <c:extLst>
              <c:ext xmlns:c16="http://schemas.microsoft.com/office/drawing/2014/chart" uri="{C3380CC4-5D6E-409C-BE32-E72D297353CC}">
                <c16:uniqueId val="{000002C5-9C22-49C7-AC0B-30C491EA6644}"/>
              </c:ext>
            </c:extLst>
          </c:dPt>
          <c:dPt>
            <c:idx val="11"/>
            <c:invertIfNegative val="0"/>
            <c:bubble3D val="0"/>
            <c:extLst>
              <c:ext xmlns:c16="http://schemas.microsoft.com/office/drawing/2014/chart" uri="{C3380CC4-5D6E-409C-BE32-E72D297353CC}">
                <c16:uniqueId val="{000002C7-9C22-49C7-AC0B-30C491EA6644}"/>
              </c:ext>
            </c:extLst>
          </c:dPt>
          <c:dPt>
            <c:idx val="12"/>
            <c:invertIfNegative val="0"/>
            <c:bubble3D val="0"/>
            <c:extLst>
              <c:ext xmlns:c16="http://schemas.microsoft.com/office/drawing/2014/chart" uri="{C3380CC4-5D6E-409C-BE32-E72D297353CC}">
                <c16:uniqueId val="{000002C9-9C22-49C7-AC0B-30C491EA6644}"/>
              </c:ext>
            </c:extLst>
          </c:dPt>
          <c:dPt>
            <c:idx val="13"/>
            <c:invertIfNegative val="0"/>
            <c:bubble3D val="0"/>
            <c:extLst>
              <c:ext xmlns:c16="http://schemas.microsoft.com/office/drawing/2014/chart" uri="{C3380CC4-5D6E-409C-BE32-E72D297353CC}">
                <c16:uniqueId val="{000002CB-9C22-49C7-AC0B-30C491EA6644}"/>
              </c:ext>
            </c:extLst>
          </c:dPt>
          <c:dPt>
            <c:idx val="14"/>
            <c:invertIfNegative val="0"/>
            <c:bubble3D val="0"/>
            <c:extLst>
              <c:ext xmlns:c16="http://schemas.microsoft.com/office/drawing/2014/chart" uri="{C3380CC4-5D6E-409C-BE32-E72D297353CC}">
                <c16:uniqueId val="{000002CD-9C22-49C7-AC0B-30C491EA6644}"/>
              </c:ext>
            </c:extLst>
          </c:dPt>
          <c:dPt>
            <c:idx val="15"/>
            <c:invertIfNegative val="0"/>
            <c:bubble3D val="0"/>
            <c:extLst>
              <c:ext xmlns:c16="http://schemas.microsoft.com/office/drawing/2014/chart" uri="{C3380CC4-5D6E-409C-BE32-E72D297353CC}">
                <c16:uniqueId val="{000002CF-9C22-49C7-AC0B-30C491EA6644}"/>
              </c:ext>
            </c:extLst>
          </c:dPt>
          <c:dPt>
            <c:idx val="16"/>
            <c:invertIfNegative val="0"/>
            <c:bubble3D val="0"/>
            <c:extLst>
              <c:ext xmlns:c16="http://schemas.microsoft.com/office/drawing/2014/chart" uri="{C3380CC4-5D6E-409C-BE32-E72D297353CC}">
                <c16:uniqueId val="{000002D1-9C22-49C7-AC0B-30C491EA6644}"/>
              </c:ext>
            </c:extLst>
          </c:dPt>
          <c:dPt>
            <c:idx val="17"/>
            <c:invertIfNegative val="0"/>
            <c:bubble3D val="0"/>
            <c:extLst>
              <c:ext xmlns:c16="http://schemas.microsoft.com/office/drawing/2014/chart" uri="{C3380CC4-5D6E-409C-BE32-E72D297353CC}">
                <c16:uniqueId val="{000002D3-9C22-49C7-AC0B-30C491EA6644}"/>
              </c:ext>
            </c:extLst>
          </c:dPt>
          <c:dPt>
            <c:idx val="18"/>
            <c:invertIfNegative val="0"/>
            <c:bubble3D val="0"/>
            <c:extLst>
              <c:ext xmlns:c16="http://schemas.microsoft.com/office/drawing/2014/chart" uri="{C3380CC4-5D6E-409C-BE32-E72D297353CC}">
                <c16:uniqueId val="{000002D5-9C22-49C7-AC0B-30C491EA6644}"/>
              </c:ext>
            </c:extLst>
          </c:dPt>
          <c:dPt>
            <c:idx val="19"/>
            <c:invertIfNegative val="0"/>
            <c:bubble3D val="0"/>
            <c:extLst>
              <c:ext xmlns:c16="http://schemas.microsoft.com/office/drawing/2014/chart" uri="{C3380CC4-5D6E-409C-BE32-E72D297353CC}">
                <c16:uniqueId val="{000002D7-9C22-49C7-AC0B-30C491EA6644}"/>
              </c:ext>
            </c:extLst>
          </c:dPt>
          <c:dPt>
            <c:idx val="20"/>
            <c:invertIfNegative val="0"/>
            <c:bubble3D val="0"/>
            <c:extLst>
              <c:ext xmlns:c16="http://schemas.microsoft.com/office/drawing/2014/chart" uri="{C3380CC4-5D6E-409C-BE32-E72D297353CC}">
                <c16:uniqueId val="{000002D9-9C22-49C7-AC0B-30C491EA6644}"/>
              </c:ext>
            </c:extLst>
          </c:dPt>
          <c:dPt>
            <c:idx val="21"/>
            <c:invertIfNegative val="0"/>
            <c:bubble3D val="0"/>
            <c:extLst>
              <c:ext xmlns:c16="http://schemas.microsoft.com/office/drawing/2014/chart" uri="{C3380CC4-5D6E-409C-BE32-E72D297353CC}">
                <c16:uniqueId val="{000002DB-9C22-49C7-AC0B-30C491EA6644}"/>
              </c:ext>
            </c:extLst>
          </c:dPt>
          <c:dPt>
            <c:idx val="22"/>
            <c:invertIfNegative val="0"/>
            <c:bubble3D val="0"/>
            <c:extLst>
              <c:ext xmlns:c16="http://schemas.microsoft.com/office/drawing/2014/chart" uri="{C3380CC4-5D6E-409C-BE32-E72D297353CC}">
                <c16:uniqueId val="{000002DD-9C22-49C7-AC0B-30C491EA6644}"/>
              </c:ext>
            </c:extLst>
          </c:dPt>
          <c:dPt>
            <c:idx val="23"/>
            <c:invertIfNegative val="0"/>
            <c:bubble3D val="0"/>
            <c:extLst>
              <c:ext xmlns:c16="http://schemas.microsoft.com/office/drawing/2014/chart" uri="{C3380CC4-5D6E-409C-BE32-E72D297353CC}">
                <c16:uniqueId val="{000002DF-9C22-49C7-AC0B-30C491EA6644}"/>
              </c:ext>
            </c:extLst>
          </c:dPt>
          <c:dPt>
            <c:idx val="24"/>
            <c:invertIfNegative val="0"/>
            <c:bubble3D val="0"/>
            <c:extLst>
              <c:ext xmlns:c16="http://schemas.microsoft.com/office/drawing/2014/chart" uri="{C3380CC4-5D6E-409C-BE32-E72D297353CC}">
                <c16:uniqueId val="{000002E1-9C22-49C7-AC0B-30C491EA6644}"/>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Data'!$C$11:$X$11</c:f>
              <c:numCache>
                <c:formatCode>#,##0_ ;\-#,##0\ </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200</c:v>
                </c:pt>
                <c:pt idx="17">
                  <c:v>200</c:v>
                </c:pt>
                <c:pt idx="18">
                  <c:v>300</c:v>
                </c:pt>
                <c:pt idx="19">
                  <c:v>300</c:v>
                </c:pt>
                <c:pt idx="20">
                  <c:v>300</c:v>
                </c:pt>
                <c:pt idx="21">
                  <c:v>300</c:v>
                </c:pt>
              </c:numCache>
            </c:numRef>
          </c:val>
          <c:extLst>
            <c:ext xmlns:c16="http://schemas.microsoft.com/office/drawing/2014/chart" uri="{C3380CC4-5D6E-409C-BE32-E72D297353CC}">
              <c16:uniqueId val="{000002E2-9C22-49C7-AC0B-30C491EA6644}"/>
            </c:ext>
          </c:extLst>
        </c:ser>
        <c:ser>
          <c:idx val="6"/>
          <c:order val="7"/>
          <c:tx>
            <c:strRef>
              <c:f>'NEMInstalledCapacity Data'!$B$9</c:f>
              <c:strCache>
                <c:ptCount val="1"/>
                <c:pt idx="0">
                  <c:v>Utility Solar</c:v>
                </c:pt>
              </c:strCache>
            </c:strRef>
          </c:tx>
          <c:spPr>
            <a:solidFill>
              <a:srgbClr val="FFC222"/>
            </a:solidFill>
            <a:ln>
              <a:noFill/>
            </a:ln>
            <a:effectLst/>
          </c:spPr>
          <c:invertIfNegative val="0"/>
          <c:dPt>
            <c:idx val="0"/>
            <c:invertIfNegative val="0"/>
            <c:bubble3D val="0"/>
            <c:extLst>
              <c:ext xmlns:c16="http://schemas.microsoft.com/office/drawing/2014/chart" uri="{C3380CC4-5D6E-409C-BE32-E72D297353CC}">
                <c16:uniqueId val="{000002E5-9C22-49C7-AC0B-30C491EA6644}"/>
              </c:ext>
            </c:extLst>
          </c:dPt>
          <c:dPt>
            <c:idx val="1"/>
            <c:invertIfNegative val="0"/>
            <c:bubble3D val="0"/>
            <c:extLst>
              <c:ext xmlns:c16="http://schemas.microsoft.com/office/drawing/2014/chart" uri="{C3380CC4-5D6E-409C-BE32-E72D297353CC}">
                <c16:uniqueId val="{000002E7-9C22-49C7-AC0B-30C491EA6644}"/>
              </c:ext>
            </c:extLst>
          </c:dPt>
          <c:dPt>
            <c:idx val="2"/>
            <c:invertIfNegative val="0"/>
            <c:bubble3D val="0"/>
            <c:extLst>
              <c:ext xmlns:c16="http://schemas.microsoft.com/office/drawing/2014/chart" uri="{C3380CC4-5D6E-409C-BE32-E72D297353CC}">
                <c16:uniqueId val="{000002E9-9C22-49C7-AC0B-30C491EA6644}"/>
              </c:ext>
            </c:extLst>
          </c:dPt>
          <c:dPt>
            <c:idx val="3"/>
            <c:invertIfNegative val="0"/>
            <c:bubble3D val="0"/>
            <c:extLst>
              <c:ext xmlns:c16="http://schemas.microsoft.com/office/drawing/2014/chart" uri="{C3380CC4-5D6E-409C-BE32-E72D297353CC}">
                <c16:uniqueId val="{000002EB-9C22-49C7-AC0B-30C491EA6644}"/>
              </c:ext>
            </c:extLst>
          </c:dPt>
          <c:dPt>
            <c:idx val="4"/>
            <c:invertIfNegative val="0"/>
            <c:bubble3D val="0"/>
            <c:extLst>
              <c:ext xmlns:c16="http://schemas.microsoft.com/office/drawing/2014/chart" uri="{C3380CC4-5D6E-409C-BE32-E72D297353CC}">
                <c16:uniqueId val="{000002ED-9C22-49C7-AC0B-30C491EA6644}"/>
              </c:ext>
            </c:extLst>
          </c:dPt>
          <c:dPt>
            <c:idx val="5"/>
            <c:invertIfNegative val="0"/>
            <c:bubble3D val="0"/>
            <c:extLst>
              <c:ext xmlns:c16="http://schemas.microsoft.com/office/drawing/2014/chart" uri="{C3380CC4-5D6E-409C-BE32-E72D297353CC}">
                <c16:uniqueId val="{000002EF-9C22-49C7-AC0B-30C491EA6644}"/>
              </c:ext>
            </c:extLst>
          </c:dPt>
          <c:dPt>
            <c:idx val="6"/>
            <c:invertIfNegative val="0"/>
            <c:bubble3D val="0"/>
            <c:extLst>
              <c:ext xmlns:c16="http://schemas.microsoft.com/office/drawing/2014/chart" uri="{C3380CC4-5D6E-409C-BE32-E72D297353CC}">
                <c16:uniqueId val="{000002F1-9C22-49C7-AC0B-30C491EA6644}"/>
              </c:ext>
            </c:extLst>
          </c:dPt>
          <c:dPt>
            <c:idx val="7"/>
            <c:invertIfNegative val="0"/>
            <c:bubble3D val="0"/>
            <c:extLst>
              <c:ext xmlns:c16="http://schemas.microsoft.com/office/drawing/2014/chart" uri="{C3380CC4-5D6E-409C-BE32-E72D297353CC}">
                <c16:uniqueId val="{000002F3-9C22-49C7-AC0B-30C491EA6644}"/>
              </c:ext>
            </c:extLst>
          </c:dPt>
          <c:dPt>
            <c:idx val="8"/>
            <c:invertIfNegative val="0"/>
            <c:bubble3D val="0"/>
            <c:extLst>
              <c:ext xmlns:c16="http://schemas.microsoft.com/office/drawing/2014/chart" uri="{C3380CC4-5D6E-409C-BE32-E72D297353CC}">
                <c16:uniqueId val="{000002F5-9C22-49C7-AC0B-30C491EA6644}"/>
              </c:ext>
            </c:extLst>
          </c:dPt>
          <c:dPt>
            <c:idx val="9"/>
            <c:invertIfNegative val="0"/>
            <c:bubble3D val="0"/>
            <c:extLst>
              <c:ext xmlns:c16="http://schemas.microsoft.com/office/drawing/2014/chart" uri="{C3380CC4-5D6E-409C-BE32-E72D297353CC}">
                <c16:uniqueId val="{000002F7-9C22-49C7-AC0B-30C491EA6644}"/>
              </c:ext>
            </c:extLst>
          </c:dPt>
          <c:dPt>
            <c:idx val="10"/>
            <c:invertIfNegative val="0"/>
            <c:bubble3D val="0"/>
            <c:extLst>
              <c:ext xmlns:c16="http://schemas.microsoft.com/office/drawing/2014/chart" uri="{C3380CC4-5D6E-409C-BE32-E72D297353CC}">
                <c16:uniqueId val="{000002F9-9C22-49C7-AC0B-30C491EA6644}"/>
              </c:ext>
            </c:extLst>
          </c:dPt>
          <c:dPt>
            <c:idx val="11"/>
            <c:invertIfNegative val="0"/>
            <c:bubble3D val="0"/>
            <c:extLst>
              <c:ext xmlns:c16="http://schemas.microsoft.com/office/drawing/2014/chart" uri="{C3380CC4-5D6E-409C-BE32-E72D297353CC}">
                <c16:uniqueId val="{000002FB-9C22-49C7-AC0B-30C491EA6644}"/>
              </c:ext>
            </c:extLst>
          </c:dPt>
          <c:dPt>
            <c:idx val="12"/>
            <c:invertIfNegative val="0"/>
            <c:bubble3D val="0"/>
            <c:extLst>
              <c:ext xmlns:c16="http://schemas.microsoft.com/office/drawing/2014/chart" uri="{C3380CC4-5D6E-409C-BE32-E72D297353CC}">
                <c16:uniqueId val="{000002FD-9C22-49C7-AC0B-30C491EA6644}"/>
              </c:ext>
            </c:extLst>
          </c:dPt>
          <c:dPt>
            <c:idx val="13"/>
            <c:invertIfNegative val="0"/>
            <c:bubble3D val="0"/>
            <c:extLst>
              <c:ext xmlns:c16="http://schemas.microsoft.com/office/drawing/2014/chart" uri="{C3380CC4-5D6E-409C-BE32-E72D297353CC}">
                <c16:uniqueId val="{000002FF-9C22-49C7-AC0B-30C491EA6644}"/>
              </c:ext>
            </c:extLst>
          </c:dPt>
          <c:dPt>
            <c:idx val="14"/>
            <c:invertIfNegative val="0"/>
            <c:bubble3D val="0"/>
            <c:extLst>
              <c:ext xmlns:c16="http://schemas.microsoft.com/office/drawing/2014/chart" uri="{C3380CC4-5D6E-409C-BE32-E72D297353CC}">
                <c16:uniqueId val="{00000301-9C22-49C7-AC0B-30C491EA6644}"/>
              </c:ext>
            </c:extLst>
          </c:dPt>
          <c:dPt>
            <c:idx val="15"/>
            <c:invertIfNegative val="0"/>
            <c:bubble3D val="0"/>
            <c:extLst>
              <c:ext xmlns:c16="http://schemas.microsoft.com/office/drawing/2014/chart" uri="{C3380CC4-5D6E-409C-BE32-E72D297353CC}">
                <c16:uniqueId val="{00000303-9C22-49C7-AC0B-30C491EA6644}"/>
              </c:ext>
            </c:extLst>
          </c:dPt>
          <c:dPt>
            <c:idx val="16"/>
            <c:invertIfNegative val="0"/>
            <c:bubble3D val="0"/>
            <c:extLst>
              <c:ext xmlns:c16="http://schemas.microsoft.com/office/drawing/2014/chart" uri="{C3380CC4-5D6E-409C-BE32-E72D297353CC}">
                <c16:uniqueId val="{00000305-9C22-49C7-AC0B-30C491EA6644}"/>
              </c:ext>
            </c:extLst>
          </c:dPt>
          <c:dPt>
            <c:idx val="17"/>
            <c:invertIfNegative val="0"/>
            <c:bubble3D val="0"/>
            <c:extLst>
              <c:ext xmlns:c16="http://schemas.microsoft.com/office/drawing/2014/chart" uri="{C3380CC4-5D6E-409C-BE32-E72D297353CC}">
                <c16:uniqueId val="{00000307-9C22-49C7-AC0B-30C491EA6644}"/>
              </c:ext>
            </c:extLst>
          </c:dPt>
          <c:dPt>
            <c:idx val="18"/>
            <c:invertIfNegative val="0"/>
            <c:bubble3D val="0"/>
            <c:extLst>
              <c:ext xmlns:c16="http://schemas.microsoft.com/office/drawing/2014/chart" uri="{C3380CC4-5D6E-409C-BE32-E72D297353CC}">
                <c16:uniqueId val="{00000309-9C22-49C7-AC0B-30C491EA6644}"/>
              </c:ext>
            </c:extLst>
          </c:dPt>
          <c:dPt>
            <c:idx val="19"/>
            <c:invertIfNegative val="0"/>
            <c:bubble3D val="0"/>
            <c:extLst>
              <c:ext xmlns:c16="http://schemas.microsoft.com/office/drawing/2014/chart" uri="{C3380CC4-5D6E-409C-BE32-E72D297353CC}">
                <c16:uniqueId val="{0000030B-9C22-49C7-AC0B-30C491EA6644}"/>
              </c:ext>
            </c:extLst>
          </c:dPt>
          <c:dPt>
            <c:idx val="20"/>
            <c:invertIfNegative val="0"/>
            <c:bubble3D val="0"/>
            <c:extLst>
              <c:ext xmlns:c16="http://schemas.microsoft.com/office/drawing/2014/chart" uri="{C3380CC4-5D6E-409C-BE32-E72D297353CC}">
                <c16:uniqueId val="{0000030D-9C22-49C7-AC0B-30C491EA6644}"/>
              </c:ext>
            </c:extLst>
          </c:dPt>
          <c:dPt>
            <c:idx val="21"/>
            <c:invertIfNegative val="0"/>
            <c:bubble3D val="0"/>
            <c:extLst>
              <c:ext xmlns:c16="http://schemas.microsoft.com/office/drawing/2014/chart" uri="{C3380CC4-5D6E-409C-BE32-E72D297353CC}">
                <c16:uniqueId val="{0000030F-9C22-49C7-AC0B-30C491EA6644}"/>
              </c:ext>
            </c:extLst>
          </c:dPt>
          <c:dPt>
            <c:idx val="22"/>
            <c:invertIfNegative val="0"/>
            <c:bubble3D val="0"/>
            <c:extLst>
              <c:ext xmlns:c16="http://schemas.microsoft.com/office/drawing/2014/chart" uri="{C3380CC4-5D6E-409C-BE32-E72D297353CC}">
                <c16:uniqueId val="{00000311-9C22-49C7-AC0B-30C491EA6644}"/>
              </c:ext>
            </c:extLst>
          </c:dPt>
          <c:dPt>
            <c:idx val="23"/>
            <c:invertIfNegative val="0"/>
            <c:bubble3D val="0"/>
            <c:extLst>
              <c:ext xmlns:c16="http://schemas.microsoft.com/office/drawing/2014/chart" uri="{C3380CC4-5D6E-409C-BE32-E72D297353CC}">
                <c16:uniqueId val="{00000313-9C22-49C7-AC0B-30C491EA6644}"/>
              </c:ext>
            </c:extLst>
          </c:dPt>
          <c:dPt>
            <c:idx val="24"/>
            <c:invertIfNegative val="0"/>
            <c:bubble3D val="0"/>
            <c:extLst>
              <c:ext xmlns:c16="http://schemas.microsoft.com/office/drawing/2014/chart" uri="{C3380CC4-5D6E-409C-BE32-E72D297353CC}">
                <c16:uniqueId val="{00000315-9C22-49C7-AC0B-30C491EA6644}"/>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Data'!$C$9:$X$9</c:f>
              <c:numCache>
                <c:formatCode>#,##0_ ;\-#,##0\ </c:formatCode>
                <c:ptCount val="22"/>
                <c:pt idx="0">
                  <c:v>2212</c:v>
                </c:pt>
                <c:pt idx="1">
                  <c:v>2839</c:v>
                </c:pt>
                <c:pt idx="2">
                  <c:v>2839</c:v>
                </c:pt>
                <c:pt idx="3">
                  <c:v>2886</c:v>
                </c:pt>
                <c:pt idx="4">
                  <c:v>3729</c:v>
                </c:pt>
                <c:pt idx="5">
                  <c:v>4313</c:v>
                </c:pt>
                <c:pt idx="6">
                  <c:v>5440</c:v>
                </c:pt>
                <c:pt idx="7">
                  <c:v>6728</c:v>
                </c:pt>
                <c:pt idx="8">
                  <c:v>7465</c:v>
                </c:pt>
                <c:pt idx="9">
                  <c:v>8133</c:v>
                </c:pt>
                <c:pt idx="10">
                  <c:v>8925</c:v>
                </c:pt>
                <c:pt idx="11">
                  <c:v>9686</c:v>
                </c:pt>
                <c:pt idx="12">
                  <c:v>9686</c:v>
                </c:pt>
                <c:pt idx="13">
                  <c:v>9997</c:v>
                </c:pt>
                <c:pt idx="14">
                  <c:v>12807</c:v>
                </c:pt>
                <c:pt idx="15">
                  <c:v>12807</c:v>
                </c:pt>
                <c:pt idx="16">
                  <c:v>16730</c:v>
                </c:pt>
                <c:pt idx="17">
                  <c:v>21472</c:v>
                </c:pt>
                <c:pt idx="18">
                  <c:v>25288</c:v>
                </c:pt>
                <c:pt idx="19">
                  <c:v>26222</c:v>
                </c:pt>
                <c:pt idx="20">
                  <c:v>27836</c:v>
                </c:pt>
                <c:pt idx="21">
                  <c:v>28377</c:v>
                </c:pt>
              </c:numCache>
            </c:numRef>
          </c:val>
          <c:extLst>
            <c:ext xmlns:c16="http://schemas.microsoft.com/office/drawing/2014/chart" uri="{C3380CC4-5D6E-409C-BE32-E72D297353CC}">
              <c16:uniqueId val="{00000316-9C22-49C7-AC0B-30C491EA6644}"/>
            </c:ext>
          </c:extLst>
        </c:ser>
        <c:ser>
          <c:idx val="7"/>
          <c:order val="8"/>
          <c:tx>
            <c:strRef>
              <c:f>'NEMInstalledCapacity Data'!$B$10</c:f>
              <c:strCache>
                <c:ptCount val="1"/>
                <c:pt idx="0">
                  <c:v>Utility storage</c:v>
                </c:pt>
              </c:strCache>
            </c:strRef>
          </c:tx>
          <c:spPr>
            <a:solidFill>
              <a:srgbClr val="842593"/>
            </a:solidFill>
            <a:ln>
              <a:noFill/>
            </a:ln>
            <a:effectLst/>
          </c:spPr>
          <c:invertIfNegative val="0"/>
          <c:dPt>
            <c:idx val="0"/>
            <c:invertIfNegative val="0"/>
            <c:bubble3D val="0"/>
            <c:extLst>
              <c:ext xmlns:c16="http://schemas.microsoft.com/office/drawing/2014/chart" uri="{C3380CC4-5D6E-409C-BE32-E72D297353CC}">
                <c16:uniqueId val="{00000319-9C22-49C7-AC0B-30C491EA6644}"/>
              </c:ext>
            </c:extLst>
          </c:dPt>
          <c:dPt>
            <c:idx val="1"/>
            <c:invertIfNegative val="0"/>
            <c:bubble3D val="0"/>
            <c:extLst>
              <c:ext xmlns:c16="http://schemas.microsoft.com/office/drawing/2014/chart" uri="{C3380CC4-5D6E-409C-BE32-E72D297353CC}">
                <c16:uniqueId val="{0000031B-9C22-49C7-AC0B-30C491EA6644}"/>
              </c:ext>
            </c:extLst>
          </c:dPt>
          <c:dPt>
            <c:idx val="2"/>
            <c:invertIfNegative val="0"/>
            <c:bubble3D val="0"/>
            <c:extLst>
              <c:ext xmlns:c16="http://schemas.microsoft.com/office/drawing/2014/chart" uri="{C3380CC4-5D6E-409C-BE32-E72D297353CC}">
                <c16:uniqueId val="{0000031D-9C22-49C7-AC0B-30C491EA6644}"/>
              </c:ext>
            </c:extLst>
          </c:dPt>
          <c:dPt>
            <c:idx val="3"/>
            <c:invertIfNegative val="0"/>
            <c:bubble3D val="0"/>
            <c:extLst>
              <c:ext xmlns:c16="http://schemas.microsoft.com/office/drawing/2014/chart" uri="{C3380CC4-5D6E-409C-BE32-E72D297353CC}">
                <c16:uniqueId val="{0000031F-9C22-49C7-AC0B-30C491EA6644}"/>
              </c:ext>
            </c:extLst>
          </c:dPt>
          <c:dPt>
            <c:idx val="4"/>
            <c:invertIfNegative val="0"/>
            <c:bubble3D val="0"/>
            <c:extLst>
              <c:ext xmlns:c16="http://schemas.microsoft.com/office/drawing/2014/chart" uri="{C3380CC4-5D6E-409C-BE32-E72D297353CC}">
                <c16:uniqueId val="{00000321-9C22-49C7-AC0B-30C491EA6644}"/>
              </c:ext>
            </c:extLst>
          </c:dPt>
          <c:dPt>
            <c:idx val="5"/>
            <c:invertIfNegative val="0"/>
            <c:bubble3D val="0"/>
            <c:extLst>
              <c:ext xmlns:c16="http://schemas.microsoft.com/office/drawing/2014/chart" uri="{C3380CC4-5D6E-409C-BE32-E72D297353CC}">
                <c16:uniqueId val="{00000323-9C22-49C7-AC0B-30C491EA6644}"/>
              </c:ext>
            </c:extLst>
          </c:dPt>
          <c:dPt>
            <c:idx val="6"/>
            <c:invertIfNegative val="0"/>
            <c:bubble3D val="0"/>
            <c:extLst>
              <c:ext xmlns:c16="http://schemas.microsoft.com/office/drawing/2014/chart" uri="{C3380CC4-5D6E-409C-BE32-E72D297353CC}">
                <c16:uniqueId val="{00000325-9C22-49C7-AC0B-30C491EA6644}"/>
              </c:ext>
            </c:extLst>
          </c:dPt>
          <c:dPt>
            <c:idx val="7"/>
            <c:invertIfNegative val="0"/>
            <c:bubble3D val="0"/>
            <c:extLst>
              <c:ext xmlns:c16="http://schemas.microsoft.com/office/drawing/2014/chart" uri="{C3380CC4-5D6E-409C-BE32-E72D297353CC}">
                <c16:uniqueId val="{00000327-9C22-49C7-AC0B-30C491EA6644}"/>
              </c:ext>
            </c:extLst>
          </c:dPt>
          <c:dPt>
            <c:idx val="8"/>
            <c:invertIfNegative val="0"/>
            <c:bubble3D val="0"/>
            <c:extLst>
              <c:ext xmlns:c16="http://schemas.microsoft.com/office/drawing/2014/chart" uri="{C3380CC4-5D6E-409C-BE32-E72D297353CC}">
                <c16:uniqueId val="{00000329-9C22-49C7-AC0B-30C491EA6644}"/>
              </c:ext>
            </c:extLst>
          </c:dPt>
          <c:dPt>
            <c:idx val="9"/>
            <c:invertIfNegative val="0"/>
            <c:bubble3D val="0"/>
            <c:extLst>
              <c:ext xmlns:c16="http://schemas.microsoft.com/office/drawing/2014/chart" uri="{C3380CC4-5D6E-409C-BE32-E72D297353CC}">
                <c16:uniqueId val="{0000032B-9C22-49C7-AC0B-30C491EA6644}"/>
              </c:ext>
            </c:extLst>
          </c:dPt>
          <c:dPt>
            <c:idx val="10"/>
            <c:invertIfNegative val="0"/>
            <c:bubble3D val="0"/>
            <c:extLst>
              <c:ext xmlns:c16="http://schemas.microsoft.com/office/drawing/2014/chart" uri="{C3380CC4-5D6E-409C-BE32-E72D297353CC}">
                <c16:uniqueId val="{0000032D-9C22-49C7-AC0B-30C491EA6644}"/>
              </c:ext>
            </c:extLst>
          </c:dPt>
          <c:dPt>
            <c:idx val="11"/>
            <c:invertIfNegative val="0"/>
            <c:bubble3D val="0"/>
            <c:extLst>
              <c:ext xmlns:c16="http://schemas.microsoft.com/office/drawing/2014/chart" uri="{C3380CC4-5D6E-409C-BE32-E72D297353CC}">
                <c16:uniqueId val="{0000032F-9C22-49C7-AC0B-30C491EA6644}"/>
              </c:ext>
            </c:extLst>
          </c:dPt>
          <c:dPt>
            <c:idx val="12"/>
            <c:invertIfNegative val="0"/>
            <c:bubble3D val="0"/>
            <c:extLst>
              <c:ext xmlns:c16="http://schemas.microsoft.com/office/drawing/2014/chart" uri="{C3380CC4-5D6E-409C-BE32-E72D297353CC}">
                <c16:uniqueId val="{00000331-9C22-49C7-AC0B-30C491EA6644}"/>
              </c:ext>
            </c:extLst>
          </c:dPt>
          <c:dPt>
            <c:idx val="13"/>
            <c:invertIfNegative val="0"/>
            <c:bubble3D val="0"/>
            <c:extLst>
              <c:ext xmlns:c16="http://schemas.microsoft.com/office/drawing/2014/chart" uri="{C3380CC4-5D6E-409C-BE32-E72D297353CC}">
                <c16:uniqueId val="{00000333-9C22-49C7-AC0B-30C491EA6644}"/>
              </c:ext>
            </c:extLst>
          </c:dPt>
          <c:dPt>
            <c:idx val="14"/>
            <c:invertIfNegative val="0"/>
            <c:bubble3D val="0"/>
            <c:extLst>
              <c:ext xmlns:c16="http://schemas.microsoft.com/office/drawing/2014/chart" uri="{C3380CC4-5D6E-409C-BE32-E72D297353CC}">
                <c16:uniqueId val="{00000335-9C22-49C7-AC0B-30C491EA6644}"/>
              </c:ext>
            </c:extLst>
          </c:dPt>
          <c:dPt>
            <c:idx val="15"/>
            <c:invertIfNegative val="0"/>
            <c:bubble3D val="0"/>
            <c:extLst>
              <c:ext xmlns:c16="http://schemas.microsoft.com/office/drawing/2014/chart" uri="{C3380CC4-5D6E-409C-BE32-E72D297353CC}">
                <c16:uniqueId val="{00000337-9C22-49C7-AC0B-30C491EA6644}"/>
              </c:ext>
            </c:extLst>
          </c:dPt>
          <c:dPt>
            <c:idx val="16"/>
            <c:invertIfNegative val="0"/>
            <c:bubble3D val="0"/>
            <c:extLst>
              <c:ext xmlns:c16="http://schemas.microsoft.com/office/drawing/2014/chart" uri="{C3380CC4-5D6E-409C-BE32-E72D297353CC}">
                <c16:uniqueId val="{00000339-9C22-49C7-AC0B-30C491EA6644}"/>
              </c:ext>
            </c:extLst>
          </c:dPt>
          <c:dPt>
            <c:idx val="17"/>
            <c:invertIfNegative val="0"/>
            <c:bubble3D val="0"/>
            <c:extLst>
              <c:ext xmlns:c16="http://schemas.microsoft.com/office/drawing/2014/chart" uri="{C3380CC4-5D6E-409C-BE32-E72D297353CC}">
                <c16:uniqueId val="{0000033B-9C22-49C7-AC0B-30C491EA6644}"/>
              </c:ext>
            </c:extLst>
          </c:dPt>
          <c:dPt>
            <c:idx val="18"/>
            <c:invertIfNegative val="0"/>
            <c:bubble3D val="0"/>
            <c:extLst>
              <c:ext xmlns:c16="http://schemas.microsoft.com/office/drawing/2014/chart" uri="{C3380CC4-5D6E-409C-BE32-E72D297353CC}">
                <c16:uniqueId val="{0000033D-9C22-49C7-AC0B-30C491EA6644}"/>
              </c:ext>
            </c:extLst>
          </c:dPt>
          <c:dPt>
            <c:idx val="19"/>
            <c:invertIfNegative val="0"/>
            <c:bubble3D val="0"/>
            <c:extLst>
              <c:ext xmlns:c16="http://schemas.microsoft.com/office/drawing/2014/chart" uri="{C3380CC4-5D6E-409C-BE32-E72D297353CC}">
                <c16:uniqueId val="{0000033F-9C22-49C7-AC0B-30C491EA6644}"/>
              </c:ext>
            </c:extLst>
          </c:dPt>
          <c:dPt>
            <c:idx val="20"/>
            <c:invertIfNegative val="0"/>
            <c:bubble3D val="0"/>
            <c:extLst>
              <c:ext xmlns:c16="http://schemas.microsoft.com/office/drawing/2014/chart" uri="{C3380CC4-5D6E-409C-BE32-E72D297353CC}">
                <c16:uniqueId val="{00000341-9C22-49C7-AC0B-30C491EA6644}"/>
              </c:ext>
            </c:extLst>
          </c:dPt>
          <c:dPt>
            <c:idx val="21"/>
            <c:invertIfNegative val="0"/>
            <c:bubble3D val="0"/>
            <c:extLst>
              <c:ext xmlns:c16="http://schemas.microsoft.com/office/drawing/2014/chart" uri="{C3380CC4-5D6E-409C-BE32-E72D297353CC}">
                <c16:uniqueId val="{00000343-9C22-49C7-AC0B-30C491EA6644}"/>
              </c:ext>
            </c:extLst>
          </c:dPt>
          <c:dPt>
            <c:idx val="22"/>
            <c:invertIfNegative val="0"/>
            <c:bubble3D val="0"/>
            <c:extLst>
              <c:ext xmlns:c16="http://schemas.microsoft.com/office/drawing/2014/chart" uri="{C3380CC4-5D6E-409C-BE32-E72D297353CC}">
                <c16:uniqueId val="{00000345-9C22-49C7-AC0B-30C491EA6644}"/>
              </c:ext>
            </c:extLst>
          </c:dPt>
          <c:dPt>
            <c:idx val="23"/>
            <c:invertIfNegative val="0"/>
            <c:bubble3D val="0"/>
            <c:extLst>
              <c:ext xmlns:c16="http://schemas.microsoft.com/office/drawing/2014/chart" uri="{C3380CC4-5D6E-409C-BE32-E72D297353CC}">
                <c16:uniqueId val="{00000347-9C22-49C7-AC0B-30C491EA6644}"/>
              </c:ext>
            </c:extLst>
          </c:dPt>
          <c:dPt>
            <c:idx val="24"/>
            <c:invertIfNegative val="0"/>
            <c:bubble3D val="0"/>
            <c:extLst>
              <c:ext xmlns:c16="http://schemas.microsoft.com/office/drawing/2014/chart" uri="{C3380CC4-5D6E-409C-BE32-E72D297353CC}">
                <c16:uniqueId val="{00000349-9C22-49C7-AC0B-30C491EA6644}"/>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Data'!$C$10:$X$10</c:f>
              <c:numCache>
                <c:formatCode>#,##0_ ;\-#,##0\ </c:formatCode>
                <c:ptCount val="22"/>
                <c:pt idx="0">
                  <c:v>2681</c:v>
                </c:pt>
                <c:pt idx="1">
                  <c:v>2701</c:v>
                </c:pt>
                <c:pt idx="2">
                  <c:v>2801</c:v>
                </c:pt>
                <c:pt idx="3">
                  <c:v>2801</c:v>
                </c:pt>
                <c:pt idx="4">
                  <c:v>2801</c:v>
                </c:pt>
                <c:pt idx="5">
                  <c:v>2801</c:v>
                </c:pt>
                <c:pt idx="6">
                  <c:v>3272</c:v>
                </c:pt>
                <c:pt idx="7">
                  <c:v>3452</c:v>
                </c:pt>
                <c:pt idx="8">
                  <c:v>3452</c:v>
                </c:pt>
                <c:pt idx="9">
                  <c:v>3452</c:v>
                </c:pt>
                <c:pt idx="10">
                  <c:v>3772</c:v>
                </c:pt>
                <c:pt idx="11">
                  <c:v>4543</c:v>
                </c:pt>
                <c:pt idx="12">
                  <c:v>4543</c:v>
                </c:pt>
                <c:pt idx="13">
                  <c:v>4733</c:v>
                </c:pt>
                <c:pt idx="14">
                  <c:v>6110</c:v>
                </c:pt>
                <c:pt idx="15">
                  <c:v>6274</c:v>
                </c:pt>
                <c:pt idx="16">
                  <c:v>9078</c:v>
                </c:pt>
                <c:pt idx="17">
                  <c:v>12052</c:v>
                </c:pt>
                <c:pt idx="18">
                  <c:v>14939</c:v>
                </c:pt>
                <c:pt idx="19">
                  <c:v>15839</c:v>
                </c:pt>
                <c:pt idx="20">
                  <c:v>17069</c:v>
                </c:pt>
                <c:pt idx="21">
                  <c:v>17563</c:v>
                </c:pt>
              </c:numCache>
            </c:numRef>
          </c:val>
          <c:extLst>
            <c:ext xmlns:c16="http://schemas.microsoft.com/office/drawing/2014/chart" uri="{C3380CC4-5D6E-409C-BE32-E72D297353CC}">
              <c16:uniqueId val="{0000034A-9C22-49C7-AC0B-30C491EA6644}"/>
            </c:ext>
          </c:extLst>
        </c:ser>
        <c:ser>
          <c:idx val="10"/>
          <c:order val="9"/>
          <c:tx>
            <c:strRef>
              <c:f>'NEMInstalledCapacity Data'!$B$12</c:f>
              <c:strCache>
                <c:ptCount val="1"/>
                <c:pt idx="0">
                  <c:v>Distributed storage</c:v>
                </c:pt>
              </c:strCache>
            </c:strRef>
          </c:tx>
          <c:spPr>
            <a:solidFill>
              <a:srgbClr val="92D050"/>
            </a:solidFill>
            <a:ln>
              <a:noFill/>
            </a:ln>
            <a:effectLst/>
          </c:spPr>
          <c:invertIfNegative val="0"/>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Data'!$C$12:$X$12</c:f>
              <c:numCache>
                <c:formatCode>#,##0_ ;\-#,##0\ </c:formatCode>
                <c:ptCount val="22"/>
                <c:pt idx="0">
                  <c:v>312.26</c:v>
                </c:pt>
                <c:pt idx="1">
                  <c:v>601.14</c:v>
                </c:pt>
                <c:pt idx="2">
                  <c:v>977.37</c:v>
                </c:pt>
                <c:pt idx="3">
                  <c:v>1323.6</c:v>
                </c:pt>
                <c:pt idx="4">
                  <c:v>1656.16</c:v>
                </c:pt>
                <c:pt idx="5">
                  <c:v>1975.32</c:v>
                </c:pt>
                <c:pt idx="6">
                  <c:v>2288.36</c:v>
                </c:pt>
                <c:pt idx="7">
                  <c:v>2587.9499999999998</c:v>
                </c:pt>
                <c:pt idx="8">
                  <c:v>2881.12</c:v>
                </c:pt>
                <c:pt idx="9">
                  <c:v>3166.67</c:v>
                </c:pt>
                <c:pt idx="10">
                  <c:v>3446.18</c:v>
                </c:pt>
                <c:pt idx="11">
                  <c:v>3723.38</c:v>
                </c:pt>
                <c:pt idx="12">
                  <c:v>3980.08</c:v>
                </c:pt>
                <c:pt idx="13">
                  <c:v>4212.34</c:v>
                </c:pt>
                <c:pt idx="14">
                  <c:v>4435.8900000000003</c:v>
                </c:pt>
                <c:pt idx="15">
                  <c:v>4651.38</c:v>
                </c:pt>
                <c:pt idx="16">
                  <c:v>4860.53</c:v>
                </c:pt>
                <c:pt idx="17">
                  <c:v>5065.55</c:v>
                </c:pt>
                <c:pt idx="18">
                  <c:v>5261.95</c:v>
                </c:pt>
                <c:pt idx="19">
                  <c:v>5452.1</c:v>
                </c:pt>
                <c:pt idx="20">
                  <c:v>5592.66</c:v>
                </c:pt>
                <c:pt idx="21">
                  <c:v>5774.18</c:v>
                </c:pt>
              </c:numCache>
            </c:numRef>
          </c:val>
          <c:extLst>
            <c:ext xmlns:c16="http://schemas.microsoft.com/office/drawing/2014/chart" uri="{C3380CC4-5D6E-409C-BE32-E72D297353CC}">
              <c16:uniqueId val="{0000034C-9C22-49C7-AC0B-30C491EA6644}"/>
            </c:ext>
          </c:extLst>
        </c:ser>
        <c:ser>
          <c:idx val="8"/>
          <c:order val="10"/>
          <c:tx>
            <c:strRef>
              <c:f>'NEMInstalledCapacity Data'!$B$13</c:f>
              <c:strCache>
                <c:ptCount val="1"/>
                <c:pt idx="0">
                  <c:v>Rooftop PV</c:v>
                </c:pt>
              </c:strCache>
            </c:strRef>
          </c:tx>
          <c:spPr>
            <a:solidFill>
              <a:srgbClr val="FFE7A7"/>
            </a:solidFill>
            <a:ln>
              <a:noFill/>
            </a:ln>
            <a:effectLst/>
          </c:spPr>
          <c:invertIfNegative val="0"/>
          <c:dPt>
            <c:idx val="0"/>
            <c:invertIfNegative val="0"/>
            <c:bubble3D val="0"/>
            <c:extLst>
              <c:ext xmlns:c16="http://schemas.microsoft.com/office/drawing/2014/chart" uri="{C3380CC4-5D6E-409C-BE32-E72D297353CC}">
                <c16:uniqueId val="{0000034F-9C22-49C7-AC0B-30C491EA6644}"/>
              </c:ext>
            </c:extLst>
          </c:dPt>
          <c:dPt>
            <c:idx val="1"/>
            <c:invertIfNegative val="0"/>
            <c:bubble3D val="0"/>
            <c:extLst>
              <c:ext xmlns:c16="http://schemas.microsoft.com/office/drawing/2014/chart" uri="{C3380CC4-5D6E-409C-BE32-E72D297353CC}">
                <c16:uniqueId val="{00000351-9C22-49C7-AC0B-30C491EA6644}"/>
              </c:ext>
            </c:extLst>
          </c:dPt>
          <c:dPt>
            <c:idx val="2"/>
            <c:invertIfNegative val="0"/>
            <c:bubble3D val="0"/>
            <c:extLst>
              <c:ext xmlns:c16="http://schemas.microsoft.com/office/drawing/2014/chart" uri="{C3380CC4-5D6E-409C-BE32-E72D297353CC}">
                <c16:uniqueId val="{00000353-9C22-49C7-AC0B-30C491EA6644}"/>
              </c:ext>
            </c:extLst>
          </c:dPt>
          <c:dPt>
            <c:idx val="3"/>
            <c:invertIfNegative val="0"/>
            <c:bubble3D val="0"/>
            <c:extLst>
              <c:ext xmlns:c16="http://schemas.microsoft.com/office/drawing/2014/chart" uri="{C3380CC4-5D6E-409C-BE32-E72D297353CC}">
                <c16:uniqueId val="{00000355-9C22-49C7-AC0B-30C491EA6644}"/>
              </c:ext>
            </c:extLst>
          </c:dPt>
          <c:dPt>
            <c:idx val="4"/>
            <c:invertIfNegative val="0"/>
            <c:bubble3D val="0"/>
            <c:extLst>
              <c:ext xmlns:c16="http://schemas.microsoft.com/office/drawing/2014/chart" uri="{C3380CC4-5D6E-409C-BE32-E72D297353CC}">
                <c16:uniqueId val="{00000357-9C22-49C7-AC0B-30C491EA6644}"/>
              </c:ext>
            </c:extLst>
          </c:dPt>
          <c:dPt>
            <c:idx val="5"/>
            <c:invertIfNegative val="0"/>
            <c:bubble3D val="0"/>
            <c:extLst>
              <c:ext xmlns:c16="http://schemas.microsoft.com/office/drawing/2014/chart" uri="{C3380CC4-5D6E-409C-BE32-E72D297353CC}">
                <c16:uniqueId val="{00000359-9C22-49C7-AC0B-30C491EA6644}"/>
              </c:ext>
            </c:extLst>
          </c:dPt>
          <c:dPt>
            <c:idx val="6"/>
            <c:invertIfNegative val="0"/>
            <c:bubble3D val="0"/>
            <c:extLst>
              <c:ext xmlns:c16="http://schemas.microsoft.com/office/drawing/2014/chart" uri="{C3380CC4-5D6E-409C-BE32-E72D297353CC}">
                <c16:uniqueId val="{0000035B-9C22-49C7-AC0B-30C491EA6644}"/>
              </c:ext>
            </c:extLst>
          </c:dPt>
          <c:dPt>
            <c:idx val="7"/>
            <c:invertIfNegative val="0"/>
            <c:bubble3D val="0"/>
            <c:extLst>
              <c:ext xmlns:c16="http://schemas.microsoft.com/office/drawing/2014/chart" uri="{C3380CC4-5D6E-409C-BE32-E72D297353CC}">
                <c16:uniqueId val="{0000035D-9C22-49C7-AC0B-30C491EA6644}"/>
              </c:ext>
            </c:extLst>
          </c:dPt>
          <c:dPt>
            <c:idx val="8"/>
            <c:invertIfNegative val="0"/>
            <c:bubble3D val="0"/>
            <c:extLst>
              <c:ext xmlns:c16="http://schemas.microsoft.com/office/drawing/2014/chart" uri="{C3380CC4-5D6E-409C-BE32-E72D297353CC}">
                <c16:uniqueId val="{0000035F-9C22-49C7-AC0B-30C491EA6644}"/>
              </c:ext>
            </c:extLst>
          </c:dPt>
          <c:dPt>
            <c:idx val="9"/>
            <c:invertIfNegative val="0"/>
            <c:bubble3D val="0"/>
            <c:extLst>
              <c:ext xmlns:c16="http://schemas.microsoft.com/office/drawing/2014/chart" uri="{C3380CC4-5D6E-409C-BE32-E72D297353CC}">
                <c16:uniqueId val="{00000361-9C22-49C7-AC0B-30C491EA6644}"/>
              </c:ext>
            </c:extLst>
          </c:dPt>
          <c:dPt>
            <c:idx val="10"/>
            <c:invertIfNegative val="0"/>
            <c:bubble3D val="0"/>
            <c:extLst>
              <c:ext xmlns:c16="http://schemas.microsoft.com/office/drawing/2014/chart" uri="{C3380CC4-5D6E-409C-BE32-E72D297353CC}">
                <c16:uniqueId val="{00000363-9C22-49C7-AC0B-30C491EA6644}"/>
              </c:ext>
            </c:extLst>
          </c:dPt>
          <c:dPt>
            <c:idx val="11"/>
            <c:invertIfNegative val="0"/>
            <c:bubble3D val="0"/>
            <c:extLst>
              <c:ext xmlns:c16="http://schemas.microsoft.com/office/drawing/2014/chart" uri="{C3380CC4-5D6E-409C-BE32-E72D297353CC}">
                <c16:uniqueId val="{00000365-9C22-49C7-AC0B-30C491EA6644}"/>
              </c:ext>
            </c:extLst>
          </c:dPt>
          <c:dPt>
            <c:idx val="12"/>
            <c:invertIfNegative val="0"/>
            <c:bubble3D val="0"/>
            <c:extLst>
              <c:ext xmlns:c16="http://schemas.microsoft.com/office/drawing/2014/chart" uri="{C3380CC4-5D6E-409C-BE32-E72D297353CC}">
                <c16:uniqueId val="{00000367-9C22-49C7-AC0B-30C491EA6644}"/>
              </c:ext>
            </c:extLst>
          </c:dPt>
          <c:dPt>
            <c:idx val="13"/>
            <c:invertIfNegative val="0"/>
            <c:bubble3D val="0"/>
            <c:extLst>
              <c:ext xmlns:c16="http://schemas.microsoft.com/office/drawing/2014/chart" uri="{C3380CC4-5D6E-409C-BE32-E72D297353CC}">
                <c16:uniqueId val="{00000369-9C22-49C7-AC0B-30C491EA6644}"/>
              </c:ext>
            </c:extLst>
          </c:dPt>
          <c:dPt>
            <c:idx val="14"/>
            <c:invertIfNegative val="0"/>
            <c:bubble3D val="0"/>
            <c:extLst>
              <c:ext xmlns:c16="http://schemas.microsoft.com/office/drawing/2014/chart" uri="{C3380CC4-5D6E-409C-BE32-E72D297353CC}">
                <c16:uniqueId val="{0000036B-9C22-49C7-AC0B-30C491EA6644}"/>
              </c:ext>
            </c:extLst>
          </c:dPt>
          <c:dPt>
            <c:idx val="15"/>
            <c:invertIfNegative val="0"/>
            <c:bubble3D val="0"/>
            <c:extLst>
              <c:ext xmlns:c16="http://schemas.microsoft.com/office/drawing/2014/chart" uri="{C3380CC4-5D6E-409C-BE32-E72D297353CC}">
                <c16:uniqueId val="{0000036D-9C22-49C7-AC0B-30C491EA6644}"/>
              </c:ext>
            </c:extLst>
          </c:dPt>
          <c:dPt>
            <c:idx val="16"/>
            <c:invertIfNegative val="0"/>
            <c:bubble3D val="0"/>
            <c:extLst>
              <c:ext xmlns:c16="http://schemas.microsoft.com/office/drawing/2014/chart" uri="{C3380CC4-5D6E-409C-BE32-E72D297353CC}">
                <c16:uniqueId val="{0000036F-9C22-49C7-AC0B-30C491EA6644}"/>
              </c:ext>
            </c:extLst>
          </c:dPt>
          <c:dPt>
            <c:idx val="17"/>
            <c:invertIfNegative val="0"/>
            <c:bubble3D val="0"/>
            <c:extLst>
              <c:ext xmlns:c16="http://schemas.microsoft.com/office/drawing/2014/chart" uri="{C3380CC4-5D6E-409C-BE32-E72D297353CC}">
                <c16:uniqueId val="{00000371-9C22-49C7-AC0B-30C491EA6644}"/>
              </c:ext>
            </c:extLst>
          </c:dPt>
          <c:dPt>
            <c:idx val="18"/>
            <c:invertIfNegative val="0"/>
            <c:bubble3D val="0"/>
            <c:extLst>
              <c:ext xmlns:c16="http://schemas.microsoft.com/office/drawing/2014/chart" uri="{C3380CC4-5D6E-409C-BE32-E72D297353CC}">
                <c16:uniqueId val="{00000373-9C22-49C7-AC0B-30C491EA6644}"/>
              </c:ext>
            </c:extLst>
          </c:dPt>
          <c:dPt>
            <c:idx val="19"/>
            <c:invertIfNegative val="0"/>
            <c:bubble3D val="0"/>
            <c:extLst>
              <c:ext xmlns:c16="http://schemas.microsoft.com/office/drawing/2014/chart" uri="{C3380CC4-5D6E-409C-BE32-E72D297353CC}">
                <c16:uniqueId val="{00000375-9C22-49C7-AC0B-30C491EA6644}"/>
              </c:ext>
            </c:extLst>
          </c:dPt>
          <c:dPt>
            <c:idx val="20"/>
            <c:invertIfNegative val="0"/>
            <c:bubble3D val="0"/>
            <c:extLst>
              <c:ext xmlns:c16="http://schemas.microsoft.com/office/drawing/2014/chart" uri="{C3380CC4-5D6E-409C-BE32-E72D297353CC}">
                <c16:uniqueId val="{00000377-9C22-49C7-AC0B-30C491EA6644}"/>
              </c:ext>
            </c:extLst>
          </c:dPt>
          <c:dPt>
            <c:idx val="21"/>
            <c:invertIfNegative val="0"/>
            <c:bubble3D val="0"/>
            <c:extLst>
              <c:ext xmlns:c16="http://schemas.microsoft.com/office/drawing/2014/chart" uri="{C3380CC4-5D6E-409C-BE32-E72D297353CC}">
                <c16:uniqueId val="{00000379-9C22-49C7-AC0B-30C491EA6644}"/>
              </c:ext>
            </c:extLst>
          </c:dPt>
          <c:dPt>
            <c:idx val="22"/>
            <c:invertIfNegative val="0"/>
            <c:bubble3D val="0"/>
            <c:extLst>
              <c:ext xmlns:c16="http://schemas.microsoft.com/office/drawing/2014/chart" uri="{C3380CC4-5D6E-409C-BE32-E72D297353CC}">
                <c16:uniqueId val="{0000037B-9C22-49C7-AC0B-30C491EA6644}"/>
              </c:ext>
            </c:extLst>
          </c:dPt>
          <c:dPt>
            <c:idx val="23"/>
            <c:invertIfNegative val="0"/>
            <c:bubble3D val="0"/>
            <c:extLst>
              <c:ext xmlns:c16="http://schemas.microsoft.com/office/drawing/2014/chart" uri="{C3380CC4-5D6E-409C-BE32-E72D297353CC}">
                <c16:uniqueId val="{0000037D-9C22-49C7-AC0B-30C491EA6644}"/>
              </c:ext>
            </c:extLst>
          </c:dPt>
          <c:dPt>
            <c:idx val="24"/>
            <c:invertIfNegative val="0"/>
            <c:bubble3D val="0"/>
            <c:extLst>
              <c:ext xmlns:c16="http://schemas.microsoft.com/office/drawing/2014/chart" uri="{C3380CC4-5D6E-409C-BE32-E72D297353CC}">
                <c16:uniqueId val="{0000037F-9C22-49C7-AC0B-30C491EA6644}"/>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Data'!$C$13:$X$13</c:f>
              <c:numCache>
                <c:formatCode>#,##0_ ;\-#,##0\ </c:formatCode>
                <c:ptCount val="22"/>
                <c:pt idx="0">
                  <c:v>7324</c:v>
                </c:pt>
                <c:pt idx="1">
                  <c:v>8264</c:v>
                </c:pt>
                <c:pt idx="2">
                  <c:v>9186</c:v>
                </c:pt>
                <c:pt idx="3">
                  <c:v>10082</c:v>
                </c:pt>
                <c:pt idx="4">
                  <c:v>10958</c:v>
                </c:pt>
                <c:pt idx="5">
                  <c:v>11817</c:v>
                </c:pt>
                <c:pt idx="6">
                  <c:v>12651</c:v>
                </c:pt>
                <c:pt idx="7">
                  <c:v>13459</c:v>
                </c:pt>
                <c:pt idx="8">
                  <c:v>14248</c:v>
                </c:pt>
                <c:pt idx="9">
                  <c:v>15010</c:v>
                </c:pt>
                <c:pt idx="10">
                  <c:v>15739</c:v>
                </c:pt>
                <c:pt idx="11">
                  <c:v>16439</c:v>
                </c:pt>
                <c:pt idx="12">
                  <c:v>17092</c:v>
                </c:pt>
                <c:pt idx="13">
                  <c:v>17701</c:v>
                </c:pt>
                <c:pt idx="14">
                  <c:v>18245</c:v>
                </c:pt>
                <c:pt idx="15">
                  <c:v>18744</c:v>
                </c:pt>
                <c:pt idx="16">
                  <c:v>19214</c:v>
                </c:pt>
                <c:pt idx="17">
                  <c:v>19655</c:v>
                </c:pt>
                <c:pt idx="18">
                  <c:v>20058</c:v>
                </c:pt>
                <c:pt idx="19">
                  <c:v>20386</c:v>
                </c:pt>
                <c:pt idx="20">
                  <c:v>20724</c:v>
                </c:pt>
                <c:pt idx="21">
                  <c:v>21018</c:v>
                </c:pt>
              </c:numCache>
            </c:numRef>
          </c:val>
          <c:extLst>
            <c:ext xmlns:c16="http://schemas.microsoft.com/office/drawing/2014/chart" uri="{C3380CC4-5D6E-409C-BE32-E72D297353CC}">
              <c16:uniqueId val="{00000380-9C22-49C7-AC0B-30C491EA6644}"/>
            </c:ext>
          </c:extLst>
        </c:ser>
        <c:dLbls>
          <c:showLegendKey val="0"/>
          <c:showVal val="0"/>
          <c:showCatName val="0"/>
          <c:showSerName val="0"/>
          <c:showPercent val="0"/>
          <c:showBubbleSize val="0"/>
        </c:dLbls>
        <c:gapWidth val="150"/>
        <c:overlap val="100"/>
        <c:axId val="790774792"/>
        <c:axId val="217006776"/>
        <c:extLst/>
      </c:barChart>
      <c:catAx>
        <c:axId val="7907747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sz="900" b="1"/>
                  <a:t>Year</a:t>
                </a:r>
              </a:p>
            </c:rich>
          </c:tx>
          <c:layout>
            <c:manualLayout>
              <c:xMode val="edge"/>
              <c:yMode val="edge"/>
              <c:x val="0.49636411161955318"/>
              <c:y val="0.80159096108997518"/>
            </c:manualLayout>
          </c:layout>
          <c:overlay val="0"/>
          <c:spPr>
            <a:noFill/>
            <a:ln>
              <a:noFill/>
            </a:ln>
            <a:effectLst/>
          </c:spPr>
        </c:title>
        <c:numFmt formatCode="#,##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217006776"/>
        <c:crosses val="autoZero"/>
        <c:auto val="1"/>
        <c:lblAlgn val="ctr"/>
        <c:lblOffset val="100"/>
        <c:noMultiLvlLbl val="0"/>
      </c:catAx>
      <c:valAx>
        <c:axId val="217006776"/>
        <c:scaling>
          <c:orientation val="minMax"/>
        </c:scaling>
        <c:delete val="0"/>
        <c:axPos val="l"/>
        <c:majorGridlines>
          <c:spPr>
            <a:ln w="6350"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sz="900" b="1"/>
                  <a:t>Installed capacity (MW)</a:t>
                </a:r>
              </a:p>
            </c:rich>
          </c:tx>
          <c:layout>
            <c:manualLayout>
              <c:xMode val="edge"/>
              <c:yMode val="edge"/>
              <c:x val="1.9746836230313414E-2"/>
              <c:y val="0.19704163874881597"/>
            </c:manualLayout>
          </c:layout>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790774792"/>
        <c:crosses val="autoZero"/>
        <c:crossBetween val="between"/>
      </c:valAx>
    </c:plotArea>
    <c:legend>
      <c:legendPos val="b"/>
      <c:layout>
        <c:manualLayout>
          <c:xMode val="edge"/>
          <c:yMode val="edge"/>
          <c:x val="0.11879026354856696"/>
          <c:y val="0.85445706781823372"/>
          <c:w val="0.81068934425818839"/>
          <c:h val="0.12773471268354208"/>
        </c:manualLayout>
      </c:layout>
      <c:overlay val="0"/>
      <c:spPr>
        <a:noFill/>
        <a:ln>
          <a:noFill/>
        </a:ln>
        <a:effectLst/>
        <a:extLst>
          <a:ext uri="{91240B29-F687-4F45-9708-019B960494DF}">
            <a14:hiddenLine xmlns:a14="http://schemas.microsoft.com/office/drawing/2010/main">
              <a:noFill/>
              <a:round/>
            </a14:hiddenLine>
          </a:ext>
        </a:ex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legend>
    <c:plotVisOnly val="1"/>
    <c:dispBlanksAs val="zero"/>
    <c:showDLblsOverMax val="0"/>
  </c:chart>
  <c:spPr>
    <a:noFill/>
    <a:ln w="9525" cap="flat" cmpd="sng" algn="ctr">
      <a:noFill/>
      <a:round/>
    </a:ln>
    <a:effectLst/>
  </c:spPr>
  <c:txPr>
    <a:bodyPr/>
    <a:lstStyle/>
    <a:p>
      <a:pPr>
        <a:defRPr>
          <a:solidFill>
            <a:schemeClr val="tx1"/>
          </a:solidFil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082001628509222"/>
          <c:y val="3.2567640214531464E-2"/>
          <c:w val="0.83509542536485004"/>
          <c:h val="0.60776182214664809"/>
        </c:manualLayout>
      </c:layout>
      <c:barChart>
        <c:barDir val="col"/>
        <c:grouping val="stacked"/>
        <c:varyColors val="0"/>
        <c:ser>
          <c:idx val="0"/>
          <c:order val="0"/>
          <c:tx>
            <c:strRef>
              <c:f>'NEMEnergyGenerated Data'!$B$3</c:f>
              <c:strCache>
                <c:ptCount val="1"/>
                <c:pt idx="0">
                  <c:v>Black coal</c:v>
                </c:pt>
              </c:strCache>
            </c:strRef>
          </c:tx>
          <c:spPr>
            <a:solidFill>
              <a:srgbClr val="000000"/>
            </a:solidFill>
            <a:ln>
              <a:noFill/>
            </a:ln>
            <a:effectLst/>
          </c:spPr>
          <c:invertIfNegative val="0"/>
          <c:dPt>
            <c:idx val="0"/>
            <c:invertIfNegative val="0"/>
            <c:bubble3D val="0"/>
            <c:extLst>
              <c:ext xmlns:c16="http://schemas.microsoft.com/office/drawing/2014/chart" uri="{C3380CC4-5D6E-409C-BE32-E72D297353CC}">
                <c16:uniqueId val="{000001F5-0FBF-4522-8453-B08304F5887A}"/>
              </c:ext>
            </c:extLst>
          </c:dPt>
          <c:dPt>
            <c:idx val="1"/>
            <c:invertIfNegative val="0"/>
            <c:bubble3D val="0"/>
            <c:extLst>
              <c:ext xmlns:c16="http://schemas.microsoft.com/office/drawing/2014/chart" uri="{C3380CC4-5D6E-409C-BE32-E72D297353CC}">
                <c16:uniqueId val="{000001F6-0FBF-4522-8453-B08304F5887A}"/>
              </c:ext>
            </c:extLst>
          </c:dPt>
          <c:dPt>
            <c:idx val="2"/>
            <c:invertIfNegative val="0"/>
            <c:bubble3D val="0"/>
            <c:extLst>
              <c:ext xmlns:c16="http://schemas.microsoft.com/office/drawing/2014/chart" uri="{C3380CC4-5D6E-409C-BE32-E72D297353CC}">
                <c16:uniqueId val="{000001F7-0FBF-4522-8453-B08304F5887A}"/>
              </c:ext>
            </c:extLst>
          </c:dPt>
          <c:dPt>
            <c:idx val="3"/>
            <c:invertIfNegative val="0"/>
            <c:bubble3D val="0"/>
            <c:extLst>
              <c:ext xmlns:c16="http://schemas.microsoft.com/office/drawing/2014/chart" uri="{C3380CC4-5D6E-409C-BE32-E72D297353CC}">
                <c16:uniqueId val="{000001F8-0FBF-4522-8453-B08304F5887A}"/>
              </c:ext>
            </c:extLst>
          </c:dPt>
          <c:dPt>
            <c:idx val="4"/>
            <c:invertIfNegative val="0"/>
            <c:bubble3D val="0"/>
            <c:extLst>
              <c:ext xmlns:c16="http://schemas.microsoft.com/office/drawing/2014/chart" uri="{C3380CC4-5D6E-409C-BE32-E72D297353CC}">
                <c16:uniqueId val="{000001F9-0FBF-4522-8453-B08304F5887A}"/>
              </c:ext>
            </c:extLst>
          </c:dPt>
          <c:dPt>
            <c:idx val="5"/>
            <c:invertIfNegative val="0"/>
            <c:bubble3D val="0"/>
            <c:extLst>
              <c:ext xmlns:c16="http://schemas.microsoft.com/office/drawing/2014/chart" uri="{C3380CC4-5D6E-409C-BE32-E72D297353CC}">
                <c16:uniqueId val="{000001FA-0FBF-4522-8453-B08304F5887A}"/>
              </c:ext>
            </c:extLst>
          </c:dPt>
          <c:dPt>
            <c:idx val="6"/>
            <c:invertIfNegative val="0"/>
            <c:bubble3D val="0"/>
            <c:extLst>
              <c:ext xmlns:c16="http://schemas.microsoft.com/office/drawing/2014/chart" uri="{C3380CC4-5D6E-409C-BE32-E72D297353CC}">
                <c16:uniqueId val="{000001FB-0FBF-4522-8453-B08304F5887A}"/>
              </c:ext>
            </c:extLst>
          </c:dPt>
          <c:dPt>
            <c:idx val="7"/>
            <c:invertIfNegative val="0"/>
            <c:bubble3D val="0"/>
            <c:extLst>
              <c:ext xmlns:c16="http://schemas.microsoft.com/office/drawing/2014/chart" uri="{C3380CC4-5D6E-409C-BE32-E72D297353CC}">
                <c16:uniqueId val="{000001FC-0FBF-4522-8453-B08304F5887A}"/>
              </c:ext>
            </c:extLst>
          </c:dPt>
          <c:dPt>
            <c:idx val="8"/>
            <c:invertIfNegative val="0"/>
            <c:bubble3D val="0"/>
            <c:extLst>
              <c:ext xmlns:c16="http://schemas.microsoft.com/office/drawing/2014/chart" uri="{C3380CC4-5D6E-409C-BE32-E72D297353CC}">
                <c16:uniqueId val="{000001FD-0FBF-4522-8453-B08304F5887A}"/>
              </c:ext>
            </c:extLst>
          </c:dPt>
          <c:dPt>
            <c:idx val="9"/>
            <c:invertIfNegative val="0"/>
            <c:bubble3D val="0"/>
            <c:extLst>
              <c:ext xmlns:c16="http://schemas.microsoft.com/office/drawing/2014/chart" uri="{C3380CC4-5D6E-409C-BE32-E72D297353CC}">
                <c16:uniqueId val="{000001FE-0FBF-4522-8453-B08304F5887A}"/>
              </c:ext>
            </c:extLst>
          </c:dPt>
          <c:dPt>
            <c:idx val="10"/>
            <c:invertIfNegative val="0"/>
            <c:bubble3D val="0"/>
            <c:extLst>
              <c:ext xmlns:c16="http://schemas.microsoft.com/office/drawing/2014/chart" uri="{C3380CC4-5D6E-409C-BE32-E72D297353CC}">
                <c16:uniqueId val="{000001FF-0FBF-4522-8453-B08304F5887A}"/>
              </c:ext>
            </c:extLst>
          </c:dPt>
          <c:dPt>
            <c:idx val="11"/>
            <c:invertIfNegative val="0"/>
            <c:bubble3D val="0"/>
            <c:extLst>
              <c:ext xmlns:c16="http://schemas.microsoft.com/office/drawing/2014/chart" uri="{C3380CC4-5D6E-409C-BE32-E72D297353CC}">
                <c16:uniqueId val="{00000200-0FBF-4522-8453-B08304F5887A}"/>
              </c:ext>
            </c:extLst>
          </c:dPt>
          <c:dPt>
            <c:idx val="12"/>
            <c:invertIfNegative val="0"/>
            <c:bubble3D val="0"/>
            <c:extLst>
              <c:ext xmlns:c16="http://schemas.microsoft.com/office/drawing/2014/chart" uri="{C3380CC4-5D6E-409C-BE32-E72D297353CC}">
                <c16:uniqueId val="{00000201-0FBF-4522-8453-B08304F5887A}"/>
              </c:ext>
            </c:extLst>
          </c:dPt>
          <c:dPt>
            <c:idx val="13"/>
            <c:invertIfNegative val="0"/>
            <c:bubble3D val="0"/>
            <c:extLst>
              <c:ext xmlns:c16="http://schemas.microsoft.com/office/drawing/2014/chart" uri="{C3380CC4-5D6E-409C-BE32-E72D297353CC}">
                <c16:uniqueId val="{00000202-0FBF-4522-8453-B08304F5887A}"/>
              </c:ext>
            </c:extLst>
          </c:dPt>
          <c:dPt>
            <c:idx val="14"/>
            <c:invertIfNegative val="0"/>
            <c:bubble3D val="0"/>
            <c:extLst>
              <c:ext xmlns:c16="http://schemas.microsoft.com/office/drawing/2014/chart" uri="{C3380CC4-5D6E-409C-BE32-E72D297353CC}">
                <c16:uniqueId val="{00000203-0FBF-4522-8453-B08304F5887A}"/>
              </c:ext>
            </c:extLst>
          </c:dPt>
          <c:dPt>
            <c:idx val="15"/>
            <c:invertIfNegative val="0"/>
            <c:bubble3D val="0"/>
            <c:extLst>
              <c:ext xmlns:c16="http://schemas.microsoft.com/office/drawing/2014/chart" uri="{C3380CC4-5D6E-409C-BE32-E72D297353CC}">
                <c16:uniqueId val="{00000204-0FBF-4522-8453-B08304F5887A}"/>
              </c:ext>
            </c:extLst>
          </c:dPt>
          <c:dPt>
            <c:idx val="16"/>
            <c:invertIfNegative val="0"/>
            <c:bubble3D val="0"/>
            <c:extLst>
              <c:ext xmlns:c16="http://schemas.microsoft.com/office/drawing/2014/chart" uri="{C3380CC4-5D6E-409C-BE32-E72D297353CC}">
                <c16:uniqueId val="{00000205-0FBF-4522-8453-B08304F5887A}"/>
              </c:ext>
            </c:extLst>
          </c:dPt>
          <c:dPt>
            <c:idx val="17"/>
            <c:invertIfNegative val="0"/>
            <c:bubble3D val="0"/>
            <c:extLst>
              <c:ext xmlns:c16="http://schemas.microsoft.com/office/drawing/2014/chart" uri="{C3380CC4-5D6E-409C-BE32-E72D297353CC}">
                <c16:uniqueId val="{00000206-0FBF-4522-8453-B08304F5887A}"/>
              </c:ext>
            </c:extLst>
          </c:dPt>
          <c:dPt>
            <c:idx val="18"/>
            <c:invertIfNegative val="0"/>
            <c:bubble3D val="0"/>
            <c:extLst>
              <c:ext xmlns:c16="http://schemas.microsoft.com/office/drawing/2014/chart" uri="{C3380CC4-5D6E-409C-BE32-E72D297353CC}">
                <c16:uniqueId val="{00000207-0FBF-4522-8453-B08304F5887A}"/>
              </c:ext>
            </c:extLst>
          </c:dPt>
          <c:dPt>
            <c:idx val="19"/>
            <c:invertIfNegative val="0"/>
            <c:bubble3D val="0"/>
            <c:extLst>
              <c:ext xmlns:c16="http://schemas.microsoft.com/office/drawing/2014/chart" uri="{C3380CC4-5D6E-409C-BE32-E72D297353CC}">
                <c16:uniqueId val="{00000208-0FBF-4522-8453-B08304F5887A}"/>
              </c:ext>
            </c:extLst>
          </c:dPt>
          <c:dPt>
            <c:idx val="20"/>
            <c:invertIfNegative val="0"/>
            <c:bubble3D val="0"/>
            <c:extLst>
              <c:ext xmlns:c16="http://schemas.microsoft.com/office/drawing/2014/chart" uri="{C3380CC4-5D6E-409C-BE32-E72D297353CC}">
                <c16:uniqueId val="{00000209-0FBF-4522-8453-B08304F5887A}"/>
              </c:ext>
            </c:extLst>
          </c:dPt>
          <c:dPt>
            <c:idx val="21"/>
            <c:invertIfNegative val="0"/>
            <c:bubble3D val="0"/>
            <c:extLst>
              <c:ext xmlns:c16="http://schemas.microsoft.com/office/drawing/2014/chart" uri="{C3380CC4-5D6E-409C-BE32-E72D297353CC}">
                <c16:uniqueId val="{0000020A-0FBF-4522-8453-B08304F5887A}"/>
              </c:ext>
            </c:extLst>
          </c:dPt>
          <c:dPt>
            <c:idx val="22"/>
            <c:invertIfNegative val="0"/>
            <c:bubble3D val="0"/>
            <c:extLst>
              <c:ext xmlns:c16="http://schemas.microsoft.com/office/drawing/2014/chart" uri="{C3380CC4-5D6E-409C-BE32-E72D297353CC}">
                <c16:uniqueId val="{0000020B-0FBF-4522-8453-B08304F5887A}"/>
              </c:ext>
            </c:extLst>
          </c:dPt>
          <c:dPt>
            <c:idx val="23"/>
            <c:invertIfNegative val="0"/>
            <c:bubble3D val="0"/>
            <c:extLst>
              <c:ext xmlns:c16="http://schemas.microsoft.com/office/drawing/2014/chart" uri="{C3380CC4-5D6E-409C-BE32-E72D297353CC}">
                <c16:uniqueId val="{0000020C-0FBF-4522-8453-B08304F5887A}"/>
              </c:ext>
            </c:extLst>
          </c:dPt>
          <c:dPt>
            <c:idx val="24"/>
            <c:invertIfNegative val="0"/>
            <c:bubble3D val="0"/>
            <c:extLst>
              <c:ext xmlns:c16="http://schemas.microsoft.com/office/drawing/2014/chart" uri="{C3380CC4-5D6E-409C-BE32-E72D297353CC}">
                <c16:uniqueId val="{0000020D-0FBF-4522-8453-B08304F5887A}"/>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Data'!$C$3:$X$3</c:f>
              <c:numCache>
                <c:formatCode>#,##0_ ;\-#,##0\ </c:formatCode>
                <c:ptCount val="22"/>
                <c:pt idx="0">
                  <c:v>105738</c:v>
                </c:pt>
                <c:pt idx="1">
                  <c:v>101619</c:v>
                </c:pt>
                <c:pt idx="2">
                  <c:v>98988</c:v>
                </c:pt>
                <c:pt idx="3">
                  <c:v>100399</c:v>
                </c:pt>
                <c:pt idx="4">
                  <c:v>95821</c:v>
                </c:pt>
                <c:pt idx="5">
                  <c:v>94272</c:v>
                </c:pt>
                <c:pt idx="6">
                  <c:v>92020</c:v>
                </c:pt>
                <c:pt idx="7">
                  <c:v>87955</c:v>
                </c:pt>
                <c:pt idx="8">
                  <c:v>86791</c:v>
                </c:pt>
                <c:pt idx="9">
                  <c:v>86352</c:v>
                </c:pt>
                <c:pt idx="10">
                  <c:v>81441</c:v>
                </c:pt>
                <c:pt idx="11">
                  <c:v>75965</c:v>
                </c:pt>
                <c:pt idx="12">
                  <c:v>75249</c:v>
                </c:pt>
                <c:pt idx="13">
                  <c:v>72788</c:v>
                </c:pt>
                <c:pt idx="14">
                  <c:v>72140</c:v>
                </c:pt>
                <c:pt idx="15">
                  <c:v>69678</c:v>
                </c:pt>
                <c:pt idx="16">
                  <c:v>59998</c:v>
                </c:pt>
                <c:pt idx="17">
                  <c:v>45837</c:v>
                </c:pt>
                <c:pt idx="18">
                  <c:v>36243</c:v>
                </c:pt>
                <c:pt idx="19">
                  <c:v>33967</c:v>
                </c:pt>
                <c:pt idx="20">
                  <c:v>34010</c:v>
                </c:pt>
                <c:pt idx="21">
                  <c:v>34205</c:v>
                </c:pt>
              </c:numCache>
            </c:numRef>
          </c:val>
          <c:extLst>
            <c:ext xmlns:c16="http://schemas.microsoft.com/office/drawing/2014/chart" uri="{C3380CC4-5D6E-409C-BE32-E72D297353CC}">
              <c16:uniqueId val="{0000020E-0FBF-4522-8453-B08304F5887A}"/>
            </c:ext>
          </c:extLst>
        </c:ser>
        <c:ser>
          <c:idx val="1"/>
          <c:order val="1"/>
          <c:tx>
            <c:strRef>
              <c:f>'NEMEnergyGenerated Data'!$B$4</c:f>
              <c:strCache>
                <c:ptCount val="1"/>
                <c:pt idx="0">
                  <c:v>Brown coal</c:v>
                </c:pt>
              </c:strCache>
            </c:strRef>
          </c:tx>
          <c:spPr>
            <a:solidFill>
              <a:srgbClr val="833807"/>
            </a:solidFill>
            <a:ln>
              <a:noFill/>
            </a:ln>
            <a:effectLst/>
          </c:spPr>
          <c:invertIfNegative val="0"/>
          <c:dPt>
            <c:idx val="0"/>
            <c:invertIfNegative val="0"/>
            <c:bubble3D val="0"/>
            <c:extLst>
              <c:ext xmlns:c16="http://schemas.microsoft.com/office/drawing/2014/chart" uri="{C3380CC4-5D6E-409C-BE32-E72D297353CC}">
                <c16:uniqueId val="{00000210-0FBF-4522-8453-B08304F5887A}"/>
              </c:ext>
            </c:extLst>
          </c:dPt>
          <c:dPt>
            <c:idx val="1"/>
            <c:invertIfNegative val="0"/>
            <c:bubble3D val="0"/>
            <c:extLst>
              <c:ext xmlns:c16="http://schemas.microsoft.com/office/drawing/2014/chart" uri="{C3380CC4-5D6E-409C-BE32-E72D297353CC}">
                <c16:uniqueId val="{00000211-0FBF-4522-8453-B08304F5887A}"/>
              </c:ext>
            </c:extLst>
          </c:dPt>
          <c:dPt>
            <c:idx val="2"/>
            <c:invertIfNegative val="0"/>
            <c:bubble3D val="0"/>
            <c:extLst>
              <c:ext xmlns:c16="http://schemas.microsoft.com/office/drawing/2014/chart" uri="{C3380CC4-5D6E-409C-BE32-E72D297353CC}">
                <c16:uniqueId val="{00000212-0FBF-4522-8453-B08304F5887A}"/>
              </c:ext>
            </c:extLst>
          </c:dPt>
          <c:dPt>
            <c:idx val="3"/>
            <c:invertIfNegative val="0"/>
            <c:bubble3D val="0"/>
            <c:extLst>
              <c:ext xmlns:c16="http://schemas.microsoft.com/office/drawing/2014/chart" uri="{C3380CC4-5D6E-409C-BE32-E72D297353CC}">
                <c16:uniqueId val="{00000213-0FBF-4522-8453-B08304F5887A}"/>
              </c:ext>
            </c:extLst>
          </c:dPt>
          <c:dPt>
            <c:idx val="4"/>
            <c:invertIfNegative val="0"/>
            <c:bubble3D val="0"/>
            <c:extLst>
              <c:ext xmlns:c16="http://schemas.microsoft.com/office/drawing/2014/chart" uri="{C3380CC4-5D6E-409C-BE32-E72D297353CC}">
                <c16:uniqueId val="{00000214-0FBF-4522-8453-B08304F5887A}"/>
              </c:ext>
            </c:extLst>
          </c:dPt>
          <c:dPt>
            <c:idx val="5"/>
            <c:invertIfNegative val="0"/>
            <c:bubble3D val="0"/>
            <c:extLst>
              <c:ext xmlns:c16="http://schemas.microsoft.com/office/drawing/2014/chart" uri="{C3380CC4-5D6E-409C-BE32-E72D297353CC}">
                <c16:uniqueId val="{00000215-0FBF-4522-8453-B08304F5887A}"/>
              </c:ext>
            </c:extLst>
          </c:dPt>
          <c:dPt>
            <c:idx val="6"/>
            <c:invertIfNegative val="0"/>
            <c:bubble3D val="0"/>
            <c:extLst>
              <c:ext xmlns:c16="http://schemas.microsoft.com/office/drawing/2014/chart" uri="{C3380CC4-5D6E-409C-BE32-E72D297353CC}">
                <c16:uniqueId val="{00000216-0FBF-4522-8453-B08304F5887A}"/>
              </c:ext>
            </c:extLst>
          </c:dPt>
          <c:dPt>
            <c:idx val="7"/>
            <c:invertIfNegative val="0"/>
            <c:bubble3D val="0"/>
            <c:extLst>
              <c:ext xmlns:c16="http://schemas.microsoft.com/office/drawing/2014/chart" uri="{C3380CC4-5D6E-409C-BE32-E72D297353CC}">
                <c16:uniqueId val="{00000217-0FBF-4522-8453-B08304F5887A}"/>
              </c:ext>
            </c:extLst>
          </c:dPt>
          <c:dPt>
            <c:idx val="8"/>
            <c:invertIfNegative val="0"/>
            <c:bubble3D val="0"/>
            <c:extLst>
              <c:ext xmlns:c16="http://schemas.microsoft.com/office/drawing/2014/chart" uri="{C3380CC4-5D6E-409C-BE32-E72D297353CC}">
                <c16:uniqueId val="{00000218-0FBF-4522-8453-B08304F5887A}"/>
              </c:ext>
            </c:extLst>
          </c:dPt>
          <c:dPt>
            <c:idx val="9"/>
            <c:invertIfNegative val="0"/>
            <c:bubble3D val="0"/>
            <c:extLst>
              <c:ext xmlns:c16="http://schemas.microsoft.com/office/drawing/2014/chart" uri="{C3380CC4-5D6E-409C-BE32-E72D297353CC}">
                <c16:uniqueId val="{00000219-0FBF-4522-8453-B08304F5887A}"/>
              </c:ext>
            </c:extLst>
          </c:dPt>
          <c:dPt>
            <c:idx val="10"/>
            <c:invertIfNegative val="0"/>
            <c:bubble3D val="0"/>
            <c:extLst>
              <c:ext xmlns:c16="http://schemas.microsoft.com/office/drawing/2014/chart" uri="{C3380CC4-5D6E-409C-BE32-E72D297353CC}">
                <c16:uniqueId val="{0000021A-0FBF-4522-8453-B08304F5887A}"/>
              </c:ext>
            </c:extLst>
          </c:dPt>
          <c:dPt>
            <c:idx val="11"/>
            <c:invertIfNegative val="0"/>
            <c:bubble3D val="0"/>
            <c:extLst>
              <c:ext xmlns:c16="http://schemas.microsoft.com/office/drawing/2014/chart" uri="{C3380CC4-5D6E-409C-BE32-E72D297353CC}">
                <c16:uniqueId val="{0000021B-0FBF-4522-8453-B08304F5887A}"/>
              </c:ext>
            </c:extLst>
          </c:dPt>
          <c:dPt>
            <c:idx val="12"/>
            <c:invertIfNegative val="0"/>
            <c:bubble3D val="0"/>
            <c:extLst>
              <c:ext xmlns:c16="http://schemas.microsoft.com/office/drawing/2014/chart" uri="{C3380CC4-5D6E-409C-BE32-E72D297353CC}">
                <c16:uniqueId val="{0000021C-0FBF-4522-8453-B08304F5887A}"/>
              </c:ext>
            </c:extLst>
          </c:dPt>
          <c:dPt>
            <c:idx val="13"/>
            <c:invertIfNegative val="0"/>
            <c:bubble3D val="0"/>
            <c:extLst>
              <c:ext xmlns:c16="http://schemas.microsoft.com/office/drawing/2014/chart" uri="{C3380CC4-5D6E-409C-BE32-E72D297353CC}">
                <c16:uniqueId val="{0000021D-0FBF-4522-8453-B08304F5887A}"/>
              </c:ext>
            </c:extLst>
          </c:dPt>
          <c:dPt>
            <c:idx val="14"/>
            <c:invertIfNegative val="0"/>
            <c:bubble3D val="0"/>
            <c:extLst>
              <c:ext xmlns:c16="http://schemas.microsoft.com/office/drawing/2014/chart" uri="{C3380CC4-5D6E-409C-BE32-E72D297353CC}">
                <c16:uniqueId val="{0000021E-0FBF-4522-8453-B08304F5887A}"/>
              </c:ext>
            </c:extLst>
          </c:dPt>
          <c:dPt>
            <c:idx val="15"/>
            <c:invertIfNegative val="0"/>
            <c:bubble3D val="0"/>
            <c:extLst>
              <c:ext xmlns:c16="http://schemas.microsoft.com/office/drawing/2014/chart" uri="{C3380CC4-5D6E-409C-BE32-E72D297353CC}">
                <c16:uniqueId val="{0000021F-0FBF-4522-8453-B08304F5887A}"/>
              </c:ext>
            </c:extLst>
          </c:dPt>
          <c:dPt>
            <c:idx val="16"/>
            <c:invertIfNegative val="0"/>
            <c:bubble3D val="0"/>
            <c:extLst>
              <c:ext xmlns:c16="http://schemas.microsoft.com/office/drawing/2014/chart" uri="{C3380CC4-5D6E-409C-BE32-E72D297353CC}">
                <c16:uniqueId val="{00000220-0FBF-4522-8453-B08304F5887A}"/>
              </c:ext>
            </c:extLst>
          </c:dPt>
          <c:dPt>
            <c:idx val="17"/>
            <c:invertIfNegative val="0"/>
            <c:bubble3D val="0"/>
            <c:extLst>
              <c:ext xmlns:c16="http://schemas.microsoft.com/office/drawing/2014/chart" uri="{C3380CC4-5D6E-409C-BE32-E72D297353CC}">
                <c16:uniqueId val="{00000221-0FBF-4522-8453-B08304F5887A}"/>
              </c:ext>
            </c:extLst>
          </c:dPt>
          <c:dPt>
            <c:idx val="18"/>
            <c:invertIfNegative val="0"/>
            <c:bubble3D val="0"/>
            <c:extLst>
              <c:ext xmlns:c16="http://schemas.microsoft.com/office/drawing/2014/chart" uri="{C3380CC4-5D6E-409C-BE32-E72D297353CC}">
                <c16:uniqueId val="{00000222-0FBF-4522-8453-B08304F5887A}"/>
              </c:ext>
            </c:extLst>
          </c:dPt>
          <c:dPt>
            <c:idx val="19"/>
            <c:invertIfNegative val="0"/>
            <c:bubble3D val="0"/>
            <c:extLst>
              <c:ext xmlns:c16="http://schemas.microsoft.com/office/drawing/2014/chart" uri="{C3380CC4-5D6E-409C-BE32-E72D297353CC}">
                <c16:uniqueId val="{00000223-0FBF-4522-8453-B08304F5887A}"/>
              </c:ext>
            </c:extLst>
          </c:dPt>
          <c:dPt>
            <c:idx val="20"/>
            <c:invertIfNegative val="0"/>
            <c:bubble3D val="0"/>
            <c:extLst>
              <c:ext xmlns:c16="http://schemas.microsoft.com/office/drawing/2014/chart" uri="{C3380CC4-5D6E-409C-BE32-E72D297353CC}">
                <c16:uniqueId val="{00000224-0FBF-4522-8453-B08304F5887A}"/>
              </c:ext>
            </c:extLst>
          </c:dPt>
          <c:dPt>
            <c:idx val="21"/>
            <c:invertIfNegative val="0"/>
            <c:bubble3D val="0"/>
            <c:extLst>
              <c:ext xmlns:c16="http://schemas.microsoft.com/office/drawing/2014/chart" uri="{C3380CC4-5D6E-409C-BE32-E72D297353CC}">
                <c16:uniqueId val="{00000225-0FBF-4522-8453-B08304F5887A}"/>
              </c:ext>
            </c:extLst>
          </c:dPt>
          <c:dPt>
            <c:idx val="22"/>
            <c:invertIfNegative val="0"/>
            <c:bubble3D val="0"/>
            <c:extLst>
              <c:ext xmlns:c16="http://schemas.microsoft.com/office/drawing/2014/chart" uri="{C3380CC4-5D6E-409C-BE32-E72D297353CC}">
                <c16:uniqueId val="{00000226-0FBF-4522-8453-B08304F5887A}"/>
              </c:ext>
            </c:extLst>
          </c:dPt>
          <c:dPt>
            <c:idx val="23"/>
            <c:invertIfNegative val="0"/>
            <c:bubble3D val="0"/>
            <c:extLst>
              <c:ext xmlns:c16="http://schemas.microsoft.com/office/drawing/2014/chart" uri="{C3380CC4-5D6E-409C-BE32-E72D297353CC}">
                <c16:uniqueId val="{00000227-0FBF-4522-8453-B08304F5887A}"/>
              </c:ext>
            </c:extLst>
          </c:dPt>
          <c:dPt>
            <c:idx val="24"/>
            <c:invertIfNegative val="0"/>
            <c:bubble3D val="0"/>
            <c:extLst>
              <c:ext xmlns:c16="http://schemas.microsoft.com/office/drawing/2014/chart" uri="{C3380CC4-5D6E-409C-BE32-E72D297353CC}">
                <c16:uniqueId val="{00000228-0FBF-4522-8453-B08304F5887A}"/>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Data'!$C$4:$X$4</c:f>
              <c:numCache>
                <c:formatCode>#,##0_ ;\-#,##0\ </c:formatCode>
                <c:ptCount val="22"/>
                <c:pt idx="0">
                  <c:v>32184</c:v>
                </c:pt>
                <c:pt idx="1">
                  <c:v>32194</c:v>
                </c:pt>
                <c:pt idx="2">
                  <c:v>32259</c:v>
                </c:pt>
                <c:pt idx="3">
                  <c:v>32543</c:v>
                </c:pt>
                <c:pt idx="4">
                  <c:v>30095</c:v>
                </c:pt>
                <c:pt idx="5">
                  <c:v>29986</c:v>
                </c:pt>
                <c:pt idx="6">
                  <c:v>32528</c:v>
                </c:pt>
                <c:pt idx="7">
                  <c:v>32484</c:v>
                </c:pt>
                <c:pt idx="8">
                  <c:v>28718</c:v>
                </c:pt>
                <c:pt idx="9">
                  <c:v>32338</c:v>
                </c:pt>
                <c:pt idx="10">
                  <c:v>28664</c:v>
                </c:pt>
                <c:pt idx="11">
                  <c:v>28591</c:v>
                </c:pt>
                <c:pt idx="12">
                  <c:v>31990</c:v>
                </c:pt>
                <c:pt idx="13">
                  <c:v>32039</c:v>
                </c:pt>
                <c:pt idx="14">
                  <c:v>22101</c:v>
                </c:pt>
                <c:pt idx="15">
                  <c:v>22106</c:v>
                </c:pt>
                <c:pt idx="16">
                  <c:v>21974</c:v>
                </c:pt>
                <c:pt idx="17">
                  <c:v>21915</c:v>
                </c:pt>
                <c:pt idx="18">
                  <c:v>18215</c:v>
                </c:pt>
                <c:pt idx="19">
                  <c:v>21830</c:v>
                </c:pt>
                <c:pt idx="20">
                  <c:v>18175</c:v>
                </c:pt>
                <c:pt idx="21">
                  <c:v>18147</c:v>
                </c:pt>
              </c:numCache>
            </c:numRef>
          </c:val>
          <c:extLst>
            <c:ext xmlns:c16="http://schemas.microsoft.com/office/drawing/2014/chart" uri="{C3380CC4-5D6E-409C-BE32-E72D297353CC}">
              <c16:uniqueId val="{00000229-0FBF-4522-8453-B08304F5887A}"/>
            </c:ext>
          </c:extLst>
        </c:ser>
        <c:ser>
          <c:idx val="2"/>
          <c:order val="2"/>
          <c:tx>
            <c:strRef>
              <c:f>'NEMEnergyGenerated Data'!$B$5</c:f>
              <c:strCache>
                <c:ptCount val="1"/>
                <c:pt idx="0">
                  <c:v>Hydro</c:v>
                </c:pt>
              </c:strCache>
            </c:strRef>
          </c:tx>
          <c:spPr>
            <a:solidFill>
              <a:srgbClr val="268BAA"/>
            </a:solidFill>
            <a:ln>
              <a:noFill/>
            </a:ln>
            <a:effectLst/>
          </c:spPr>
          <c:invertIfNegative val="0"/>
          <c:dPt>
            <c:idx val="0"/>
            <c:invertIfNegative val="0"/>
            <c:bubble3D val="0"/>
            <c:extLst>
              <c:ext xmlns:c16="http://schemas.microsoft.com/office/drawing/2014/chart" uri="{C3380CC4-5D6E-409C-BE32-E72D297353CC}">
                <c16:uniqueId val="{0000022B-0FBF-4522-8453-B08304F5887A}"/>
              </c:ext>
            </c:extLst>
          </c:dPt>
          <c:dPt>
            <c:idx val="1"/>
            <c:invertIfNegative val="0"/>
            <c:bubble3D val="0"/>
            <c:extLst>
              <c:ext xmlns:c16="http://schemas.microsoft.com/office/drawing/2014/chart" uri="{C3380CC4-5D6E-409C-BE32-E72D297353CC}">
                <c16:uniqueId val="{0000022C-0FBF-4522-8453-B08304F5887A}"/>
              </c:ext>
            </c:extLst>
          </c:dPt>
          <c:dPt>
            <c:idx val="2"/>
            <c:invertIfNegative val="0"/>
            <c:bubble3D val="0"/>
            <c:extLst>
              <c:ext xmlns:c16="http://schemas.microsoft.com/office/drawing/2014/chart" uri="{C3380CC4-5D6E-409C-BE32-E72D297353CC}">
                <c16:uniqueId val="{0000022D-0FBF-4522-8453-B08304F5887A}"/>
              </c:ext>
            </c:extLst>
          </c:dPt>
          <c:dPt>
            <c:idx val="3"/>
            <c:invertIfNegative val="0"/>
            <c:bubble3D val="0"/>
            <c:extLst>
              <c:ext xmlns:c16="http://schemas.microsoft.com/office/drawing/2014/chart" uri="{C3380CC4-5D6E-409C-BE32-E72D297353CC}">
                <c16:uniqueId val="{0000022E-0FBF-4522-8453-B08304F5887A}"/>
              </c:ext>
            </c:extLst>
          </c:dPt>
          <c:dPt>
            <c:idx val="4"/>
            <c:invertIfNegative val="0"/>
            <c:bubble3D val="0"/>
            <c:extLst>
              <c:ext xmlns:c16="http://schemas.microsoft.com/office/drawing/2014/chart" uri="{C3380CC4-5D6E-409C-BE32-E72D297353CC}">
                <c16:uniqueId val="{0000022F-0FBF-4522-8453-B08304F5887A}"/>
              </c:ext>
            </c:extLst>
          </c:dPt>
          <c:dPt>
            <c:idx val="5"/>
            <c:invertIfNegative val="0"/>
            <c:bubble3D val="0"/>
            <c:extLst>
              <c:ext xmlns:c16="http://schemas.microsoft.com/office/drawing/2014/chart" uri="{C3380CC4-5D6E-409C-BE32-E72D297353CC}">
                <c16:uniqueId val="{00000230-0FBF-4522-8453-B08304F5887A}"/>
              </c:ext>
            </c:extLst>
          </c:dPt>
          <c:dPt>
            <c:idx val="6"/>
            <c:invertIfNegative val="0"/>
            <c:bubble3D val="0"/>
            <c:extLst>
              <c:ext xmlns:c16="http://schemas.microsoft.com/office/drawing/2014/chart" uri="{C3380CC4-5D6E-409C-BE32-E72D297353CC}">
                <c16:uniqueId val="{00000231-0FBF-4522-8453-B08304F5887A}"/>
              </c:ext>
            </c:extLst>
          </c:dPt>
          <c:dPt>
            <c:idx val="7"/>
            <c:invertIfNegative val="0"/>
            <c:bubble3D val="0"/>
            <c:extLst>
              <c:ext xmlns:c16="http://schemas.microsoft.com/office/drawing/2014/chart" uri="{C3380CC4-5D6E-409C-BE32-E72D297353CC}">
                <c16:uniqueId val="{00000232-0FBF-4522-8453-B08304F5887A}"/>
              </c:ext>
            </c:extLst>
          </c:dPt>
          <c:dPt>
            <c:idx val="8"/>
            <c:invertIfNegative val="0"/>
            <c:bubble3D val="0"/>
            <c:extLst>
              <c:ext xmlns:c16="http://schemas.microsoft.com/office/drawing/2014/chart" uri="{C3380CC4-5D6E-409C-BE32-E72D297353CC}">
                <c16:uniqueId val="{00000233-0FBF-4522-8453-B08304F5887A}"/>
              </c:ext>
            </c:extLst>
          </c:dPt>
          <c:dPt>
            <c:idx val="9"/>
            <c:invertIfNegative val="0"/>
            <c:bubble3D val="0"/>
            <c:extLst>
              <c:ext xmlns:c16="http://schemas.microsoft.com/office/drawing/2014/chart" uri="{C3380CC4-5D6E-409C-BE32-E72D297353CC}">
                <c16:uniqueId val="{00000234-0FBF-4522-8453-B08304F5887A}"/>
              </c:ext>
            </c:extLst>
          </c:dPt>
          <c:dPt>
            <c:idx val="10"/>
            <c:invertIfNegative val="0"/>
            <c:bubble3D val="0"/>
            <c:extLst>
              <c:ext xmlns:c16="http://schemas.microsoft.com/office/drawing/2014/chart" uri="{C3380CC4-5D6E-409C-BE32-E72D297353CC}">
                <c16:uniqueId val="{00000235-0FBF-4522-8453-B08304F5887A}"/>
              </c:ext>
            </c:extLst>
          </c:dPt>
          <c:dPt>
            <c:idx val="11"/>
            <c:invertIfNegative val="0"/>
            <c:bubble3D val="0"/>
            <c:extLst>
              <c:ext xmlns:c16="http://schemas.microsoft.com/office/drawing/2014/chart" uri="{C3380CC4-5D6E-409C-BE32-E72D297353CC}">
                <c16:uniqueId val="{00000236-0FBF-4522-8453-B08304F5887A}"/>
              </c:ext>
            </c:extLst>
          </c:dPt>
          <c:dPt>
            <c:idx val="12"/>
            <c:invertIfNegative val="0"/>
            <c:bubble3D val="0"/>
            <c:extLst>
              <c:ext xmlns:c16="http://schemas.microsoft.com/office/drawing/2014/chart" uri="{C3380CC4-5D6E-409C-BE32-E72D297353CC}">
                <c16:uniqueId val="{00000237-0FBF-4522-8453-B08304F5887A}"/>
              </c:ext>
            </c:extLst>
          </c:dPt>
          <c:dPt>
            <c:idx val="13"/>
            <c:invertIfNegative val="0"/>
            <c:bubble3D val="0"/>
            <c:extLst>
              <c:ext xmlns:c16="http://schemas.microsoft.com/office/drawing/2014/chart" uri="{C3380CC4-5D6E-409C-BE32-E72D297353CC}">
                <c16:uniqueId val="{00000238-0FBF-4522-8453-B08304F5887A}"/>
              </c:ext>
            </c:extLst>
          </c:dPt>
          <c:dPt>
            <c:idx val="14"/>
            <c:invertIfNegative val="0"/>
            <c:bubble3D val="0"/>
            <c:extLst>
              <c:ext xmlns:c16="http://schemas.microsoft.com/office/drawing/2014/chart" uri="{C3380CC4-5D6E-409C-BE32-E72D297353CC}">
                <c16:uniqueId val="{00000239-0FBF-4522-8453-B08304F5887A}"/>
              </c:ext>
            </c:extLst>
          </c:dPt>
          <c:dPt>
            <c:idx val="15"/>
            <c:invertIfNegative val="0"/>
            <c:bubble3D val="0"/>
            <c:extLst>
              <c:ext xmlns:c16="http://schemas.microsoft.com/office/drawing/2014/chart" uri="{C3380CC4-5D6E-409C-BE32-E72D297353CC}">
                <c16:uniqueId val="{0000023A-0FBF-4522-8453-B08304F5887A}"/>
              </c:ext>
            </c:extLst>
          </c:dPt>
          <c:dPt>
            <c:idx val="16"/>
            <c:invertIfNegative val="0"/>
            <c:bubble3D val="0"/>
            <c:extLst>
              <c:ext xmlns:c16="http://schemas.microsoft.com/office/drawing/2014/chart" uri="{C3380CC4-5D6E-409C-BE32-E72D297353CC}">
                <c16:uniqueId val="{0000023B-0FBF-4522-8453-B08304F5887A}"/>
              </c:ext>
            </c:extLst>
          </c:dPt>
          <c:dPt>
            <c:idx val="17"/>
            <c:invertIfNegative val="0"/>
            <c:bubble3D val="0"/>
            <c:extLst>
              <c:ext xmlns:c16="http://schemas.microsoft.com/office/drawing/2014/chart" uri="{C3380CC4-5D6E-409C-BE32-E72D297353CC}">
                <c16:uniqueId val="{0000023C-0FBF-4522-8453-B08304F5887A}"/>
              </c:ext>
            </c:extLst>
          </c:dPt>
          <c:dPt>
            <c:idx val="18"/>
            <c:invertIfNegative val="0"/>
            <c:bubble3D val="0"/>
            <c:extLst>
              <c:ext xmlns:c16="http://schemas.microsoft.com/office/drawing/2014/chart" uri="{C3380CC4-5D6E-409C-BE32-E72D297353CC}">
                <c16:uniqueId val="{0000023D-0FBF-4522-8453-B08304F5887A}"/>
              </c:ext>
            </c:extLst>
          </c:dPt>
          <c:dPt>
            <c:idx val="19"/>
            <c:invertIfNegative val="0"/>
            <c:bubble3D val="0"/>
            <c:extLst>
              <c:ext xmlns:c16="http://schemas.microsoft.com/office/drawing/2014/chart" uri="{C3380CC4-5D6E-409C-BE32-E72D297353CC}">
                <c16:uniqueId val="{0000023E-0FBF-4522-8453-B08304F5887A}"/>
              </c:ext>
            </c:extLst>
          </c:dPt>
          <c:dPt>
            <c:idx val="20"/>
            <c:invertIfNegative val="0"/>
            <c:bubble3D val="0"/>
            <c:extLst>
              <c:ext xmlns:c16="http://schemas.microsoft.com/office/drawing/2014/chart" uri="{C3380CC4-5D6E-409C-BE32-E72D297353CC}">
                <c16:uniqueId val="{0000023F-0FBF-4522-8453-B08304F5887A}"/>
              </c:ext>
            </c:extLst>
          </c:dPt>
          <c:dPt>
            <c:idx val="21"/>
            <c:invertIfNegative val="0"/>
            <c:bubble3D val="0"/>
            <c:extLst>
              <c:ext xmlns:c16="http://schemas.microsoft.com/office/drawing/2014/chart" uri="{C3380CC4-5D6E-409C-BE32-E72D297353CC}">
                <c16:uniqueId val="{00000240-0FBF-4522-8453-B08304F5887A}"/>
              </c:ext>
            </c:extLst>
          </c:dPt>
          <c:dPt>
            <c:idx val="22"/>
            <c:invertIfNegative val="0"/>
            <c:bubble3D val="0"/>
            <c:extLst>
              <c:ext xmlns:c16="http://schemas.microsoft.com/office/drawing/2014/chart" uri="{C3380CC4-5D6E-409C-BE32-E72D297353CC}">
                <c16:uniqueId val="{00000241-0FBF-4522-8453-B08304F5887A}"/>
              </c:ext>
            </c:extLst>
          </c:dPt>
          <c:dPt>
            <c:idx val="23"/>
            <c:invertIfNegative val="0"/>
            <c:bubble3D val="0"/>
            <c:extLst>
              <c:ext xmlns:c16="http://schemas.microsoft.com/office/drawing/2014/chart" uri="{C3380CC4-5D6E-409C-BE32-E72D297353CC}">
                <c16:uniqueId val="{00000242-0FBF-4522-8453-B08304F5887A}"/>
              </c:ext>
            </c:extLst>
          </c:dPt>
          <c:dPt>
            <c:idx val="24"/>
            <c:invertIfNegative val="0"/>
            <c:bubble3D val="0"/>
            <c:extLst>
              <c:ext xmlns:c16="http://schemas.microsoft.com/office/drawing/2014/chart" uri="{C3380CC4-5D6E-409C-BE32-E72D297353CC}">
                <c16:uniqueId val="{00000243-0FBF-4522-8453-B08304F5887A}"/>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Data'!$C$5:$X$5</c:f>
              <c:numCache>
                <c:formatCode>#,##0_ ;\-#,##0\ </c:formatCode>
                <c:ptCount val="22"/>
                <c:pt idx="0">
                  <c:v>15797</c:v>
                </c:pt>
                <c:pt idx="1">
                  <c:v>15840</c:v>
                </c:pt>
                <c:pt idx="2">
                  <c:v>15797</c:v>
                </c:pt>
                <c:pt idx="3">
                  <c:v>15797</c:v>
                </c:pt>
                <c:pt idx="4">
                  <c:v>15797</c:v>
                </c:pt>
                <c:pt idx="5">
                  <c:v>15840</c:v>
                </c:pt>
                <c:pt idx="6">
                  <c:v>15729</c:v>
                </c:pt>
                <c:pt idx="7">
                  <c:v>15797</c:v>
                </c:pt>
                <c:pt idx="8">
                  <c:v>15797</c:v>
                </c:pt>
                <c:pt idx="9">
                  <c:v>15840</c:v>
                </c:pt>
                <c:pt idx="10">
                  <c:v>15797</c:v>
                </c:pt>
                <c:pt idx="11">
                  <c:v>15797</c:v>
                </c:pt>
                <c:pt idx="12">
                  <c:v>15797</c:v>
                </c:pt>
                <c:pt idx="13">
                  <c:v>15840</c:v>
                </c:pt>
                <c:pt idx="14">
                  <c:v>15797</c:v>
                </c:pt>
                <c:pt idx="15">
                  <c:v>15797</c:v>
                </c:pt>
                <c:pt idx="16">
                  <c:v>15797</c:v>
                </c:pt>
                <c:pt idx="17">
                  <c:v>15840</c:v>
                </c:pt>
                <c:pt idx="18">
                  <c:v>15797</c:v>
                </c:pt>
                <c:pt idx="19">
                  <c:v>15797</c:v>
                </c:pt>
                <c:pt idx="20">
                  <c:v>15797</c:v>
                </c:pt>
                <c:pt idx="21">
                  <c:v>15840</c:v>
                </c:pt>
              </c:numCache>
            </c:numRef>
          </c:val>
          <c:extLst>
            <c:ext xmlns:c16="http://schemas.microsoft.com/office/drawing/2014/chart" uri="{C3380CC4-5D6E-409C-BE32-E72D297353CC}">
              <c16:uniqueId val="{00000244-0FBF-4522-8453-B08304F5887A}"/>
            </c:ext>
          </c:extLst>
        </c:ser>
        <c:ser>
          <c:idx val="3"/>
          <c:order val="3"/>
          <c:tx>
            <c:strRef>
              <c:f>'NEMEnergyGenerated Data'!$B$6</c:f>
              <c:strCache>
                <c:ptCount val="1"/>
                <c:pt idx="0">
                  <c:v>CCGT</c:v>
                </c:pt>
              </c:strCache>
            </c:strRef>
          </c:tx>
          <c:spPr>
            <a:solidFill>
              <a:srgbClr val="A6A6A6"/>
            </a:solidFill>
            <a:ln>
              <a:noFill/>
            </a:ln>
            <a:effectLst/>
          </c:spPr>
          <c:invertIfNegative val="0"/>
          <c:dPt>
            <c:idx val="0"/>
            <c:invertIfNegative val="0"/>
            <c:bubble3D val="0"/>
            <c:extLst>
              <c:ext xmlns:c16="http://schemas.microsoft.com/office/drawing/2014/chart" uri="{C3380CC4-5D6E-409C-BE32-E72D297353CC}">
                <c16:uniqueId val="{00000246-0FBF-4522-8453-B08304F5887A}"/>
              </c:ext>
            </c:extLst>
          </c:dPt>
          <c:dPt>
            <c:idx val="1"/>
            <c:invertIfNegative val="0"/>
            <c:bubble3D val="0"/>
            <c:extLst>
              <c:ext xmlns:c16="http://schemas.microsoft.com/office/drawing/2014/chart" uri="{C3380CC4-5D6E-409C-BE32-E72D297353CC}">
                <c16:uniqueId val="{00000247-0FBF-4522-8453-B08304F5887A}"/>
              </c:ext>
            </c:extLst>
          </c:dPt>
          <c:dPt>
            <c:idx val="2"/>
            <c:invertIfNegative val="0"/>
            <c:bubble3D val="0"/>
            <c:extLst>
              <c:ext xmlns:c16="http://schemas.microsoft.com/office/drawing/2014/chart" uri="{C3380CC4-5D6E-409C-BE32-E72D297353CC}">
                <c16:uniqueId val="{00000248-0FBF-4522-8453-B08304F5887A}"/>
              </c:ext>
            </c:extLst>
          </c:dPt>
          <c:dPt>
            <c:idx val="3"/>
            <c:invertIfNegative val="0"/>
            <c:bubble3D val="0"/>
            <c:extLst>
              <c:ext xmlns:c16="http://schemas.microsoft.com/office/drawing/2014/chart" uri="{C3380CC4-5D6E-409C-BE32-E72D297353CC}">
                <c16:uniqueId val="{00000249-0FBF-4522-8453-B08304F5887A}"/>
              </c:ext>
            </c:extLst>
          </c:dPt>
          <c:dPt>
            <c:idx val="4"/>
            <c:invertIfNegative val="0"/>
            <c:bubble3D val="0"/>
            <c:extLst>
              <c:ext xmlns:c16="http://schemas.microsoft.com/office/drawing/2014/chart" uri="{C3380CC4-5D6E-409C-BE32-E72D297353CC}">
                <c16:uniqueId val="{0000024A-0FBF-4522-8453-B08304F5887A}"/>
              </c:ext>
            </c:extLst>
          </c:dPt>
          <c:dPt>
            <c:idx val="5"/>
            <c:invertIfNegative val="0"/>
            <c:bubble3D val="0"/>
            <c:extLst>
              <c:ext xmlns:c16="http://schemas.microsoft.com/office/drawing/2014/chart" uri="{C3380CC4-5D6E-409C-BE32-E72D297353CC}">
                <c16:uniqueId val="{0000024B-0FBF-4522-8453-B08304F5887A}"/>
              </c:ext>
            </c:extLst>
          </c:dPt>
          <c:dPt>
            <c:idx val="6"/>
            <c:invertIfNegative val="0"/>
            <c:bubble3D val="0"/>
            <c:extLst>
              <c:ext xmlns:c16="http://schemas.microsoft.com/office/drawing/2014/chart" uri="{C3380CC4-5D6E-409C-BE32-E72D297353CC}">
                <c16:uniqueId val="{0000024C-0FBF-4522-8453-B08304F5887A}"/>
              </c:ext>
            </c:extLst>
          </c:dPt>
          <c:dPt>
            <c:idx val="7"/>
            <c:invertIfNegative val="0"/>
            <c:bubble3D val="0"/>
            <c:extLst>
              <c:ext xmlns:c16="http://schemas.microsoft.com/office/drawing/2014/chart" uri="{C3380CC4-5D6E-409C-BE32-E72D297353CC}">
                <c16:uniqueId val="{0000024D-0FBF-4522-8453-B08304F5887A}"/>
              </c:ext>
            </c:extLst>
          </c:dPt>
          <c:dPt>
            <c:idx val="8"/>
            <c:invertIfNegative val="0"/>
            <c:bubble3D val="0"/>
            <c:extLst>
              <c:ext xmlns:c16="http://schemas.microsoft.com/office/drawing/2014/chart" uri="{C3380CC4-5D6E-409C-BE32-E72D297353CC}">
                <c16:uniqueId val="{0000024E-0FBF-4522-8453-B08304F5887A}"/>
              </c:ext>
            </c:extLst>
          </c:dPt>
          <c:dPt>
            <c:idx val="9"/>
            <c:invertIfNegative val="0"/>
            <c:bubble3D val="0"/>
            <c:extLst>
              <c:ext xmlns:c16="http://schemas.microsoft.com/office/drawing/2014/chart" uri="{C3380CC4-5D6E-409C-BE32-E72D297353CC}">
                <c16:uniqueId val="{0000024F-0FBF-4522-8453-B08304F5887A}"/>
              </c:ext>
            </c:extLst>
          </c:dPt>
          <c:dPt>
            <c:idx val="10"/>
            <c:invertIfNegative val="0"/>
            <c:bubble3D val="0"/>
            <c:extLst>
              <c:ext xmlns:c16="http://schemas.microsoft.com/office/drawing/2014/chart" uri="{C3380CC4-5D6E-409C-BE32-E72D297353CC}">
                <c16:uniqueId val="{00000250-0FBF-4522-8453-B08304F5887A}"/>
              </c:ext>
            </c:extLst>
          </c:dPt>
          <c:dPt>
            <c:idx val="11"/>
            <c:invertIfNegative val="0"/>
            <c:bubble3D val="0"/>
            <c:extLst>
              <c:ext xmlns:c16="http://schemas.microsoft.com/office/drawing/2014/chart" uri="{C3380CC4-5D6E-409C-BE32-E72D297353CC}">
                <c16:uniqueId val="{00000251-0FBF-4522-8453-B08304F5887A}"/>
              </c:ext>
            </c:extLst>
          </c:dPt>
          <c:dPt>
            <c:idx val="12"/>
            <c:invertIfNegative val="0"/>
            <c:bubble3D val="0"/>
            <c:extLst>
              <c:ext xmlns:c16="http://schemas.microsoft.com/office/drawing/2014/chart" uri="{C3380CC4-5D6E-409C-BE32-E72D297353CC}">
                <c16:uniqueId val="{00000252-0FBF-4522-8453-B08304F5887A}"/>
              </c:ext>
            </c:extLst>
          </c:dPt>
          <c:dPt>
            <c:idx val="13"/>
            <c:invertIfNegative val="0"/>
            <c:bubble3D val="0"/>
            <c:extLst>
              <c:ext xmlns:c16="http://schemas.microsoft.com/office/drawing/2014/chart" uri="{C3380CC4-5D6E-409C-BE32-E72D297353CC}">
                <c16:uniqueId val="{00000253-0FBF-4522-8453-B08304F5887A}"/>
              </c:ext>
            </c:extLst>
          </c:dPt>
          <c:dPt>
            <c:idx val="14"/>
            <c:invertIfNegative val="0"/>
            <c:bubble3D val="0"/>
            <c:extLst>
              <c:ext xmlns:c16="http://schemas.microsoft.com/office/drawing/2014/chart" uri="{C3380CC4-5D6E-409C-BE32-E72D297353CC}">
                <c16:uniqueId val="{00000254-0FBF-4522-8453-B08304F5887A}"/>
              </c:ext>
            </c:extLst>
          </c:dPt>
          <c:dPt>
            <c:idx val="15"/>
            <c:invertIfNegative val="0"/>
            <c:bubble3D val="0"/>
            <c:extLst>
              <c:ext xmlns:c16="http://schemas.microsoft.com/office/drawing/2014/chart" uri="{C3380CC4-5D6E-409C-BE32-E72D297353CC}">
                <c16:uniqueId val="{00000255-0FBF-4522-8453-B08304F5887A}"/>
              </c:ext>
            </c:extLst>
          </c:dPt>
          <c:dPt>
            <c:idx val="16"/>
            <c:invertIfNegative val="0"/>
            <c:bubble3D val="0"/>
            <c:extLst>
              <c:ext xmlns:c16="http://schemas.microsoft.com/office/drawing/2014/chart" uri="{C3380CC4-5D6E-409C-BE32-E72D297353CC}">
                <c16:uniqueId val="{00000256-0FBF-4522-8453-B08304F5887A}"/>
              </c:ext>
            </c:extLst>
          </c:dPt>
          <c:dPt>
            <c:idx val="17"/>
            <c:invertIfNegative val="0"/>
            <c:bubble3D val="0"/>
            <c:extLst>
              <c:ext xmlns:c16="http://schemas.microsoft.com/office/drawing/2014/chart" uri="{C3380CC4-5D6E-409C-BE32-E72D297353CC}">
                <c16:uniqueId val="{00000257-0FBF-4522-8453-B08304F5887A}"/>
              </c:ext>
            </c:extLst>
          </c:dPt>
          <c:dPt>
            <c:idx val="18"/>
            <c:invertIfNegative val="0"/>
            <c:bubble3D val="0"/>
            <c:extLst>
              <c:ext xmlns:c16="http://schemas.microsoft.com/office/drawing/2014/chart" uri="{C3380CC4-5D6E-409C-BE32-E72D297353CC}">
                <c16:uniqueId val="{00000258-0FBF-4522-8453-B08304F5887A}"/>
              </c:ext>
            </c:extLst>
          </c:dPt>
          <c:dPt>
            <c:idx val="19"/>
            <c:invertIfNegative val="0"/>
            <c:bubble3D val="0"/>
            <c:extLst>
              <c:ext xmlns:c16="http://schemas.microsoft.com/office/drawing/2014/chart" uri="{C3380CC4-5D6E-409C-BE32-E72D297353CC}">
                <c16:uniqueId val="{00000259-0FBF-4522-8453-B08304F5887A}"/>
              </c:ext>
            </c:extLst>
          </c:dPt>
          <c:dPt>
            <c:idx val="20"/>
            <c:invertIfNegative val="0"/>
            <c:bubble3D val="0"/>
            <c:extLst>
              <c:ext xmlns:c16="http://schemas.microsoft.com/office/drawing/2014/chart" uri="{C3380CC4-5D6E-409C-BE32-E72D297353CC}">
                <c16:uniqueId val="{0000025A-0FBF-4522-8453-B08304F5887A}"/>
              </c:ext>
            </c:extLst>
          </c:dPt>
          <c:dPt>
            <c:idx val="21"/>
            <c:invertIfNegative val="0"/>
            <c:bubble3D val="0"/>
            <c:extLst>
              <c:ext xmlns:c16="http://schemas.microsoft.com/office/drawing/2014/chart" uri="{C3380CC4-5D6E-409C-BE32-E72D297353CC}">
                <c16:uniqueId val="{0000025B-0FBF-4522-8453-B08304F5887A}"/>
              </c:ext>
            </c:extLst>
          </c:dPt>
          <c:dPt>
            <c:idx val="22"/>
            <c:invertIfNegative val="0"/>
            <c:bubble3D val="0"/>
            <c:extLst>
              <c:ext xmlns:c16="http://schemas.microsoft.com/office/drawing/2014/chart" uri="{C3380CC4-5D6E-409C-BE32-E72D297353CC}">
                <c16:uniqueId val="{0000025C-0FBF-4522-8453-B08304F5887A}"/>
              </c:ext>
            </c:extLst>
          </c:dPt>
          <c:dPt>
            <c:idx val="23"/>
            <c:invertIfNegative val="0"/>
            <c:bubble3D val="0"/>
            <c:extLst>
              <c:ext xmlns:c16="http://schemas.microsoft.com/office/drawing/2014/chart" uri="{C3380CC4-5D6E-409C-BE32-E72D297353CC}">
                <c16:uniqueId val="{0000025D-0FBF-4522-8453-B08304F5887A}"/>
              </c:ext>
            </c:extLst>
          </c:dPt>
          <c:dPt>
            <c:idx val="24"/>
            <c:invertIfNegative val="0"/>
            <c:bubble3D val="0"/>
            <c:extLst>
              <c:ext xmlns:c16="http://schemas.microsoft.com/office/drawing/2014/chart" uri="{C3380CC4-5D6E-409C-BE32-E72D297353CC}">
                <c16:uniqueId val="{0000025E-0FBF-4522-8453-B08304F5887A}"/>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Data'!$C$6:$X$6</c:f>
              <c:numCache>
                <c:formatCode>#,##0_ ;\-#,##0\ </c:formatCode>
                <c:ptCount val="22"/>
                <c:pt idx="0">
                  <c:v>13800.060150085539</c:v>
                </c:pt>
                <c:pt idx="1">
                  <c:v>11154.498066558774</c:v>
                </c:pt>
                <c:pt idx="2">
                  <c:v>11043.53735193391</c:v>
                </c:pt>
                <c:pt idx="3">
                  <c:v>8017.7977742113053</c:v>
                </c:pt>
                <c:pt idx="4">
                  <c:v>9916.8009725656266</c:v>
                </c:pt>
                <c:pt idx="5">
                  <c:v>9221.6103518368182</c:v>
                </c:pt>
                <c:pt idx="6">
                  <c:v>4204.9259994813356</c:v>
                </c:pt>
                <c:pt idx="7">
                  <c:v>5468.0382958914888</c:v>
                </c:pt>
                <c:pt idx="8">
                  <c:v>7159.8509749945215</c:v>
                </c:pt>
                <c:pt idx="9">
                  <c:v>3597.042443656147</c:v>
                </c:pt>
                <c:pt idx="10">
                  <c:v>5707.0274276132304</c:v>
                </c:pt>
                <c:pt idx="11">
                  <c:v>8213.3440155580338</c:v>
                </c:pt>
                <c:pt idx="12">
                  <c:v>6164.9132412230374</c:v>
                </c:pt>
                <c:pt idx="13">
                  <c:v>7873.9435186465471</c:v>
                </c:pt>
                <c:pt idx="14">
                  <c:v>8590.3841393075709</c:v>
                </c:pt>
                <c:pt idx="15">
                  <c:v>8895.0285185558314</c:v>
                </c:pt>
                <c:pt idx="16">
                  <c:v>8080.3524460128428</c:v>
                </c:pt>
                <c:pt idx="17">
                  <c:v>7697.8685479848127</c:v>
                </c:pt>
                <c:pt idx="18">
                  <c:v>9337.2680989939417</c:v>
                </c:pt>
                <c:pt idx="19">
                  <c:v>9093.8348092239921</c:v>
                </c:pt>
                <c:pt idx="20">
                  <c:v>9430.7372322968113</c:v>
                </c:pt>
                <c:pt idx="21">
                  <c:v>9208.9274891292953</c:v>
                </c:pt>
              </c:numCache>
            </c:numRef>
          </c:val>
          <c:extLst>
            <c:ext xmlns:c16="http://schemas.microsoft.com/office/drawing/2014/chart" uri="{C3380CC4-5D6E-409C-BE32-E72D297353CC}">
              <c16:uniqueId val="{0000025F-0FBF-4522-8453-B08304F5887A}"/>
            </c:ext>
          </c:extLst>
        </c:ser>
        <c:ser>
          <c:idx val="4"/>
          <c:order val="4"/>
          <c:tx>
            <c:strRef>
              <c:f>'NEMEnergyGenerated Data'!$B$7</c:f>
              <c:strCache>
                <c:ptCount val="1"/>
                <c:pt idx="0">
                  <c:v>Peaking gas + liquids</c:v>
                </c:pt>
              </c:strCache>
            </c:strRef>
          </c:tx>
          <c:spPr>
            <a:solidFill>
              <a:srgbClr val="C41230"/>
            </a:solidFill>
            <a:ln>
              <a:noFill/>
            </a:ln>
            <a:effectLst/>
          </c:spPr>
          <c:invertIfNegative val="0"/>
          <c:dPt>
            <c:idx val="0"/>
            <c:invertIfNegative val="0"/>
            <c:bubble3D val="0"/>
            <c:extLst>
              <c:ext xmlns:c16="http://schemas.microsoft.com/office/drawing/2014/chart" uri="{C3380CC4-5D6E-409C-BE32-E72D297353CC}">
                <c16:uniqueId val="{00000261-0FBF-4522-8453-B08304F5887A}"/>
              </c:ext>
            </c:extLst>
          </c:dPt>
          <c:dPt>
            <c:idx val="1"/>
            <c:invertIfNegative val="0"/>
            <c:bubble3D val="0"/>
            <c:extLst>
              <c:ext xmlns:c16="http://schemas.microsoft.com/office/drawing/2014/chart" uri="{C3380CC4-5D6E-409C-BE32-E72D297353CC}">
                <c16:uniqueId val="{00000262-0FBF-4522-8453-B08304F5887A}"/>
              </c:ext>
            </c:extLst>
          </c:dPt>
          <c:dPt>
            <c:idx val="2"/>
            <c:invertIfNegative val="0"/>
            <c:bubble3D val="0"/>
            <c:extLst>
              <c:ext xmlns:c16="http://schemas.microsoft.com/office/drawing/2014/chart" uri="{C3380CC4-5D6E-409C-BE32-E72D297353CC}">
                <c16:uniqueId val="{00000263-0FBF-4522-8453-B08304F5887A}"/>
              </c:ext>
            </c:extLst>
          </c:dPt>
          <c:dPt>
            <c:idx val="3"/>
            <c:invertIfNegative val="0"/>
            <c:bubble3D val="0"/>
            <c:extLst>
              <c:ext xmlns:c16="http://schemas.microsoft.com/office/drawing/2014/chart" uri="{C3380CC4-5D6E-409C-BE32-E72D297353CC}">
                <c16:uniqueId val="{00000264-0FBF-4522-8453-B08304F5887A}"/>
              </c:ext>
            </c:extLst>
          </c:dPt>
          <c:dPt>
            <c:idx val="4"/>
            <c:invertIfNegative val="0"/>
            <c:bubble3D val="0"/>
            <c:extLst>
              <c:ext xmlns:c16="http://schemas.microsoft.com/office/drawing/2014/chart" uri="{C3380CC4-5D6E-409C-BE32-E72D297353CC}">
                <c16:uniqueId val="{00000265-0FBF-4522-8453-B08304F5887A}"/>
              </c:ext>
            </c:extLst>
          </c:dPt>
          <c:dPt>
            <c:idx val="5"/>
            <c:invertIfNegative val="0"/>
            <c:bubble3D val="0"/>
            <c:extLst>
              <c:ext xmlns:c16="http://schemas.microsoft.com/office/drawing/2014/chart" uri="{C3380CC4-5D6E-409C-BE32-E72D297353CC}">
                <c16:uniqueId val="{00000266-0FBF-4522-8453-B08304F5887A}"/>
              </c:ext>
            </c:extLst>
          </c:dPt>
          <c:dPt>
            <c:idx val="6"/>
            <c:invertIfNegative val="0"/>
            <c:bubble3D val="0"/>
            <c:extLst>
              <c:ext xmlns:c16="http://schemas.microsoft.com/office/drawing/2014/chart" uri="{C3380CC4-5D6E-409C-BE32-E72D297353CC}">
                <c16:uniqueId val="{00000267-0FBF-4522-8453-B08304F5887A}"/>
              </c:ext>
            </c:extLst>
          </c:dPt>
          <c:dPt>
            <c:idx val="7"/>
            <c:invertIfNegative val="0"/>
            <c:bubble3D val="0"/>
            <c:extLst>
              <c:ext xmlns:c16="http://schemas.microsoft.com/office/drawing/2014/chart" uri="{C3380CC4-5D6E-409C-BE32-E72D297353CC}">
                <c16:uniqueId val="{00000268-0FBF-4522-8453-B08304F5887A}"/>
              </c:ext>
            </c:extLst>
          </c:dPt>
          <c:dPt>
            <c:idx val="8"/>
            <c:invertIfNegative val="0"/>
            <c:bubble3D val="0"/>
            <c:extLst>
              <c:ext xmlns:c16="http://schemas.microsoft.com/office/drawing/2014/chart" uri="{C3380CC4-5D6E-409C-BE32-E72D297353CC}">
                <c16:uniqueId val="{00000269-0FBF-4522-8453-B08304F5887A}"/>
              </c:ext>
            </c:extLst>
          </c:dPt>
          <c:dPt>
            <c:idx val="9"/>
            <c:invertIfNegative val="0"/>
            <c:bubble3D val="0"/>
            <c:extLst>
              <c:ext xmlns:c16="http://schemas.microsoft.com/office/drawing/2014/chart" uri="{C3380CC4-5D6E-409C-BE32-E72D297353CC}">
                <c16:uniqueId val="{0000026A-0FBF-4522-8453-B08304F5887A}"/>
              </c:ext>
            </c:extLst>
          </c:dPt>
          <c:dPt>
            <c:idx val="10"/>
            <c:invertIfNegative val="0"/>
            <c:bubble3D val="0"/>
            <c:extLst>
              <c:ext xmlns:c16="http://schemas.microsoft.com/office/drawing/2014/chart" uri="{C3380CC4-5D6E-409C-BE32-E72D297353CC}">
                <c16:uniqueId val="{0000026B-0FBF-4522-8453-B08304F5887A}"/>
              </c:ext>
            </c:extLst>
          </c:dPt>
          <c:dPt>
            <c:idx val="11"/>
            <c:invertIfNegative val="0"/>
            <c:bubble3D val="0"/>
            <c:extLst>
              <c:ext xmlns:c16="http://schemas.microsoft.com/office/drawing/2014/chart" uri="{C3380CC4-5D6E-409C-BE32-E72D297353CC}">
                <c16:uniqueId val="{0000026C-0FBF-4522-8453-B08304F5887A}"/>
              </c:ext>
            </c:extLst>
          </c:dPt>
          <c:dPt>
            <c:idx val="12"/>
            <c:invertIfNegative val="0"/>
            <c:bubble3D val="0"/>
            <c:extLst>
              <c:ext xmlns:c16="http://schemas.microsoft.com/office/drawing/2014/chart" uri="{C3380CC4-5D6E-409C-BE32-E72D297353CC}">
                <c16:uniqueId val="{0000026D-0FBF-4522-8453-B08304F5887A}"/>
              </c:ext>
            </c:extLst>
          </c:dPt>
          <c:dPt>
            <c:idx val="13"/>
            <c:invertIfNegative val="0"/>
            <c:bubble3D val="0"/>
            <c:extLst>
              <c:ext xmlns:c16="http://schemas.microsoft.com/office/drawing/2014/chart" uri="{C3380CC4-5D6E-409C-BE32-E72D297353CC}">
                <c16:uniqueId val="{0000026E-0FBF-4522-8453-B08304F5887A}"/>
              </c:ext>
            </c:extLst>
          </c:dPt>
          <c:dPt>
            <c:idx val="14"/>
            <c:invertIfNegative val="0"/>
            <c:bubble3D val="0"/>
            <c:extLst>
              <c:ext xmlns:c16="http://schemas.microsoft.com/office/drawing/2014/chart" uri="{C3380CC4-5D6E-409C-BE32-E72D297353CC}">
                <c16:uniqueId val="{0000026F-0FBF-4522-8453-B08304F5887A}"/>
              </c:ext>
            </c:extLst>
          </c:dPt>
          <c:dPt>
            <c:idx val="15"/>
            <c:invertIfNegative val="0"/>
            <c:bubble3D val="0"/>
            <c:extLst>
              <c:ext xmlns:c16="http://schemas.microsoft.com/office/drawing/2014/chart" uri="{C3380CC4-5D6E-409C-BE32-E72D297353CC}">
                <c16:uniqueId val="{00000270-0FBF-4522-8453-B08304F5887A}"/>
              </c:ext>
            </c:extLst>
          </c:dPt>
          <c:dPt>
            <c:idx val="16"/>
            <c:invertIfNegative val="0"/>
            <c:bubble3D val="0"/>
            <c:extLst>
              <c:ext xmlns:c16="http://schemas.microsoft.com/office/drawing/2014/chart" uri="{C3380CC4-5D6E-409C-BE32-E72D297353CC}">
                <c16:uniqueId val="{00000271-0FBF-4522-8453-B08304F5887A}"/>
              </c:ext>
            </c:extLst>
          </c:dPt>
          <c:dPt>
            <c:idx val="17"/>
            <c:invertIfNegative val="0"/>
            <c:bubble3D val="0"/>
            <c:extLst>
              <c:ext xmlns:c16="http://schemas.microsoft.com/office/drawing/2014/chart" uri="{C3380CC4-5D6E-409C-BE32-E72D297353CC}">
                <c16:uniqueId val="{00000272-0FBF-4522-8453-B08304F5887A}"/>
              </c:ext>
            </c:extLst>
          </c:dPt>
          <c:dPt>
            <c:idx val="18"/>
            <c:invertIfNegative val="0"/>
            <c:bubble3D val="0"/>
            <c:extLst>
              <c:ext xmlns:c16="http://schemas.microsoft.com/office/drawing/2014/chart" uri="{C3380CC4-5D6E-409C-BE32-E72D297353CC}">
                <c16:uniqueId val="{00000273-0FBF-4522-8453-B08304F5887A}"/>
              </c:ext>
            </c:extLst>
          </c:dPt>
          <c:dPt>
            <c:idx val="19"/>
            <c:invertIfNegative val="0"/>
            <c:bubble3D val="0"/>
            <c:extLst>
              <c:ext xmlns:c16="http://schemas.microsoft.com/office/drawing/2014/chart" uri="{C3380CC4-5D6E-409C-BE32-E72D297353CC}">
                <c16:uniqueId val="{00000274-0FBF-4522-8453-B08304F5887A}"/>
              </c:ext>
            </c:extLst>
          </c:dPt>
          <c:dPt>
            <c:idx val="20"/>
            <c:invertIfNegative val="0"/>
            <c:bubble3D val="0"/>
            <c:extLst>
              <c:ext xmlns:c16="http://schemas.microsoft.com/office/drawing/2014/chart" uri="{C3380CC4-5D6E-409C-BE32-E72D297353CC}">
                <c16:uniqueId val="{00000275-0FBF-4522-8453-B08304F5887A}"/>
              </c:ext>
            </c:extLst>
          </c:dPt>
          <c:dPt>
            <c:idx val="21"/>
            <c:invertIfNegative val="0"/>
            <c:bubble3D val="0"/>
            <c:extLst>
              <c:ext xmlns:c16="http://schemas.microsoft.com/office/drawing/2014/chart" uri="{C3380CC4-5D6E-409C-BE32-E72D297353CC}">
                <c16:uniqueId val="{00000276-0FBF-4522-8453-B08304F5887A}"/>
              </c:ext>
            </c:extLst>
          </c:dPt>
          <c:dPt>
            <c:idx val="22"/>
            <c:invertIfNegative val="0"/>
            <c:bubble3D val="0"/>
            <c:extLst>
              <c:ext xmlns:c16="http://schemas.microsoft.com/office/drawing/2014/chart" uri="{C3380CC4-5D6E-409C-BE32-E72D297353CC}">
                <c16:uniqueId val="{00000277-0FBF-4522-8453-B08304F5887A}"/>
              </c:ext>
            </c:extLst>
          </c:dPt>
          <c:dPt>
            <c:idx val="23"/>
            <c:invertIfNegative val="0"/>
            <c:bubble3D val="0"/>
            <c:extLst>
              <c:ext xmlns:c16="http://schemas.microsoft.com/office/drawing/2014/chart" uri="{C3380CC4-5D6E-409C-BE32-E72D297353CC}">
                <c16:uniqueId val="{00000278-0FBF-4522-8453-B08304F5887A}"/>
              </c:ext>
            </c:extLst>
          </c:dPt>
          <c:dPt>
            <c:idx val="24"/>
            <c:invertIfNegative val="0"/>
            <c:bubble3D val="0"/>
            <c:extLst>
              <c:ext xmlns:c16="http://schemas.microsoft.com/office/drawing/2014/chart" uri="{C3380CC4-5D6E-409C-BE32-E72D297353CC}">
                <c16:uniqueId val="{00000279-0FBF-4522-8453-B08304F5887A}"/>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Data'!$C$7:$X$7</c:f>
              <c:numCache>
                <c:formatCode>#,##0_ ;\-#,##0\ </c:formatCode>
                <c:ptCount val="22"/>
                <c:pt idx="0">
                  <c:v>1558.1939499382204</c:v>
                </c:pt>
                <c:pt idx="1">
                  <c:v>550.04870888542018</c:v>
                </c:pt>
                <c:pt idx="2">
                  <c:v>477.51132997202001</c:v>
                </c:pt>
                <c:pt idx="3">
                  <c:v>150.43703577585003</c:v>
                </c:pt>
                <c:pt idx="4">
                  <c:v>366.98010665394003</c:v>
                </c:pt>
                <c:pt idx="5">
                  <c:v>289.29340920657995</c:v>
                </c:pt>
                <c:pt idx="6">
                  <c:v>268.92647500065999</c:v>
                </c:pt>
                <c:pt idx="7">
                  <c:v>525.41535069733004</c:v>
                </c:pt>
                <c:pt idx="8">
                  <c:v>928.7405577062201</c:v>
                </c:pt>
                <c:pt idx="9">
                  <c:v>258.83662805402003</c:v>
                </c:pt>
                <c:pt idx="10">
                  <c:v>553.06816134357007</c:v>
                </c:pt>
                <c:pt idx="11">
                  <c:v>1409.2035100353703</c:v>
                </c:pt>
                <c:pt idx="12">
                  <c:v>791.83617982635019</c:v>
                </c:pt>
                <c:pt idx="13">
                  <c:v>1547.4953450110395</c:v>
                </c:pt>
                <c:pt idx="14">
                  <c:v>2081.924639147961</c:v>
                </c:pt>
                <c:pt idx="15">
                  <c:v>2282.2662993079916</c:v>
                </c:pt>
                <c:pt idx="16">
                  <c:v>2894.2152285396774</c:v>
                </c:pt>
                <c:pt idx="17">
                  <c:v>3451.02955353364</c:v>
                </c:pt>
                <c:pt idx="18">
                  <c:v>5220.1359135985495</c:v>
                </c:pt>
                <c:pt idx="19">
                  <c:v>4320.88250634017</c:v>
                </c:pt>
                <c:pt idx="20">
                  <c:v>4979.0393388889097</c:v>
                </c:pt>
                <c:pt idx="21">
                  <c:v>4780.5461025162367</c:v>
                </c:pt>
              </c:numCache>
            </c:numRef>
          </c:val>
          <c:extLst>
            <c:ext xmlns:c16="http://schemas.microsoft.com/office/drawing/2014/chart" uri="{C3380CC4-5D6E-409C-BE32-E72D297353CC}">
              <c16:uniqueId val="{0000027A-0FBF-4522-8453-B08304F5887A}"/>
            </c:ext>
          </c:extLst>
        </c:ser>
        <c:ser>
          <c:idx val="5"/>
          <c:order val="5"/>
          <c:tx>
            <c:strRef>
              <c:f>'NEMEnergyGenerated Data'!$B$8</c:f>
              <c:strCache>
                <c:ptCount val="1"/>
                <c:pt idx="0">
                  <c:v>Wind</c:v>
                </c:pt>
              </c:strCache>
            </c:strRef>
          </c:tx>
          <c:spPr>
            <a:solidFill>
              <a:srgbClr val="339933"/>
            </a:solidFill>
            <a:ln>
              <a:noFill/>
            </a:ln>
            <a:effectLst/>
          </c:spPr>
          <c:invertIfNegative val="0"/>
          <c:dPt>
            <c:idx val="0"/>
            <c:invertIfNegative val="0"/>
            <c:bubble3D val="0"/>
            <c:extLst>
              <c:ext xmlns:c16="http://schemas.microsoft.com/office/drawing/2014/chart" uri="{C3380CC4-5D6E-409C-BE32-E72D297353CC}">
                <c16:uniqueId val="{000002E0-0FBF-4522-8453-B08304F5887A}"/>
              </c:ext>
            </c:extLst>
          </c:dPt>
          <c:dPt>
            <c:idx val="1"/>
            <c:invertIfNegative val="0"/>
            <c:bubble3D val="0"/>
            <c:extLst>
              <c:ext xmlns:c16="http://schemas.microsoft.com/office/drawing/2014/chart" uri="{C3380CC4-5D6E-409C-BE32-E72D297353CC}">
                <c16:uniqueId val="{000002E1-0FBF-4522-8453-B08304F5887A}"/>
              </c:ext>
            </c:extLst>
          </c:dPt>
          <c:dPt>
            <c:idx val="2"/>
            <c:invertIfNegative val="0"/>
            <c:bubble3D val="0"/>
            <c:extLst>
              <c:ext xmlns:c16="http://schemas.microsoft.com/office/drawing/2014/chart" uri="{C3380CC4-5D6E-409C-BE32-E72D297353CC}">
                <c16:uniqueId val="{000002E2-0FBF-4522-8453-B08304F5887A}"/>
              </c:ext>
            </c:extLst>
          </c:dPt>
          <c:dPt>
            <c:idx val="3"/>
            <c:invertIfNegative val="0"/>
            <c:bubble3D val="0"/>
            <c:extLst>
              <c:ext xmlns:c16="http://schemas.microsoft.com/office/drawing/2014/chart" uri="{C3380CC4-5D6E-409C-BE32-E72D297353CC}">
                <c16:uniqueId val="{000002E3-0FBF-4522-8453-B08304F5887A}"/>
              </c:ext>
            </c:extLst>
          </c:dPt>
          <c:dPt>
            <c:idx val="4"/>
            <c:invertIfNegative val="0"/>
            <c:bubble3D val="0"/>
            <c:extLst>
              <c:ext xmlns:c16="http://schemas.microsoft.com/office/drawing/2014/chart" uri="{C3380CC4-5D6E-409C-BE32-E72D297353CC}">
                <c16:uniqueId val="{000002E4-0FBF-4522-8453-B08304F5887A}"/>
              </c:ext>
            </c:extLst>
          </c:dPt>
          <c:dPt>
            <c:idx val="5"/>
            <c:invertIfNegative val="0"/>
            <c:bubble3D val="0"/>
            <c:extLst>
              <c:ext xmlns:c16="http://schemas.microsoft.com/office/drawing/2014/chart" uri="{C3380CC4-5D6E-409C-BE32-E72D297353CC}">
                <c16:uniqueId val="{000002E5-0FBF-4522-8453-B08304F5887A}"/>
              </c:ext>
            </c:extLst>
          </c:dPt>
          <c:dPt>
            <c:idx val="6"/>
            <c:invertIfNegative val="0"/>
            <c:bubble3D val="0"/>
            <c:extLst>
              <c:ext xmlns:c16="http://schemas.microsoft.com/office/drawing/2014/chart" uri="{C3380CC4-5D6E-409C-BE32-E72D297353CC}">
                <c16:uniqueId val="{000002E6-0FBF-4522-8453-B08304F5887A}"/>
              </c:ext>
            </c:extLst>
          </c:dPt>
          <c:dPt>
            <c:idx val="7"/>
            <c:invertIfNegative val="0"/>
            <c:bubble3D val="0"/>
            <c:extLst>
              <c:ext xmlns:c16="http://schemas.microsoft.com/office/drawing/2014/chart" uri="{C3380CC4-5D6E-409C-BE32-E72D297353CC}">
                <c16:uniqueId val="{000002E7-0FBF-4522-8453-B08304F5887A}"/>
              </c:ext>
            </c:extLst>
          </c:dPt>
          <c:dPt>
            <c:idx val="8"/>
            <c:invertIfNegative val="0"/>
            <c:bubble3D val="0"/>
            <c:extLst>
              <c:ext xmlns:c16="http://schemas.microsoft.com/office/drawing/2014/chart" uri="{C3380CC4-5D6E-409C-BE32-E72D297353CC}">
                <c16:uniqueId val="{000002E8-0FBF-4522-8453-B08304F5887A}"/>
              </c:ext>
            </c:extLst>
          </c:dPt>
          <c:dPt>
            <c:idx val="9"/>
            <c:invertIfNegative val="0"/>
            <c:bubble3D val="0"/>
            <c:extLst>
              <c:ext xmlns:c16="http://schemas.microsoft.com/office/drawing/2014/chart" uri="{C3380CC4-5D6E-409C-BE32-E72D297353CC}">
                <c16:uniqueId val="{000002E9-0FBF-4522-8453-B08304F5887A}"/>
              </c:ext>
            </c:extLst>
          </c:dPt>
          <c:dPt>
            <c:idx val="10"/>
            <c:invertIfNegative val="0"/>
            <c:bubble3D val="0"/>
            <c:extLst>
              <c:ext xmlns:c16="http://schemas.microsoft.com/office/drawing/2014/chart" uri="{C3380CC4-5D6E-409C-BE32-E72D297353CC}">
                <c16:uniqueId val="{000002EA-0FBF-4522-8453-B08304F5887A}"/>
              </c:ext>
            </c:extLst>
          </c:dPt>
          <c:dPt>
            <c:idx val="11"/>
            <c:invertIfNegative val="0"/>
            <c:bubble3D val="0"/>
            <c:extLst>
              <c:ext xmlns:c16="http://schemas.microsoft.com/office/drawing/2014/chart" uri="{C3380CC4-5D6E-409C-BE32-E72D297353CC}">
                <c16:uniqueId val="{000002EB-0FBF-4522-8453-B08304F5887A}"/>
              </c:ext>
            </c:extLst>
          </c:dPt>
          <c:dPt>
            <c:idx val="12"/>
            <c:invertIfNegative val="0"/>
            <c:bubble3D val="0"/>
            <c:extLst>
              <c:ext xmlns:c16="http://schemas.microsoft.com/office/drawing/2014/chart" uri="{C3380CC4-5D6E-409C-BE32-E72D297353CC}">
                <c16:uniqueId val="{000002EC-0FBF-4522-8453-B08304F5887A}"/>
              </c:ext>
            </c:extLst>
          </c:dPt>
          <c:dPt>
            <c:idx val="13"/>
            <c:invertIfNegative val="0"/>
            <c:bubble3D val="0"/>
            <c:extLst>
              <c:ext xmlns:c16="http://schemas.microsoft.com/office/drawing/2014/chart" uri="{C3380CC4-5D6E-409C-BE32-E72D297353CC}">
                <c16:uniqueId val="{000002ED-0FBF-4522-8453-B08304F5887A}"/>
              </c:ext>
            </c:extLst>
          </c:dPt>
          <c:dPt>
            <c:idx val="14"/>
            <c:invertIfNegative val="0"/>
            <c:bubble3D val="0"/>
            <c:extLst>
              <c:ext xmlns:c16="http://schemas.microsoft.com/office/drawing/2014/chart" uri="{C3380CC4-5D6E-409C-BE32-E72D297353CC}">
                <c16:uniqueId val="{000002EE-0FBF-4522-8453-B08304F5887A}"/>
              </c:ext>
            </c:extLst>
          </c:dPt>
          <c:dPt>
            <c:idx val="15"/>
            <c:invertIfNegative val="0"/>
            <c:bubble3D val="0"/>
            <c:extLst>
              <c:ext xmlns:c16="http://schemas.microsoft.com/office/drawing/2014/chart" uri="{C3380CC4-5D6E-409C-BE32-E72D297353CC}">
                <c16:uniqueId val="{000002EF-0FBF-4522-8453-B08304F5887A}"/>
              </c:ext>
            </c:extLst>
          </c:dPt>
          <c:dPt>
            <c:idx val="16"/>
            <c:invertIfNegative val="0"/>
            <c:bubble3D val="0"/>
            <c:extLst>
              <c:ext xmlns:c16="http://schemas.microsoft.com/office/drawing/2014/chart" uri="{C3380CC4-5D6E-409C-BE32-E72D297353CC}">
                <c16:uniqueId val="{000002F0-0FBF-4522-8453-B08304F5887A}"/>
              </c:ext>
            </c:extLst>
          </c:dPt>
          <c:dPt>
            <c:idx val="17"/>
            <c:invertIfNegative val="0"/>
            <c:bubble3D val="0"/>
            <c:extLst>
              <c:ext xmlns:c16="http://schemas.microsoft.com/office/drawing/2014/chart" uri="{C3380CC4-5D6E-409C-BE32-E72D297353CC}">
                <c16:uniqueId val="{000002F1-0FBF-4522-8453-B08304F5887A}"/>
              </c:ext>
            </c:extLst>
          </c:dPt>
          <c:dPt>
            <c:idx val="18"/>
            <c:invertIfNegative val="0"/>
            <c:bubble3D val="0"/>
            <c:extLst>
              <c:ext xmlns:c16="http://schemas.microsoft.com/office/drawing/2014/chart" uri="{C3380CC4-5D6E-409C-BE32-E72D297353CC}">
                <c16:uniqueId val="{000002F2-0FBF-4522-8453-B08304F5887A}"/>
              </c:ext>
            </c:extLst>
          </c:dPt>
          <c:dPt>
            <c:idx val="19"/>
            <c:invertIfNegative val="0"/>
            <c:bubble3D val="0"/>
            <c:extLst>
              <c:ext xmlns:c16="http://schemas.microsoft.com/office/drawing/2014/chart" uri="{C3380CC4-5D6E-409C-BE32-E72D297353CC}">
                <c16:uniqueId val="{000002F3-0FBF-4522-8453-B08304F5887A}"/>
              </c:ext>
            </c:extLst>
          </c:dPt>
          <c:dPt>
            <c:idx val="20"/>
            <c:invertIfNegative val="0"/>
            <c:bubble3D val="0"/>
            <c:extLst>
              <c:ext xmlns:c16="http://schemas.microsoft.com/office/drawing/2014/chart" uri="{C3380CC4-5D6E-409C-BE32-E72D297353CC}">
                <c16:uniqueId val="{000002F4-0FBF-4522-8453-B08304F5887A}"/>
              </c:ext>
            </c:extLst>
          </c:dPt>
          <c:dPt>
            <c:idx val="21"/>
            <c:invertIfNegative val="0"/>
            <c:bubble3D val="0"/>
            <c:extLst>
              <c:ext xmlns:c16="http://schemas.microsoft.com/office/drawing/2014/chart" uri="{C3380CC4-5D6E-409C-BE32-E72D297353CC}">
                <c16:uniqueId val="{000002F5-0FBF-4522-8453-B08304F5887A}"/>
              </c:ext>
            </c:extLst>
          </c:dPt>
          <c:dPt>
            <c:idx val="22"/>
            <c:invertIfNegative val="0"/>
            <c:bubble3D val="0"/>
            <c:extLst>
              <c:ext xmlns:c16="http://schemas.microsoft.com/office/drawing/2014/chart" uri="{C3380CC4-5D6E-409C-BE32-E72D297353CC}">
                <c16:uniqueId val="{000002F6-0FBF-4522-8453-B08304F5887A}"/>
              </c:ext>
            </c:extLst>
          </c:dPt>
          <c:dPt>
            <c:idx val="23"/>
            <c:invertIfNegative val="0"/>
            <c:bubble3D val="0"/>
            <c:extLst>
              <c:ext xmlns:c16="http://schemas.microsoft.com/office/drawing/2014/chart" uri="{C3380CC4-5D6E-409C-BE32-E72D297353CC}">
                <c16:uniqueId val="{000002F7-0FBF-4522-8453-B08304F5887A}"/>
              </c:ext>
            </c:extLst>
          </c:dPt>
          <c:dPt>
            <c:idx val="24"/>
            <c:invertIfNegative val="0"/>
            <c:bubble3D val="0"/>
            <c:extLst>
              <c:ext xmlns:c16="http://schemas.microsoft.com/office/drawing/2014/chart" uri="{C3380CC4-5D6E-409C-BE32-E72D297353CC}">
                <c16:uniqueId val="{000002F8-0FBF-4522-8453-B08304F5887A}"/>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Data'!$C$8:$X$8</c:f>
              <c:numCache>
                <c:formatCode>#,##0_ ;\-#,##0\ </c:formatCode>
                <c:ptCount val="22"/>
                <c:pt idx="0">
                  <c:v>18209</c:v>
                </c:pt>
                <c:pt idx="1">
                  <c:v>24357</c:v>
                </c:pt>
                <c:pt idx="2">
                  <c:v>26237</c:v>
                </c:pt>
                <c:pt idx="3">
                  <c:v>27350</c:v>
                </c:pt>
                <c:pt idx="4">
                  <c:v>28868</c:v>
                </c:pt>
                <c:pt idx="5">
                  <c:v>30757</c:v>
                </c:pt>
                <c:pt idx="6">
                  <c:v>32291</c:v>
                </c:pt>
                <c:pt idx="7">
                  <c:v>32109</c:v>
                </c:pt>
                <c:pt idx="8">
                  <c:v>33024</c:v>
                </c:pt>
                <c:pt idx="9">
                  <c:v>32753</c:v>
                </c:pt>
                <c:pt idx="10">
                  <c:v>34746</c:v>
                </c:pt>
                <c:pt idx="11">
                  <c:v>35153</c:v>
                </c:pt>
                <c:pt idx="12">
                  <c:v>34084</c:v>
                </c:pt>
                <c:pt idx="13">
                  <c:v>34175</c:v>
                </c:pt>
                <c:pt idx="14">
                  <c:v>35267</c:v>
                </c:pt>
                <c:pt idx="15">
                  <c:v>37299</c:v>
                </c:pt>
                <c:pt idx="16">
                  <c:v>39435</c:v>
                </c:pt>
                <c:pt idx="17">
                  <c:v>42790</c:v>
                </c:pt>
                <c:pt idx="18">
                  <c:v>46012</c:v>
                </c:pt>
                <c:pt idx="19">
                  <c:v>45463</c:v>
                </c:pt>
                <c:pt idx="20">
                  <c:v>46244</c:v>
                </c:pt>
                <c:pt idx="21">
                  <c:v>47390</c:v>
                </c:pt>
              </c:numCache>
            </c:numRef>
          </c:val>
          <c:extLst>
            <c:ext xmlns:c16="http://schemas.microsoft.com/office/drawing/2014/chart" uri="{C3380CC4-5D6E-409C-BE32-E72D297353CC}">
              <c16:uniqueId val="{000002F9-0FBF-4522-8453-B08304F5887A}"/>
            </c:ext>
          </c:extLst>
        </c:ser>
        <c:ser>
          <c:idx val="8"/>
          <c:order val="6"/>
          <c:tx>
            <c:strRef>
              <c:f>'NEMEnergyGenerated Data'!$B$12</c:f>
              <c:strCache>
                <c:ptCount val="1"/>
                <c:pt idx="0">
                  <c:v>Biomass</c:v>
                </c:pt>
              </c:strCache>
            </c:strRef>
          </c:tx>
          <c:spPr>
            <a:solidFill>
              <a:srgbClr val="B3E0EE"/>
            </a:solidFill>
            <a:ln>
              <a:noFill/>
            </a:ln>
            <a:effectLst/>
          </c:spPr>
          <c:invertIfNegative val="0"/>
          <c:dPt>
            <c:idx val="0"/>
            <c:invertIfNegative val="0"/>
            <c:bubble3D val="0"/>
            <c:extLst>
              <c:ext xmlns:c16="http://schemas.microsoft.com/office/drawing/2014/chart" uri="{C3380CC4-5D6E-409C-BE32-E72D297353CC}">
                <c16:uniqueId val="{0000027C-0FBF-4522-8453-B08304F5887A}"/>
              </c:ext>
            </c:extLst>
          </c:dPt>
          <c:dPt>
            <c:idx val="1"/>
            <c:invertIfNegative val="0"/>
            <c:bubble3D val="0"/>
            <c:extLst>
              <c:ext xmlns:c16="http://schemas.microsoft.com/office/drawing/2014/chart" uri="{C3380CC4-5D6E-409C-BE32-E72D297353CC}">
                <c16:uniqueId val="{0000027D-0FBF-4522-8453-B08304F5887A}"/>
              </c:ext>
            </c:extLst>
          </c:dPt>
          <c:dPt>
            <c:idx val="2"/>
            <c:invertIfNegative val="0"/>
            <c:bubble3D val="0"/>
            <c:extLst>
              <c:ext xmlns:c16="http://schemas.microsoft.com/office/drawing/2014/chart" uri="{C3380CC4-5D6E-409C-BE32-E72D297353CC}">
                <c16:uniqueId val="{0000027E-0FBF-4522-8453-B08304F5887A}"/>
              </c:ext>
            </c:extLst>
          </c:dPt>
          <c:dPt>
            <c:idx val="3"/>
            <c:invertIfNegative val="0"/>
            <c:bubble3D val="0"/>
            <c:extLst>
              <c:ext xmlns:c16="http://schemas.microsoft.com/office/drawing/2014/chart" uri="{C3380CC4-5D6E-409C-BE32-E72D297353CC}">
                <c16:uniqueId val="{0000027F-0FBF-4522-8453-B08304F5887A}"/>
              </c:ext>
            </c:extLst>
          </c:dPt>
          <c:dPt>
            <c:idx val="4"/>
            <c:invertIfNegative val="0"/>
            <c:bubble3D val="0"/>
            <c:extLst>
              <c:ext xmlns:c16="http://schemas.microsoft.com/office/drawing/2014/chart" uri="{C3380CC4-5D6E-409C-BE32-E72D297353CC}">
                <c16:uniqueId val="{00000280-0FBF-4522-8453-B08304F5887A}"/>
              </c:ext>
            </c:extLst>
          </c:dPt>
          <c:dPt>
            <c:idx val="5"/>
            <c:invertIfNegative val="0"/>
            <c:bubble3D val="0"/>
            <c:extLst>
              <c:ext xmlns:c16="http://schemas.microsoft.com/office/drawing/2014/chart" uri="{C3380CC4-5D6E-409C-BE32-E72D297353CC}">
                <c16:uniqueId val="{00000281-0FBF-4522-8453-B08304F5887A}"/>
              </c:ext>
            </c:extLst>
          </c:dPt>
          <c:dPt>
            <c:idx val="6"/>
            <c:invertIfNegative val="0"/>
            <c:bubble3D val="0"/>
            <c:extLst>
              <c:ext xmlns:c16="http://schemas.microsoft.com/office/drawing/2014/chart" uri="{C3380CC4-5D6E-409C-BE32-E72D297353CC}">
                <c16:uniqueId val="{00000282-0FBF-4522-8453-B08304F5887A}"/>
              </c:ext>
            </c:extLst>
          </c:dPt>
          <c:dPt>
            <c:idx val="7"/>
            <c:invertIfNegative val="0"/>
            <c:bubble3D val="0"/>
            <c:extLst>
              <c:ext xmlns:c16="http://schemas.microsoft.com/office/drawing/2014/chart" uri="{C3380CC4-5D6E-409C-BE32-E72D297353CC}">
                <c16:uniqueId val="{00000283-0FBF-4522-8453-B08304F5887A}"/>
              </c:ext>
            </c:extLst>
          </c:dPt>
          <c:dPt>
            <c:idx val="8"/>
            <c:invertIfNegative val="0"/>
            <c:bubble3D val="0"/>
            <c:extLst>
              <c:ext xmlns:c16="http://schemas.microsoft.com/office/drawing/2014/chart" uri="{C3380CC4-5D6E-409C-BE32-E72D297353CC}">
                <c16:uniqueId val="{00000284-0FBF-4522-8453-B08304F5887A}"/>
              </c:ext>
            </c:extLst>
          </c:dPt>
          <c:dPt>
            <c:idx val="9"/>
            <c:invertIfNegative val="0"/>
            <c:bubble3D val="0"/>
            <c:extLst>
              <c:ext xmlns:c16="http://schemas.microsoft.com/office/drawing/2014/chart" uri="{C3380CC4-5D6E-409C-BE32-E72D297353CC}">
                <c16:uniqueId val="{00000285-0FBF-4522-8453-B08304F5887A}"/>
              </c:ext>
            </c:extLst>
          </c:dPt>
          <c:dPt>
            <c:idx val="10"/>
            <c:invertIfNegative val="0"/>
            <c:bubble3D val="0"/>
            <c:extLst>
              <c:ext xmlns:c16="http://schemas.microsoft.com/office/drawing/2014/chart" uri="{C3380CC4-5D6E-409C-BE32-E72D297353CC}">
                <c16:uniqueId val="{00000286-0FBF-4522-8453-B08304F5887A}"/>
              </c:ext>
            </c:extLst>
          </c:dPt>
          <c:dPt>
            <c:idx val="11"/>
            <c:invertIfNegative val="0"/>
            <c:bubble3D val="0"/>
            <c:extLst>
              <c:ext xmlns:c16="http://schemas.microsoft.com/office/drawing/2014/chart" uri="{C3380CC4-5D6E-409C-BE32-E72D297353CC}">
                <c16:uniqueId val="{00000287-0FBF-4522-8453-B08304F5887A}"/>
              </c:ext>
            </c:extLst>
          </c:dPt>
          <c:dPt>
            <c:idx val="12"/>
            <c:invertIfNegative val="0"/>
            <c:bubble3D val="0"/>
            <c:extLst>
              <c:ext xmlns:c16="http://schemas.microsoft.com/office/drawing/2014/chart" uri="{C3380CC4-5D6E-409C-BE32-E72D297353CC}">
                <c16:uniqueId val="{00000288-0FBF-4522-8453-B08304F5887A}"/>
              </c:ext>
            </c:extLst>
          </c:dPt>
          <c:dPt>
            <c:idx val="13"/>
            <c:invertIfNegative val="0"/>
            <c:bubble3D val="0"/>
            <c:extLst>
              <c:ext xmlns:c16="http://schemas.microsoft.com/office/drawing/2014/chart" uri="{C3380CC4-5D6E-409C-BE32-E72D297353CC}">
                <c16:uniqueId val="{00000289-0FBF-4522-8453-B08304F5887A}"/>
              </c:ext>
            </c:extLst>
          </c:dPt>
          <c:dPt>
            <c:idx val="14"/>
            <c:invertIfNegative val="0"/>
            <c:bubble3D val="0"/>
            <c:extLst>
              <c:ext xmlns:c16="http://schemas.microsoft.com/office/drawing/2014/chart" uri="{C3380CC4-5D6E-409C-BE32-E72D297353CC}">
                <c16:uniqueId val="{0000028A-0FBF-4522-8453-B08304F5887A}"/>
              </c:ext>
            </c:extLst>
          </c:dPt>
          <c:dPt>
            <c:idx val="15"/>
            <c:invertIfNegative val="0"/>
            <c:bubble3D val="0"/>
            <c:extLst>
              <c:ext xmlns:c16="http://schemas.microsoft.com/office/drawing/2014/chart" uri="{C3380CC4-5D6E-409C-BE32-E72D297353CC}">
                <c16:uniqueId val="{0000028B-0FBF-4522-8453-B08304F5887A}"/>
              </c:ext>
            </c:extLst>
          </c:dPt>
          <c:dPt>
            <c:idx val="16"/>
            <c:invertIfNegative val="0"/>
            <c:bubble3D val="0"/>
            <c:extLst>
              <c:ext xmlns:c16="http://schemas.microsoft.com/office/drawing/2014/chart" uri="{C3380CC4-5D6E-409C-BE32-E72D297353CC}">
                <c16:uniqueId val="{0000028C-0FBF-4522-8453-B08304F5887A}"/>
              </c:ext>
            </c:extLst>
          </c:dPt>
          <c:dPt>
            <c:idx val="17"/>
            <c:invertIfNegative val="0"/>
            <c:bubble3D val="0"/>
            <c:extLst>
              <c:ext xmlns:c16="http://schemas.microsoft.com/office/drawing/2014/chart" uri="{C3380CC4-5D6E-409C-BE32-E72D297353CC}">
                <c16:uniqueId val="{0000028D-0FBF-4522-8453-B08304F5887A}"/>
              </c:ext>
            </c:extLst>
          </c:dPt>
          <c:dPt>
            <c:idx val="18"/>
            <c:invertIfNegative val="0"/>
            <c:bubble3D val="0"/>
            <c:extLst>
              <c:ext xmlns:c16="http://schemas.microsoft.com/office/drawing/2014/chart" uri="{C3380CC4-5D6E-409C-BE32-E72D297353CC}">
                <c16:uniqueId val="{0000028E-0FBF-4522-8453-B08304F5887A}"/>
              </c:ext>
            </c:extLst>
          </c:dPt>
          <c:dPt>
            <c:idx val="19"/>
            <c:invertIfNegative val="0"/>
            <c:bubble3D val="0"/>
            <c:extLst>
              <c:ext xmlns:c16="http://schemas.microsoft.com/office/drawing/2014/chart" uri="{C3380CC4-5D6E-409C-BE32-E72D297353CC}">
                <c16:uniqueId val="{0000028F-0FBF-4522-8453-B08304F5887A}"/>
              </c:ext>
            </c:extLst>
          </c:dPt>
          <c:dPt>
            <c:idx val="20"/>
            <c:invertIfNegative val="0"/>
            <c:bubble3D val="0"/>
            <c:extLst>
              <c:ext xmlns:c16="http://schemas.microsoft.com/office/drawing/2014/chart" uri="{C3380CC4-5D6E-409C-BE32-E72D297353CC}">
                <c16:uniqueId val="{00000290-0FBF-4522-8453-B08304F5887A}"/>
              </c:ext>
            </c:extLst>
          </c:dPt>
          <c:dPt>
            <c:idx val="21"/>
            <c:invertIfNegative val="0"/>
            <c:bubble3D val="0"/>
            <c:extLst>
              <c:ext xmlns:c16="http://schemas.microsoft.com/office/drawing/2014/chart" uri="{C3380CC4-5D6E-409C-BE32-E72D297353CC}">
                <c16:uniqueId val="{00000291-0FBF-4522-8453-B08304F5887A}"/>
              </c:ext>
            </c:extLst>
          </c:dPt>
          <c:dPt>
            <c:idx val="22"/>
            <c:invertIfNegative val="0"/>
            <c:bubble3D val="0"/>
            <c:extLst>
              <c:ext xmlns:c16="http://schemas.microsoft.com/office/drawing/2014/chart" uri="{C3380CC4-5D6E-409C-BE32-E72D297353CC}">
                <c16:uniqueId val="{00000292-0FBF-4522-8453-B08304F5887A}"/>
              </c:ext>
            </c:extLst>
          </c:dPt>
          <c:dPt>
            <c:idx val="23"/>
            <c:invertIfNegative val="0"/>
            <c:bubble3D val="0"/>
            <c:extLst>
              <c:ext xmlns:c16="http://schemas.microsoft.com/office/drawing/2014/chart" uri="{C3380CC4-5D6E-409C-BE32-E72D297353CC}">
                <c16:uniqueId val="{00000293-0FBF-4522-8453-B08304F5887A}"/>
              </c:ext>
            </c:extLst>
          </c:dPt>
          <c:dPt>
            <c:idx val="24"/>
            <c:invertIfNegative val="0"/>
            <c:bubble3D val="0"/>
            <c:extLst>
              <c:ext xmlns:c16="http://schemas.microsoft.com/office/drawing/2014/chart" uri="{C3380CC4-5D6E-409C-BE32-E72D297353CC}">
                <c16:uniqueId val="{00000294-0FBF-4522-8453-B08304F5887A}"/>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Data'!$C$12:$X$12</c:f>
              <c:numCache>
                <c:formatCode>#,##0_ ;\-#,##0\ </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876</c:v>
                </c:pt>
                <c:pt idx="17">
                  <c:v>878</c:v>
                </c:pt>
                <c:pt idx="18">
                  <c:v>1314</c:v>
                </c:pt>
                <c:pt idx="19">
                  <c:v>1314</c:v>
                </c:pt>
                <c:pt idx="20">
                  <c:v>1314</c:v>
                </c:pt>
                <c:pt idx="21">
                  <c:v>1318</c:v>
                </c:pt>
              </c:numCache>
            </c:numRef>
          </c:val>
          <c:extLst>
            <c:ext xmlns:c16="http://schemas.microsoft.com/office/drawing/2014/chart" uri="{C3380CC4-5D6E-409C-BE32-E72D297353CC}">
              <c16:uniqueId val="{00000295-0FBF-4522-8453-B08304F5887A}"/>
            </c:ext>
          </c:extLst>
        </c:ser>
        <c:ser>
          <c:idx val="6"/>
          <c:order val="7"/>
          <c:tx>
            <c:strRef>
              <c:f>'NEMEnergyGenerated Data'!$B$9</c:f>
              <c:strCache>
                <c:ptCount val="1"/>
                <c:pt idx="0">
                  <c:v>Utility Solar</c:v>
                </c:pt>
              </c:strCache>
            </c:strRef>
          </c:tx>
          <c:spPr>
            <a:solidFill>
              <a:srgbClr val="FFC222"/>
            </a:solidFill>
            <a:ln>
              <a:noFill/>
            </a:ln>
            <a:effectLst/>
          </c:spPr>
          <c:invertIfNegative val="0"/>
          <c:dPt>
            <c:idx val="0"/>
            <c:invertIfNegative val="0"/>
            <c:bubble3D val="0"/>
            <c:extLst>
              <c:ext xmlns:c16="http://schemas.microsoft.com/office/drawing/2014/chart" uri="{C3380CC4-5D6E-409C-BE32-E72D297353CC}">
                <c16:uniqueId val="{000002FB-0FBF-4522-8453-B08304F5887A}"/>
              </c:ext>
            </c:extLst>
          </c:dPt>
          <c:dPt>
            <c:idx val="1"/>
            <c:invertIfNegative val="0"/>
            <c:bubble3D val="0"/>
            <c:extLst>
              <c:ext xmlns:c16="http://schemas.microsoft.com/office/drawing/2014/chart" uri="{C3380CC4-5D6E-409C-BE32-E72D297353CC}">
                <c16:uniqueId val="{000002FC-0FBF-4522-8453-B08304F5887A}"/>
              </c:ext>
            </c:extLst>
          </c:dPt>
          <c:dPt>
            <c:idx val="2"/>
            <c:invertIfNegative val="0"/>
            <c:bubble3D val="0"/>
            <c:extLst>
              <c:ext xmlns:c16="http://schemas.microsoft.com/office/drawing/2014/chart" uri="{C3380CC4-5D6E-409C-BE32-E72D297353CC}">
                <c16:uniqueId val="{000002FD-0FBF-4522-8453-B08304F5887A}"/>
              </c:ext>
            </c:extLst>
          </c:dPt>
          <c:dPt>
            <c:idx val="3"/>
            <c:invertIfNegative val="0"/>
            <c:bubble3D val="0"/>
            <c:extLst>
              <c:ext xmlns:c16="http://schemas.microsoft.com/office/drawing/2014/chart" uri="{C3380CC4-5D6E-409C-BE32-E72D297353CC}">
                <c16:uniqueId val="{000002FE-0FBF-4522-8453-B08304F5887A}"/>
              </c:ext>
            </c:extLst>
          </c:dPt>
          <c:dPt>
            <c:idx val="4"/>
            <c:invertIfNegative val="0"/>
            <c:bubble3D val="0"/>
            <c:extLst>
              <c:ext xmlns:c16="http://schemas.microsoft.com/office/drawing/2014/chart" uri="{C3380CC4-5D6E-409C-BE32-E72D297353CC}">
                <c16:uniqueId val="{000002FF-0FBF-4522-8453-B08304F5887A}"/>
              </c:ext>
            </c:extLst>
          </c:dPt>
          <c:dPt>
            <c:idx val="5"/>
            <c:invertIfNegative val="0"/>
            <c:bubble3D val="0"/>
            <c:extLst>
              <c:ext xmlns:c16="http://schemas.microsoft.com/office/drawing/2014/chart" uri="{C3380CC4-5D6E-409C-BE32-E72D297353CC}">
                <c16:uniqueId val="{00000300-0FBF-4522-8453-B08304F5887A}"/>
              </c:ext>
            </c:extLst>
          </c:dPt>
          <c:dPt>
            <c:idx val="6"/>
            <c:invertIfNegative val="0"/>
            <c:bubble3D val="0"/>
            <c:extLst>
              <c:ext xmlns:c16="http://schemas.microsoft.com/office/drawing/2014/chart" uri="{C3380CC4-5D6E-409C-BE32-E72D297353CC}">
                <c16:uniqueId val="{00000301-0FBF-4522-8453-B08304F5887A}"/>
              </c:ext>
            </c:extLst>
          </c:dPt>
          <c:dPt>
            <c:idx val="7"/>
            <c:invertIfNegative val="0"/>
            <c:bubble3D val="0"/>
            <c:extLst>
              <c:ext xmlns:c16="http://schemas.microsoft.com/office/drawing/2014/chart" uri="{C3380CC4-5D6E-409C-BE32-E72D297353CC}">
                <c16:uniqueId val="{00000302-0FBF-4522-8453-B08304F5887A}"/>
              </c:ext>
            </c:extLst>
          </c:dPt>
          <c:dPt>
            <c:idx val="8"/>
            <c:invertIfNegative val="0"/>
            <c:bubble3D val="0"/>
            <c:extLst>
              <c:ext xmlns:c16="http://schemas.microsoft.com/office/drawing/2014/chart" uri="{C3380CC4-5D6E-409C-BE32-E72D297353CC}">
                <c16:uniqueId val="{00000303-0FBF-4522-8453-B08304F5887A}"/>
              </c:ext>
            </c:extLst>
          </c:dPt>
          <c:dPt>
            <c:idx val="9"/>
            <c:invertIfNegative val="0"/>
            <c:bubble3D val="0"/>
            <c:extLst>
              <c:ext xmlns:c16="http://schemas.microsoft.com/office/drawing/2014/chart" uri="{C3380CC4-5D6E-409C-BE32-E72D297353CC}">
                <c16:uniqueId val="{00000304-0FBF-4522-8453-B08304F5887A}"/>
              </c:ext>
            </c:extLst>
          </c:dPt>
          <c:dPt>
            <c:idx val="10"/>
            <c:invertIfNegative val="0"/>
            <c:bubble3D val="0"/>
            <c:extLst>
              <c:ext xmlns:c16="http://schemas.microsoft.com/office/drawing/2014/chart" uri="{C3380CC4-5D6E-409C-BE32-E72D297353CC}">
                <c16:uniqueId val="{00000305-0FBF-4522-8453-B08304F5887A}"/>
              </c:ext>
            </c:extLst>
          </c:dPt>
          <c:dPt>
            <c:idx val="11"/>
            <c:invertIfNegative val="0"/>
            <c:bubble3D val="0"/>
            <c:extLst>
              <c:ext xmlns:c16="http://schemas.microsoft.com/office/drawing/2014/chart" uri="{C3380CC4-5D6E-409C-BE32-E72D297353CC}">
                <c16:uniqueId val="{00000306-0FBF-4522-8453-B08304F5887A}"/>
              </c:ext>
            </c:extLst>
          </c:dPt>
          <c:dPt>
            <c:idx val="12"/>
            <c:invertIfNegative val="0"/>
            <c:bubble3D val="0"/>
            <c:extLst>
              <c:ext xmlns:c16="http://schemas.microsoft.com/office/drawing/2014/chart" uri="{C3380CC4-5D6E-409C-BE32-E72D297353CC}">
                <c16:uniqueId val="{00000307-0FBF-4522-8453-B08304F5887A}"/>
              </c:ext>
            </c:extLst>
          </c:dPt>
          <c:dPt>
            <c:idx val="13"/>
            <c:invertIfNegative val="0"/>
            <c:bubble3D val="0"/>
            <c:extLst>
              <c:ext xmlns:c16="http://schemas.microsoft.com/office/drawing/2014/chart" uri="{C3380CC4-5D6E-409C-BE32-E72D297353CC}">
                <c16:uniqueId val="{00000308-0FBF-4522-8453-B08304F5887A}"/>
              </c:ext>
            </c:extLst>
          </c:dPt>
          <c:dPt>
            <c:idx val="14"/>
            <c:invertIfNegative val="0"/>
            <c:bubble3D val="0"/>
            <c:extLst>
              <c:ext xmlns:c16="http://schemas.microsoft.com/office/drawing/2014/chart" uri="{C3380CC4-5D6E-409C-BE32-E72D297353CC}">
                <c16:uniqueId val="{00000309-0FBF-4522-8453-B08304F5887A}"/>
              </c:ext>
            </c:extLst>
          </c:dPt>
          <c:dPt>
            <c:idx val="15"/>
            <c:invertIfNegative val="0"/>
            <c:bubble3D val="0"/>
            <c:extLst>
              <c:ext xmlns:c16="http://schemas.microsoft.com/office/drawing/2014/chart" uri="{C3380CC4-5D6E-409C-BE32-E72D297353CC}">
                <c16:uniqueId val="{0000030A-0FBF-4522-8453-B08304F5887A}"/>
              </c:ext>
            </c:extLst>
          </c:dPt>
          <c:dPt>
            <c:idx val="16"/>
            <c:invertIfNegative val="0"/>
            <c:bubble3D val="0"/>
            <c:extLst>
              <c:ext xmlns:c16="http://schemas.microsoft.com/office/drawing/2014/chart" uri="{C3380CC4-5D6E-409C-BE32-E72D297353CC}">
                <c16:uniqueId val="{0000030B-0FBF-4522-8453-B08304F5887A}"/>
              </c:ext>
            </c:extLst>
          </c:dPt>
          <c:dPt>
            <c:idx val="17"/>
            <c:invertIfNegative val="0"/>
            <c:bubble3D val="0"/>
            <c:extLst>
              <c:ext xmlns:c16="http://schemas.microsoft.com/office/drawing/2014/chart" uri="{C3380CC4-5D6E-409C-BE32-E72D297353CC}">
                <c16:uniqueId val="{0000030C-0FBF-4522-8453-B08304F5887A}"/>
              </c:ext>
            </c:extLst>
          </c:dPt>
          <c:dPt>
            <c:idx val="18"/>
            <c:invertIfNegative val="0"/>
            <c:bubble3D val="0"/>
            <c:extLst>
              <c:ext xmlns:c16="http://schemas.microsoft.com/office/drawing/2014/chart" uri="{C3380CC4-5D6E-409C-BE32-E72D297353CC}">
                <c16:uniqueId val="{0000030D-0FBF-4522-8453-B08304F5887A}"/>
              </c:ext>
            </c:extLst>
          </c:dPt>
          <c:dPt>
            <c:idx val="19"/>
            <c:invertIfNegative val="0"/>
            <c:bubble3D val="0"/>
            <c:extLst>
              <c:ext xmlns:c16="http://schemas.microsoft.com/office/drawing/2014/chart" uri="{C3380CC4-5D6E-409C-BE32-E72D297353CC}">
                <c16:uniqueId val="{0000030E-0FBF-4522-8453-B08304F5887A}"/>
              </c:ext>
            </c:extLst>
          </c:dPt>
          <c:dPt>
            <c:idx val="20"/>
            <c:invertIfNegative val="0"/>
            <c:bubble3D val="0"/>
            <c:extLst>
              <c:ext xmlns:c16="http://schemas.microsoft.com/office/drawing/2014/chart" uri="{C3380CC4-5D6E-409C-BE32-E72D297353CC}">
                <c16:uniqueId val="{0000030F-0FBF-4522-8453-B08304F5887A}"/>
              </c:ext>
            </c:extLst>
          </c:dPt>
          <c:dPt>
            <c:idx val="21"/>
            <c:invertIfNegative val="0"/>
            <c:bubble3D val="0"/>
            <c:extLst>
              <c:ext xmlns:c16="http://schemas.microsoft.com/office/drawing/2014/chart" uri="{C3380CC4-5D6E-409C-BE32-E72D297353CC}">
                <c16:uniqueId val="{00000310-0FBF-4522-8453-B08304F5887A}"/>
              </c:ext>
            </c:extLst>
          </c:dPt>
          <c:dPt>
            <c:idx val="22"/>
            <c:invertIfNegative val="0"/>
            <c:bubble3D val="0"/>
            <c:extLst>
              <c:ext xmlns:c16="http://schemas.microsoft.com/office/drawing/2014/chart" uri="{C3380CC4-5D6E-409C-BE32-E72D297353CC}">
                <c16:uniqueId val="{00000311-0FBF-4522-8453-B08304F5887A}"/>
              </c:ext>
            </c:extLst>
          </c:dPt>
          <c:dPt>
            <c:idx val="23"/>
            <c:invertIfNegative val="0"/>
            <c:bubble3D val="0"/>
            <c:extLst>
              <c:ext xmlns:c16="http://schemas.microsoft.com/office/drawing/2014/chart" uri="{C3380CC4-5D6E-409C-BE32-E72D297353CC}">
                <c16:uniqueId val="{00000312-0FBF-4522-8453-B08304F5887A}"/>
              </c:ext>
            </c:extLst>
          </c:dPt>
          <c:dPt>
            <c:idx val="24"/>
            <c:invertIfNegative val="0"/>
            <c:bubble3D val="0"/>
            <c:extLst>
              <c:ext xmlns:c16="http://schemas.microsoft.com/office/drawing/2014/chart" uri="{C3380CC4-5D6E-409C-BE32-E72D297353CC}">
                <c16:uniqueId val="{00000313-0FBF-4522-8453-B08304F5887A}"/>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Data'!$C$9:$X$9</c:f>
              <c:numCache>
                <c:formatCode>#,##0_ ;\-#,##0\ </c:formatCode>
                <c:ptCount val="22"/>
                <c:pt idx="0">
                  <c:v>4830</c:v>
                </c:pt>
                <c:pt idx="1">
                  <c:v>7341</c:v>
                </c:pt>
                <c:pt idx="2">
                  <c:v>7313</c:v>
                </c:pt>
                <c:pt idx="3">
                  <c:v>7432</c:v>
                </c:pt>
                <c:pt idx="4">
                  <c:v>9670</c:v>
                </c:pt>
                <c:pt idx="5">
                  <c:v>11137</c:v>
                </c:pt>
                <c:pt idx="6">
                  <c:v>14248</c:v>
                </c:pt>
                <c:pt idx="7">
                  <c:v>17841</c:v>
                </c:pt>
                <c:pt idx="8">
                  <c:v>19931</c:v>
                </c:pt>
                <c:pt idx="9">
                  <c:v>21867</c:v>
                </c:pt>
                <c:pt idx="10">
                  <c:v>23802</c:v>
                </c:pt>
                <c:pt idx="11">
                  <c:v>25826</c:v>
                </c:pt>
                <c:pt idx="12">
                  <c:v>25845</c:v>
                </c:pt>
                <c:pt idx="13">
                  <c:v>26705</c:v>
                </c:pt>
                <c:pt idx="14">
                  <c:v>33828</c:v>
                </c:pt>
                <c:pt idx="15">
                  <c:v>33856</c:v>
                </c:pt>
                <c:pt idx="16">
                  <c:v>44268</c:v>
                </c:pt>
                <c:pt idx="17">
                  <c:v>56226</c:v>
                </c:pt>
                <c:pt idx="18">
                  <c:v>65840</c:v>
                </c:pt>
                <c:pt idx="19">
                  <c:v>68417</c:v>
                </c:pt>
                <c:pt idx="20">
                  <c:v>72423</c:v>
                </c:pt>
                <c:pt idx="21">
                  <c:v>73832</c:v>
                </c:pt>
              </c:numCache>
            </c:numRef>
          </c:val>
          <c:extLst>
            <c:ext xmlns:c16="http://schemas.microsoft.com/office/drawing/2014/chart" uri="{C3380CC4-5D6E-409C-BE32-E72D297353CC}">
              <c16:uniqueId val="{00000314-0FBF-4522-8453-B08304F5887A}"/>
            </c:ext>
          </c:extLst>
        </c:ser>
        <c:ser>
          <c:idx val="9"/>
          <c:order val="8"/>
          <c:tx>
            <c:strRef>
              <c:f>'NEMEnergyGenerated Data'!$B$11</c:f>
              <c:strCache>
                <c:ptCount val="1"/>
                <c:pt idx="0">
                  <c:v>Utility storage generation</c:v>
                </c:pt>
              </c:strCache>
            </c:strRef>
          </c:tx>
          <c:spPr>
            <a:solidFill>
              <a:srgbClr val="842593"/>
            </a:solidFill>
            <a:ln>
              <a:noFill/>
            </a:ln>
            <a:effectLst/>
          </c:spPr>
          <c:invertIfNegative val="0"/>
          <c:dPt>
            <c:idx val="0"/>
            <c:invertIfNegative val="0"/>
            <c:bubble3D val="0"/>
            <c:extLst>
              <c:ext xmlns:c16="http://schemas.microsoft.com/office/drawing/2014/chart" uri="{C3380CC4-5D6E-409C-BE32-E72D297353CC}">
                <c16:uniqueId val="{000002C5-0FBF-4522-8453-B08304F5887A}"/>
              </c:ext>
            </c:extLst>
          </c:dPt>
          <c:dPt>
            <c:idx val="1"/>
            <c:invertIfNegative val="0"/>
            <c:bubble3D val="0"/>
            <c:extLst>
              <c:ext xmlns:c16="http://schemas.microsoft.com/office/drawing/2014/chart" uri="{C3380CC4-5D6E-409C-BE32-E72D297353CC}">
                <c16:uniqueId val="{000002C6-0FBF-4522-8453-B08304F5887A}"/>
              </c:ext>
            </c:extLst>
          </c:dPt>
          <c:dPt>
            <c:idx val="2"/>
            <c:invertIfNegative val="0"/>
            <c:bubble3D val="0"/>
            <c:extLst>
              <c:ext xmlns:c16="http://schemas.microsoft.com/office/drawing/2014/chart" uri="{C3380CC4-5D6E-409C-BE32-E72D297353CC}">
                <c16:uniqueId val="{000002C7-0FBF-4522-8453-B08304F5887A}"/>
              </c:ext>
            </c:extLst>
          </c:dPt>
          <c:dPt>
            <c:idx val="3"/>
            <c:invertIfNegative val="0"/>
            <c:bubble3D val="0"/>
            <c:extLst>
              <c:ext xmlns:c16="http://schemas.microsoft.com/office/drawing/2014/chart" uri="{C3380CC4-5D6E-409C-BE32-E72D297353CC}">
                <c16:uniqueId val="{000002C8-0FBF-4522-8453-B08304F5887A}"/>
              </c:ext>
            </c:extLst>
          </c:dPt>
          <c:dPt>
            <c:idx val="4"/>
            <c:invertIfNegative val="0"/>
            <c:bubble3D val="0"/>
            <c:extLst>
              <c:ext xmlns:c16="http://schemas.microsoft.com/office/drawing/2014/chart" uri="{C3380CC4-5D6E-409C-BE32-E72D297353CC}">
                <c16:uniqueId val="{000002C9-0FBF-4522-8453-B08304F5887A}"/>
              </c:ext>
            </c:extLst>
          </c:dPt>
          <c:dPt>
            <c:idx val="5"/>
            <c:invertIfNegative val="0"/>
            <c:bubble3D val="0"/>
            <c:extLst>
              <c:ext xmlns:c16="http://schemas.microsoft.com/office/drawing/2014/chart" uri="{C3380CC4-5D6E-409C-BE32-E72D297353CC}">
                <c16:uniqueId val="{000002CA-0FBF-4522-8453-B08304F5887A}"/>
              </c:ext>
            </c:extLst>
          </c:dPt>
          <c:dPt>
            <c:idx val="6"/>
            <c:invertIfNegative val="0"/>
            <c:bubble3D val="0"/>
            <c:extLst>
              <c:ext xmlns:c16="http://schemas.microsoft.com/office/drawing/2014/chart" uri="{C3380CC4-5D6E-409C-BE32-E72D297353CC}">
                <c16:uniqueId val="{000002CB-0FBF-4522-8453-B08304F5887A}"/>
              </c:ext>
            </c:extLst>
          </c:dPt>
          <c:dPt>
            <c:idx val="7"/>
            <c:invertIfNegative val="0"/>
            <c:bubble3D val="0"/>
            <c:extLst>
              <c:ext xmlns:c16="http://schemas.microsoft.com/office/drawing/2014/chart" uri="{C3380CC4-5D6E-409C-BE32-E72D297353CC}">
                <c16:uniqueId val="{000002CC-0FBF-4522-8453-B08304F5887A}"/>
              </c:ext>
            </c:extLst>
          </c:dPt>
          <c:dPt>
            <c:idx val="8"/>
            <c:invertIfNegative val="0"/>
            <c:bubble3D val="0"/>
            <c:extLst>
              <c:ext xmlns:c16="http://schemas.microsoft.com/office/drawing/2014/chart" uri="{C3380CC4-5D6E-409C-BE32-E72D297353CC}">
                <c16:uniqueId val="{000002CD-0FBF-4522-8453-B08304F5887A}"/>
              </c:ext>
            </c:extLst>
          </c:dPt>
          <c:dPt>
            <c:idx val="9"/>
            <c:invertIfNegative val="0"/>
            <c:bubble3D val="0"/>
            <c:extLst>
              <c:ext xmlns:c16="http://schemas.microsoft.com/office/drawing/2014/chart" uri="{C3380CC4-5D6E-409C-BE32-E72D297353CC}">
                <c16:uniqueId val="{000002CE-0FBF-4522-8453-B08304F5887A}"/>
              </c:ext>
            </c:extLst>
          </c:dPt>
          <c:dPt>
            <c:idx val="10"/>
            <c:invertIfNegative val="0"/>
            <c:bubble3D val="0"/>
            <c:extLst>
              <c:ext xmlns:c16="http://schemas.microsoft.com/office/drawing/2014/chart" uri="{C3380CC4-5D6E-409C-BE32-E72D297353CC}">
                <c16:uniqueId val="{000002CF-0FBF-4522-8453-B08304F5887A}"/>
              </c:ext>
            </c:extLst>
          </c:dPt>
          <c:dPt>
            <c:idx val="11"/>
            <c:invertIfNegative val="0"/>
            <c:bubble3D val="0"/>
            <c:extLst>
              <c:ext xmlns:c16="http://schemas.microsoft.com/office/drawing/2014/chart" uri="{C3380CC4-5D6E-409C-BE32-E72D297353CC}">
                <c16:uniqueId val="{000002D0-0FBF-4522-8453-B08304F5887A}"/>
              </c:ext>
            </c:extLst>
          </c:dPt>
          <c:dPt>
            <c:idx val="12"/>
            <c:invertIfNegative val="0"/>
            <c:bubble3D val="0"/>
            <c:extLst>
              <c:ext xmlns:c16="http://schemas.microsoft.com/office/drawing/2014/chart" uri="{C3380CC4-5D6E-409C-BE32-E72D297353CC}">
                <c16:uniqueId val="{000002D1-0FBF-4522-8453-B08304F5887A}"/>
              </c:ext>
            </c:extLst>
          </c:dPt>
          <c:dPt>
            <c:idx val="13"/>
            <c:invertIfNegative val="0"/>
            <c:bubble3D val="0"/>
            <c:extLst>
              <c:ext xmlns:c16="http://schemas.microsoft.com/office/drawing/2014/chart" uri="{C3380CC4-5D6E-409C-BE32-E72D297353CC}">
                <c16:uniqueId val="{000002D2-0FBF-4522-8453-B08304F5887A}"/>
              </c:ext>
            </c:extLst>
          </c:dPt>
          <c:dPt>
            <c:idx val="14"/>
            <c:invertIfNegative val="0"/>
            <c:bubble3D val="0"/>
            <c:extLst>
              <c:ext xmlns:c16="http://schemas.microsoft.com/office/drawing/2014/chart" uri="{C3380CC4-5D6E-409C-BE32-E72D297353CC}">
                <c16:uniqueId val="{000002D3-0FBF-4522-8453-B08304F5887A}"/>
              </c:ext>
            </c:extLst>
          </c:dPt>
          <c:dPt>
            <c:idx val="15"/>
            <c:invertIfNegative val="0"/>
            <c:bubble3D val="0"/>
            <c:extLst>
              <c:ext xmlns:c16="http://schemas.microsoft.com/office/drawing/2014/chart" uri="{C3380CC4-5D6E-409C-BE32-E72D297353CC}">
                <c16:uniqueId val="{000002D4-0FBF-4522-8453-B08304F5887A}"/>
              </c:ext>
            </c:extLst>
          </c:dPt>
          <c:dPt>
            <c:idx val="16"/>
            <c:invertIfNegative val="0"/>
            <c:bubble3D val="0"/>
            <c:extLst>
              <c:ext xmlns:c16="http://schemas.microsoft.com/office/drawing/2014/chart" uri="{C3380CC4-5D6E-409C-BE32-E72D297353CC}">
                <c16:uniqueId val="{000002D5-0FBF-4522-8453-B08304F5887A}"/>
              </c:ext>
            </c:extLst>
          </c:dPt>
          <c:dPt>
            <c:idx val="17"/>
            <c:invertIfNegative val="0"/>
            <c:bubble3D val="0"/>
            <c:extLst>
              <c:ext xmlns:c16="http://schemas.microsoft.com/office/drawing/2014/chart" uri="{C3380CC4-5D6E-409C-BE32-E72D297353CC}">
                <c16:uniqueId val="{000002D6-0FBF-4522-8453-B08304F5887A}"/>
              </c:ext>
            </c:extLst>
          </c:dPt>
          <c:dPt>
            <c:idx val="18"/>
            <c:invertIfNegative val="0"/>
            <c:bubble3D val="0"/>
            <c:extLst>
              <c:ext xmlns:c16="http://schemas.microsoft.com/office/drawing/2014/chart" uri="{C3380CC4-5D6E-409C-BE32-E72D297353CC}">
                <c16:uniqueId val="{000002D7-0FBF-4522-8453-B08304F5887A}"/>
              </c:ext>
            </c:extLst>
          </c:dPt>
          <c:dPt>
            <c:idx val="19"/>
            <c:invertIfNegative val="0"/>
            <c:bubble3D val="0"/>
            <c:extLst>
              <c:ext xmlns:c16="http://schemas.microsoft.com/office/drawing/2014/chart" uri="{C3380CC4-5D6E-409C-BE32-E72D297353CC}">
                <c16:uniqueId val="{000002D8-0FBF-4522-8453-B08304F5887A}"/>
              </c:ext>
            </c:extLst>
          </c:dPt>
          <c:dPt>
            <c:idx val="20"/>
            <c:invertIfNegative val="0"/>
            <c:bubble3D val="0"/>
            <c:extLst>
              <c:ext xmlns:c16="http://schemas.microsoft.com/office/drawing/2014/chart" uri="{C3380CC4-5D6E-409C-BE32-E72D297353CC}">
                <c16:uniqueId val="{000002D9-0FBF-4522-8453-B08304F5887A}"/>
              </c:ext>
            </c:extLst>
          </c:dPt>
          <c:dPt>
            <c:idx val="21"/>
            <c:invertIfNegative val="0"/>
            <c:bubble3D val="0"/>
            <c:extLst>
              <c:ext xmlns:c16="http://schemas.microsoft.com/office/drawing/2014/chart" uri="{C3380CC4-5D6E-409C-BE32-E72D297353CC}">
                <c16:uniqueId val="{000002DA-0FBF-4522-8453-B08304F5887A}"/>
              </c:ext>
            </c:extLst>
          </c:dPt>
          <c:dPt>
            <c:idx val="22"/>
            <c:invertIfNegative val="0"/>
            <c:bubble3D val="0"/>
            <c:extLst>
              <c:ext xmlns:c16="http://schemas.microsoft.com/office/drawing/2014/chart" uri="{C3380CC4-5D6E-409C-BE32-E72D297353CC}">
                <c16:uniqueId val="{000002DB-0FBF-4522-8453-B08304F5887A}"/>
              </c:ext>
            </c:extLst>
          </c:dPt>
          <c:dPt>
            <c:idx val="23"/>
            <c:invertIfNegative val="0"/>
            <c:bubble3D val="0"/>
            <c:extLst>
              <c:ext xmlns:c16="http://schemas.microsoft.com/office/drawing/2014/chart" uri="{C3380CC4-5D6E-409C-BE32-E72D297353CC}">
                <c16:uniqueId val="{000002DC-0FBF-4522-8453-B08304F5887A}"/>
              </c:ext>
            </c:extLst>
          </c:dPt>
          <c:dPt>
            <c:idx val="24"/>
            <c:invertIfNegative val="0"/>
            <c:bubble3D val="0"/>
            <c:extLst>
              <c:ext xmlns:c16="http://schemas.microsoft.com/office/drawing/2014/chart" uri="{C3380CC4-5D6E-409C-BE32-E72D297353CC}">
                <c16:uniqueId val="{000002DD-0FBF-4522-8453-B08304F5887A}"/>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Data'!$C$11:$X$11</c:f>
              <c:numCache>
                <c:formatCode>#,##0_ ;\-#,##0\ </c:formatCode>
                <c:ptCount val="22"/>
                <c:pt idx="0">
                  <c:v>1079</c:v>
                </c:pt>
                <c:pt idx="1">
                  <c:v>114</c:v>
                </c:pt>
                <c:pt idx="2">
                  <c:v>82</c:v>
                </c:pt>
                <c:pt idx="3">
                  <c:v>171</c:v>
                </c:pt>
                <c:pt idx="4">
                  <c:v>644</c:v>
                </c:pt>
                <c:pt idx="5">
                  <c:v>663</c:v>
                </c:pt>
                <c:pt idx="6">
                  <c:v>1426</c:v>
                </c:pt>
                <c:pt idx="7">
                  <c:v>2166</c:v>
                </c:pt>
                <c:pt idx="8">
                  <c:v>2446</c:v>
                </c:pt>
                <c:pt idx="9">
                  <c:v>2202</c:v>
                </c:pt>
                <c:pt idx="10">
                  <c:v>3011</c:v>
                </c:pt>
                <c:pt idx="11">
                  <c:v>4689</c:v>
                </c:pt>
                <c:pt idx="12">
                  <c:v>4736</c:v>
                </c:pt>
                <c:pt idx="13">
                  <c:v>5227</c:v>
                </c:pt>
                <c:pt idx="14">
                  <c:v>7936</c:v>
                </c:pt>
                <c:pt idx="15">
                  <c:v>8300</c:v>
                </c:pt>
                <c:pt idx="16">
                  <c:v>13628</c:v>
                </c:pt>
                <c:pt idx="17">
                  <c:v>19425</c:v>
                </c:pt>
                <c:pt idx="18">
                  <c:v>25290</c:v>
                </c:pt>
                <c:pt idx="19">
                  <c:v>27326</c:v>
                </c:pt>
                <c:pt idx="20">
                  <c:v>29728</c:v>
                </c:pt>
                <c:pt idx="21">
                  <c:v>30999</c:v>
                </c:pt>
              </c:numCache>
            </c:numRef>
          </c:val>
          <c:extLst>
            <c:ext xmlns:c16="http://schemas.microsoft.com/office/drawing/2014/chart" uri="{C3380CC4-5D6E-409C-BE32-E72D297353CC}">
              <c16:uniqueId val="{000002DE-0FBF-4522-8453-B08304F5887A}"/>
            </c:ext>
          </c:extLst>
        </c:ser>
        <c:ser>
          <c:idx val="11"/>
          <c:order val="9"/>
          <c:tx>
            <c:strRef>
              <c:f>'NEMEnergyGenerated Data'!$B$14</c:f>
              <c:strCache>
                <c:ptCount val="1"/>
                <c:pt idx="0">
                  <c:v>Distributed storage generation</c:v>
                </c:pt>
              </c:strCache>
            </c:strRef>
          </c:tx>
          <c:spPr>
            <a:solidFill>
              <a:srgbClr val="92D050"/>
            </a:solidFill>
            <a:ln>
              <a:noFill/>
            </a:ln>
          </c:spPr>
          <c:invertIfNegative val="0"/>
          <c:dPt>
            <c:idx val="0"/>
            <c:invertIfNegative val="0"/>
            <c:bubble3D val="0"/>
            <c:spPr>
              <a:solidFill>
                <a:srgbClr val="92D050"/>
              </a:solidFill>
              <a:ln w="3175" cmpd="sng">
                <a:noFill/>
                <a:prstDash val="solid"/>
              </a:ln>
            </c:spPr>
            <c:extLst>
              <c:ext xmlns:c16="http://schemas.microsoft.com/office/drawing/2014/chart" uri="{C3380CC4-5D6E-409C-BE32-E72D297353CC}">
                <c16:uniqueId val="{00000298-0FBF-4522-8453-B08304F5887A}"/>
              </c:ext>
            </c:extLst>
          </c:dPt>
          <c:dPt>
            <c:idx val="1"/>
            <c:invertIfNegative val="0"/>
            <c:bubble3D val="0"/>
            <c:spPr>
              <a:solidFill>
                <a:srgbClr val="92D050"/>
              </a:solidFill>
              <a:ln w="3175" cmpd="sng">
                <a:noFill/>
                <a:prstDash val="solid"/>
              </a:ln>
            </c:spPr>
            <c:extLst>
              <c:ext xmlns:c16="http://schemas.microsoft.com/office/drawing/2014/chart" uri="{C3380CC4-5D6E-409C-BE32-E72D297353CC}">
                <c16:uniqueId val="{0000029A-0FBF-4522-8453-B08304F5887A}"/>
              </c:ext>
            </c:extLst>
          </c:dPt>
          <c:dPt>
            <c:idx val="2"/>
            <c:invertIfNegative val="0"/>
            <c:bubble3D val="0"/>
            <c:spPr>
              <a:solidFill>
                <a:srgbClr val="92D050"/>
              </a:solidFill>
              <a:ln w="3175" cmpd="sng">
                <a:noFill/>
                <a:prstDash val="solid"/>
              </a:ln>
            </c:spPr>
            <c:extLst>
              <c:ext xmlns:c16="http://schemas.microsoft.com/office/drawing/2014/chart" uri="{C3380CC4-5D6E-409C-BE32-E72D297353CC}">
                <c16:uniqueId val="{0000029C-0FBF-4522-8453-B08304F5887A}"/>
              </c:ext>
            </c:extLst>
          </c:dPt>
          <c:dPt>
            <c:idx val="3"/>
            <c:invertIfNegative val="0"/>
            <c:bubble3D val="0"/>
            <c:spPr>
              <a:solidFill>
                <a:srgbClr val="92D050"/>
              </a:solidFill>
              <a:ln w="3175" cmpd="sng">
                <a:noFill/>
                <a:prstDash val="solid"/>
              </a:ln>
            </c:spPr>
            <c:extLst>
              <c:ext xmlns:c16="http://schemas.microsoft.com/office/drawing/2014/chart" uri="{C3380CC4-5D6E-409C-BE32-E72D297353CC}">
                <c16:uniqueId val="{0000029E-0FBF-4522-8453-B08304F5887A}"/>
              </c:ext>
            </c:extLst>
          </c:dPt>
          <c:dPt>
            <c:idx val="4"/>
            <c:invertIfNegative val="0"/>
            <c:bubble3D val="0"/>
            <c:spPr>
              <a:solidFill>
                <a:srgbClr val="92D050"/>
              </a:solidFill>
              <a:ln w="3175" cmpd="sng">
                <a:noFill/>
                <a:prstDash val="solid"/>
              </a:ln>
            </c:spPr>
            <c:extLst>
              <c:ext xmlns:c16="http://schemas.microsoft.com/office/drawing/2014/chart" uri="{C3380CC4-5D6E-409C-BE32-E72D297353CC}">
                <c16:uniqueId val="{000002A0-0FBF-4522-8453-B08304F5887A}"/>
              </c:ext>
            </c:extLst>
          </c:dPt>
          <c:dPt>
            <c:idx val="5"/>
            <c:invertIfNegative val="0"/>
            <c:bubble3D val="0"/>
            <c:spPr>
              <a:solidFill>
                <a:srgbClr val="92D050"/>
              </a:solidFill>
              <a:ln w="3175" cmpd="sng">
                <a:noFill/>
                <a:prstDash val="solid"/>
              </a:ln>
            </c:spPr>
            <c:extLst>
              <c:ext xmlns:c16="http://schemas.microsoft.com/office/drawing/2014/chart" uri="{C3380CC4-5D6E-409C-BE32-E72D297353CC}">
                <c16:uniqueId val="{000002A2-0FBF-4522-8453-B08304F5887A}"/>
              </c:ext>
            </c:extLst>
          </c:dPt>
          <c:dPt>
            <c:idx val="6"/>
            <c:invertIfNegative val="0"/>
            <c:bubble3D val="0"/>
            <c:spPr>
              <a:solidFill>
                <a:srgbClr val="92D050"/>
              </a:solidFill>
              <a:ln w="3175" cmpd="sng">
                <a:noFill/>
                <a:prstDash val="solid"/>
              </a:ln>
            </c:spPr>
            <c:extLst>
              <c:ext xmlns:c16="http://schemas.microsoft.com/office/drawing/2014/chart" uri="{C3380CC4-5D6E-409C-BE32-E72D297353CC}">
                <c16:uniqueId val="{000002A4-0FBF-4522-8453-B08304F5887A}"/>
              </c:ext>
            </c:extLst>
          </c:dPt>
          <c:dPt>
            <c:idx val="7"/>
            <c:invertIfNegative val="0"/>
            <c:bubble3D val="0"/>
            <c:spPr>
              <a:solidFill>
                <a:srgbClr val="92D050"/>
              </a:solidFill>
              <a:ln w="3175" cmpd="sng">
                <a:noFill/>
                <a:prstDash val="solid"/>
              </a:ln>
            </c:spPr>
            <c:extLst>
              <c:ext xmlns:c16="http://schemas.microsoft.com/office/drawing/2014/chart" uri="{C3380CC4-5D6E-409C-BE32-E72D297353CC}">
                <c16:uniqueId val="{000002A6-0FBF-4522-8453-B08304F5887A}"/>
              </c:ext>
            </c:extLst>
          </c:dPt>
          <c:dPt>
            <c:idx val="8"/>
            <c:invertIfNegative val="0"/>
            <c:bubble3D val="0"/>
            <c:spPr>
              <a:solidFill>
                <a:srgbClr val="92D050"/>
              </a:solidFill>
              <a:ln w="3175" cmpd="sng">
                <a:noFill/>
                <a:prstDash val="solid"/>
              </a:ln>
            </c:spPr>
            <c:extLst>
              <c:ext xmlns:c16="http://schemas.microsoft.com/office/drawing/2014/chart" uri="{C3380CC4-5D6E-409C-BE32-E72D297353CC}">
                <c16:uniqueId val="{000002A8-0FBF-4522-8453-B08304F5887A}"/>
              </c:ext>
            </c:extLst>
          </c:dPt>
          <c:dPt>
            <c:idx val="9"/>
            <c:invertIfNegative val="0"/>
            <c:bubble3D val="0"/>
            <c:spPr>
              <a:solidFill>
                <a:srgbClr val="92D050"/>
              </a:solidFill>
              <a:ln w="3175" cmpd="sng">
                <a:noFill/>
                <a:prstDash val="solid"/>
              </a:ln>
            </c:spPr>
            <c:extLst>
              <c:ext xmlns:c16="http://schemas.microsoft.com/office/drawing/2014/chart" uri="{C3380CC4-5D6E-409C-BE32-E72D297353CC}">
                <c16:uniqueId val="{000002AA-0FBF-4522-8453-B08304F5887A}"/>
              </c:ext>
            </c:extLst>
          </c:dPt>
          <c:dPt>
            <c:idx val="10"/>
            <c:invertIfNegative val="0"/>
            <c:bubble3D val="0"/>
            <c:spPr>
              <a:solidFill>
                <a:srgbClr val="92D050"/>
              </a:solidFill>
              <a:ln w="3175" cmpd="sng">
                <a:noFill/>
                <a:prstDash val="solid"/>
              </a:ln>
            </c:spPr>
            <c:extLst>
              <c:ext xmlns:c16="http://schemas.microsoft.com/office/drawing/2014/chart" uri="{C3380CC4-5D6E-409C-BE32-E72D297353CC}">
                <c16:uniqueId val="{000002AC-0FBF-4522-8453-B08304F5887A}"/>
              </c:ext>
            </c:extLst>
          </c:dPt>
          <c:dPt>
            <c:idx val="11"/>
            <c:invertIfNegative val="0"/>
            <c:bubble3D val="0"/>
            <c:spPr>
              <a:solidFill>
                <a:srgbClr val="92D050"/>
              </a:solidFill>
              <a:ln w="3175" cmpd="sng">
                <a:noFill/>
                <a:prstDash val="solid"/>
              </a:ln>
            </c:spPr>
            <c:extLst>
              <c:ext xmlns:c16="http://schemas.microsoft.com/office/drawing/2014/chart" uri="{C3380CC4-5D6E-409C-BE32-E72D297353CC}">
                <c16:uniqueId val="{000002AE-0FBF-4522-8453-B08304F5887A}"/>
              </c:ext>
            </c:extLst>
          </c:dPt>
          <c:dPt>
            <c:idx val="12"/>
            <c:invertIfNegative val="0"/>
            <c:bubble3D val="0"/>
            <c:spPr>
              <a:solidFill>
                <a:srgbClr val="92D050"/>
              </a:solidFill>
              <a:ln w="3175" cmpd="sng">
                <a:noFill/>
                <a:prstDash val="solid"/>
              </a:ln>
            </c:spPr>
            <c:extLst>
              <c:ext xmlns:c16="http://schemas.microsoft.com/office/drawing/2014/chart" uri="{C3380CC4-5D6E-409C-BE32-E72D297353CC}">
                <c16:uniqueId val="{000002B0-0FBF-4522-8453-B08304F5887A}"/>
              </c:ext>
            </c:extLst>
          </c:dPt>
          <c:dPt>
            <c:idx val="13"/>
            <c:invertIfNegative val="0"/>
            <c:bubble3D val="0"/>
            <c:spPr>
              <a:solidFill>
                <a:srgbClr val="92D050"/>
              </a:solidFill>
              <a:ln w="3175" cmpd="sng">
                <a:noFill/>
                <a:prstDash val="solid"/>
              </a:ln>
            </c:spPr>
            <c:extLst>
              <c:ext xmlns:c16="http://schemas.microsoft.com/office/drawing/2014/chart" uri="{C3380CC4-5D6E-409C-BE32-E72D297353CC}">
                <c16:uniqueId val="{000002B2-0FBF-4522-8453-B08304F5887A}"/>
              </c:ext>
            </c:extLst>
          </c:dPt>
          <c:dPt>
            <c:idx val="14"/>
            <c:invertIfNegative val="0"/>
            <c:bubble3D val="0"/>
            <c:spPr>
              <a:solidFill>
                <a:srgbClr val="92D050"/>
              </a:solidFill>
              <a:ln w="3175" cmpd="sng">
                <a:noFill/>
                <a:prstDash val="solid"/>
              </a:ln>
            </c:spPr>
            <c:extLst>
              <c:ext xmlns:c16="http://schemas.microsoft.com/office/drawing/2014/chart" uri="{C3380CC4-5D6E-409C-BE32-E72D297353CC}">
                <c16:uniqueId val="{000002B4-0FBF-4522-8453-B08304F5887A}"/>
              </c:ext>
            </c:extLst>
          </c:dPt>
          <c:dPt>
            <c:idx val="15"/>
            <c:invertIfNegative val="0"/>
            <c:bubble3D val="0"/>
            <c:spPr>
              <a:solidFill>
                <a:srgbClr val="92D050"/>
              </a:solidFill>
              <a:ln w="3175" cmpd="sng">
                <a:noFill/>
                <a:prstDash val="solid"/>
              </a:ln>
            </c:spPr>
            <c:extLst>
              <c:ext xmlns:c16="http://schemas.microsoft.com/office/drawing/2014/chart" uri="{C3380CC4-5D6E-409C-BE32-E72D297353CC}">
                <c16:uniqueId val="{000002B6-0FBF-4522-8453-B08304F5887A}"/>
              </c:ext>
            </c:extLst>
          </c:dPt>
          <c:dPt>
            <c:idx val="16"/>
            <c:invertIfNegative val="0"/>
            <c:bubble3D val="0"/>
            <c:spPr>
              <a:solidFill>
                <a:srgbClr val="92D050"/>
              </a:solidFill>
              <a:ln w="3175" cmpd="sng">
                <a:noFill/>
                <a:prstDash val="solid"/>
              </a:ln>
            </c:spPr>
            <c:extLst>
              <c:ext xmlns:c16="http://schemas.microsoft.com/office/drawing/2014/chart" uri="{C3380CC4-5D6E-409C-BE32-E72D297353CC}">
                <c16:uniqueId val="{000002B8-0FBF-4522-8453-B08304F5887A}"/>
              </c:ext>
            </c:extLst>
          </c:dPt>
          <c:dPt>
            <c:idx val="17"/>
            <c:invertIfNegative val="0"/>
            <c:bubble3D val="0"/>
            <c:spPr>
              <a:solidFill>
                <a:srgbClr val="92D050"/>
              </a:solidFill>
              <a:ln w="3175" cmpd="sng">
                <a:noFill/>
                <a:prstDash val="solid"/>
              </a:ln>
            </c:spPr>
            <c:extLst>
              <c:ext xmlns:c16="http://schemas.microsoft.com/office/drawing/2014/chart" uri="{C3380CC4-5D6E-409C-BE32-E72D297353CC}">
                <c16:uniqueId val="{000002BA-0FBF-4522-8453-B08304F5887A}"/>
              </c:ext>
            </c:extLst>
          </c:dPt>
          <c:dPt>
            <c:idx val="18"/>
            <c:invertIfNegative val="0"/>
            <c:bubble3D val="0"/>
            <c:spPr>
              <a:solidFill>
                <a:srgbClr val="92D050"/>
              </a:solidFill>
              <a:ln w="3175" cmpd="sng">
                <a:noFill/>
                <a:prstDash val="solid"/>
              </a:ln>
            </c:spPr>
            <c:extLst>
              <c:ext xmlns:c16="http://schemas.microsoft.com/office/drawing/2014/chart" uri="{C3380CC4-5D6E-409C-BE32-E72D297353CC}">
                <c16:uniqueId val="{000002BC-0FBF-4522-8453-B08304F5887A}"/>
              </c:ext>
            </c:extLst>
          </c:dPt>
          <c:dPt>
            <c:idx val="19"/>
            <c:invertIfNegative val="0"/>
            <c:bubble3D val="0"/>
            <c:spPr>
              <a:solidFill>
                <a:srgbClr val="92D050"/>
              </a:solidFill>
              <a:ln w="3175" cmpd="sng">
                <a:noFill/>
                <a:prstDash val="solid"/>
              </a:ln>
            </c:spPr>
            <c:extLst>
              <c:ext xmlns:c16="http://schemas.microsoft.com/office/drawing/2014/chart" uri="{C3380CC4-5D6E-409C-BE32-E72D297353CC}">
                <c16:uniqueId val="{000002BE-0FBF-4522-8453-B08304F5887A}"/>
              </c:ext>
            </c:extLst>
          </c:dPt>
          <c:dPt>
            <c:idx val="20"/>
            <c:invertIfNegative val="0"/>
            <c:bubble3D val="0"/>
            <c:spPr>
              <a:solidFill>
                <a:srgbClr val="92D050"/>
              </a:solidFill>
              <a:ln w="3175" cmpd="sng">
                <a:noFill/>
                <a:prstDash val="solid"/>
              </a:ln>
            </c:spPr>
            <c:extLst>
              <c:ext xmlns:c16="http://schemas.microsoft.com/office/drawing/2014/chart" uri="{C3380CC4-5D6E-409C-BE32-E72D297353CC}">
                <c16:uniqueId val="{000002C0-0FBF-4522-8453-B08304F5887A}"/>
              </c:ext>
            </c:extLst>
          </c:dPt>
          <c:dPt>
            <c:idx val="21"/>
            <c:invertIfNegative val="0"/>
            <c:bubble3D val="0"/>
            <c:spPr>
              <a:solidFill>
                <a:srgbClr val="92D050"/>
              </a:solidFill>
              <a:ln w="3175" cmpd="sng">
                <a:noFill/>
                <a:prstDash val="solid"/>
              </a:ln>
            </c:spPr>
            <c:extLst>
              <c:ext xmlns:c16="http://schemas.microsoft.com/office/drawing/2014/chart" uri="{C3380CC4-5D6E-409C-BE32-E72D297353CC}">
                <c16:uniqueId val="{000002C2-0FBF-4522-8453-B08304F5887A}"/>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Data'!$C$14:$X$14</c:f>
              <c:numCache>
                <c:formatCode>#,##0_ ;\-#,##0\ </c:formatCode>
                <c:ptCount val="22"/>
                <c:pt idx="0">
                  <c:v>116.11296110000001</c:v>
                </c:pt>
                <c:pt idx="1">
                  <c:v>231.2210584</c:v>
                </c:pt>
                <c:pt idx="2">
                  <c:v>332.0724702</c:v>
                </c:pt>
                <c:pt idx="3">
                  <c:v>496.38150919999998</c:v>
                </c:pt>
                <c:pt idx="4">
                  <c:v>744.09857009999996</c:v>
                </c:pt>
                <c:pt idx="5">
                  <c:v>895.58889710000005</c:v>
                </c:pt>
                <c:pt idx="6">
                  <c:v>1053.9094756</c:v>
                </c:pt>
                <c:pt idx="7">
                  <c:v>1200.8734100000001</c:v>
                </c:pt>
                <c:pt idx="8">
                  <c:v>1341.9994680999998</c:v>
                </c:pt>
                <c:pt idx="9">
                  <c:v>1501.4723168999999</c:v>
                </c:pt>
                <c:pt idx="10">
                  <c:v>1711.1022771</c:v>
                </c:pt>
                <c:pt idx="11">
                  <c:v>1852.1074634000001</c:v>
                </c:pt>
                <c:pt idx="12">
                  <c:v>1914.5696171</c:v>
                </c:pt>
                <c:pt idx="13">
                  <c:v>2049.0087355999999</c:v>
                </c:pt>
                <c:pt idx="14">
                  <c:v>2166.2485532000001</c:v>
                </c:pt>
                <c:pt idx="15">
                  <c:v>2285.5588200000002</c:v>
                </c:pt>
                <c:pt idx="16">
                  <c:v>2403.4677380000003</c:v>
                </c:pt>
                <c:pt idx="17">
                  <c:v>2520.5401280000001</c:v>
                </c:pt>
                <c:pt idx="18">
                  <c:v>2629.8878919999997</c:v>
                </c:pt>
                <c:pt idx="19">
                  <c:v>2740.1008179999999</c:v>
                </c:pt>
                <c:pt idx="20">
                  <c:v>2822.3527480000002</c:v>
                </c:pt>
                <c:pt idx="21">
                  <c:v>2932.3088090000001</c:v>
                </c:pt>
              </c:numCache>
            </c:numRef>
          </c:val>
          <c:extLst>
            <c:ext xmlns:c16="http://schemas.microsoft.com/office/drawing/2014/chart" uri="{C3380CC4-5D6E-409C-BE32-E72D297353CC}">
              <c16:uniqueId val="{000002C3-0FBF-4522-8453-B08304F5887A}"/>
            </c:ext>
          </c:extLst>
        </c:ser>
        <c:ser>
          <c:idx val="12"/>
          <c:order val="10"/>
          <c:tx>
            <c:strRef>
              <c:f>'NEMEnergyGenerated Data'!$B$15</c:f>
              <c:strCache>
                <c:ptCount val="1"/>
                <c:pt idx="0">
                  <c:v>Rooftop PV</c:v>
                </c:pt>
              </c:strCache>
            </c:strRef>
          </c:tx>
          <c:spPr>
            <a:solidFill>
              <a:srgbClr val="FFE7A7"/>
            </a:solidFill>
            <a:ln>
              <a:noFill/>
            </a:ln>
          </c:spPr>
          <c:invertIfNegative val="0"/>
          <c:dPt>
            <c:idx val="0"/>
            <c:invertIfNegative val="0"/>
            <c:bubble3D val="0"/>
            <c:spPr>
              <a:solidFill>
                <a:srgbClr val="FFE7A7"/>
              </a:solidFill>
              <a:ln w="3175" cmpd="sng">
                <a:noFill/>
                <a:prstDash val="solid"/>
              </a:ln>
            </c:spPr>
            <c:extLst>
              <c:ext xmlns:c16="http://schemas.microsoft.com/office/drawing/2014/chart" uri="{C3380CC4-5D6E-409C-BE32-E72D297353CC}">
                <c16:uniqueId val="{00000317-0FBF-4522-8453-B08304F5887A}"/>
              </c:ext>
            </c:extLst>
          </c:dPt>
          <c:dPt>
            <c:idx val="1"/>
            <c:invertIfNegative val="0"/>
            <c:bubble3D val="0"/>
            <c:spPr>
              <a:solidFill>
                <a:srgbClr val="FFE7A7"/>
              </a:solidFill>
              <a:ln w="3175" cmpd="sng">
                <a:noFill/>
                <a:prstDash val="solid"/>
              </a:ln>
            </c:spPr>
            <c:extLst>
              <c:ext xmlns:c16="http://schemas.microsoft.com/office/drawing/2014/chart" uri="{C3380CC4-5D6E-409C-BE32-E72D297353CC}">
                <c16:uniqueId val="{00000319-0FBF-4522-8453-B08304F5887A}"/>
              </c:ext>
            </c:extLst>
          </c:dPt>
          <c:dPt>
            <c:idx val="2"/>
            <c:invertIfNegative val="0"/>
            <c:bubble3D val="0"/>
            <c:spPr>
              <a:solidFill>
                <a:srgbClr val="FFE7A7"/>
              </a:solidFill>
              <a:ln w="3175" cmpd="sng">
                <a:noFill/>
                <a:prstDash val="solid"/>
              </a:ln>
            </c:spPr>
            <c:extLst>
              <c:ext xmlns:c16="http://schemas.microsoft.com/office/drawing/2014/chart" uri="{C3380CC4-5D6E-409C-BE32-E72D297353CC}">
                <c16:uniqueId val="{0000031B-0FBF-4522-8453-B08304F5887A}"/>
              </c:ext>
            </c:extLst>
          </c:dPt>
          <c:dPt>
            <c:idx val="3"/>
            <c:invertIfNegative val="0"/>
            <c:bubble3D val="0"/>
            <c:spPr>
              <a:solidFill>
                <a:srgbClr val="FFE7A7"/>
              </a:solidFill>
              <a:ln w="3175" cmpd="sng">
                <a:noFill/>
                <a:prstDash val="solid"/>
              </a:ln>
            </c:spPr>
            <c:extLst>
              <c:ext xmlns:c16="http://schemas.microsoft.com/office/drawing/2014/chart" uri="{C3380CC4-5D6E-409C-BE32-E72D297353CC}">
                <c16:uniqueId val="{0000031D-0FBF-4522-8453-B08304F5887A}"/>
              </c:ext>
            </c:extLst>
          </c:dPt>
          <c:dPt>
            <c:idx val="4"/>
            <c:invertIfNegative val="0"/>
            <c:bubble3D val="0"/>
            <c:spPr>
              <a:solidFill>
                <a:srgbClr val="FFE7A7"/>
              </a:solidFill>
              <a:ln w="3175" cmpd="sng">
                <a:noFill/>
                <a:prstDash val="solid"/>
              </a:ln>
            </c:spPr>
            <c:extLst>
              <c:ext xmlns:c16="http://schemas.microsoft.com/office/drawing/2014/chart" uri="{C3380CC4-5D6E-409C-BE32-E72D297353CC}">
                <c16:uniqueId val="{0000031F-0FBF-4522-8453-B08304F5887A}"/>
              </c:ext>
            </c:extLst>
          </c:dPt>
          <c:dPt>
            <c:idx val="5"/>
            <c:invertIfNegative val="0"/>
            <c:bubble3D val="0"/>
            <c:spPr>
              <a:solidFill>
                <a:srgbClr val="FFE7A7"/>
              </a:solidFill>
              <a:ln w="3175" cmpd="sng">
                <a:noFill/>
                <a:prstDash val="solid"/>
              </a:ln>
            </c:spPr>
            <c:extLst>
              <c:ext xmlns:c16="http://schemas.microsoft.com/office/drawing/2014/chart" uri="{C3380CC4-5D6E-409C-BE32-E72D297353CC}">
                <c16:uniqueId val="{00000321-0FBF-4522-8453-B08304F5887A}"/>
              </c:ext>
            </c:extLst>
          </c:dPt>
          <c:dPt>
            <c:idx val="6"/>
            <c:invertIfNegative val="0"/>
            <c:bubble3D val="0"/>
            <c:spPr>
              <a:solidFill>
                <a:srgbClr val="FFE7A7"/>
              </a:solidFill>
              <a:ln w="3175" cmpd="sng">
                <a:noFill/>
                <a:prstDash val="solid"/>
              </a:ln>
            </c:spPr>
            <c:extLst>
              <c:ext xmlns:c16="http://schemas.microsoft.com/office/drawing/2014/chart" uri="{C3380CC4-5D6E-409C-BE32-E72D297353CC}">
                <c16:uniqueId val="{00000323-0FBF-4522-8453-B08304F5887A}"/>
              </c:ext>
            </c:extLst>
          </c:dPt>
          <c:dPt>
            <c:idx val="7"/>
            <c:invertIfNegative val="0"/>
            <c:bubble3D val="0"/>
            <c:spPr>
              <a:solidFill>
                <a:srgbClr val="FFE7A7"/>
              </a:solidFill>
              <a:ln w="3175" cmpd="sng">
                <a:noFill/>
                <a:prstDash val="solid"/>
              </a:ln>
            </c:spPr>
            <c:extLst>
              <c:ext xmlns:c16="http://schemas.microsoft.com/office/drawing/2014/chart" uri="{C3380CC4-5D6E-409C-BE32-E72D297353CC}">
                <c16:uniqueId val="{00000325-0FBF-4522-8453-B08304F5887A}"/>
              </c:ext>
            </c:extLst>
          </c:dPt>
          <c:dPt>
            <c:idx val="8"/>
            <c:invertIfNegative val="0"/>
            <c:bubble3D val="0"/>
            <c:spPr>
              <a:solidFill>
                <a:srgbClr val="FFE7A7"/>
              </a:solidFill>
              <a:ln w="3175" cmpd="sng">
                <a:noFill/>
                <a:prstDash val="solid"/>
              </a:ln>
            </c:spPr>
            <c:extLst>
              <c:ext xmlns:c16="http://schemas.microsoft.com/office/drawing/2014/chart" uri="{C3380CC4-5D6E-409C-BE32-E72D297353CC}">
                <c16:uniqueId val="{00000327-0FBF-4522-8453-B08304F5887A}"/>
              </c:ext>
            </c:extLst>
          </c:dPt>
          <c:dPt>
            <c:idx val="9"/>
            <c:invertIfNegative val="0"/>
            <c:bubble3D val="0"/>
            <c:spPr>
              <a:solidFill>
                <a:srgbClr val="FFE7A7"/>
              </a:solidFill>
              <a:ln w="3175" cmpd="sng">
                <a:noFill/>
                <a:prstDash val="solid"/>
              </a:ln>
            </c:spPr>
            <c:extLst>
              <c:ext xmlns:c16="http://schemas.microsoft.com/office/drawing/2014/chart" uri="{C3380CC4-5D6E-409C-BE32-E72D297353CC}">
                <c16:uniqueId val="{00000329-0FBF-4522-8453-B08304F5887A}"/>
              </c:ext>
            </c:extLst>
          </c:dPt>
          <c:dPt>
            <c:idx val="10"/>
            <c:invertIfNegative val="0"/>
            <c:bubble3D val="0"/>
            <c:spPr>
              <a:solidFill>
                <a:srgbClr val="FFE7A7"/>
              </a:solidFill>
              <a:ln w="3175" cmpd="sng">
                <a:noFill/>
                <a:prstDash val="solid"/>
              </a:ln>
            </c:spPr>
            <c:extLst>
              <c:ext xmlns:c16="http://schemas.microsoft.com/office/drawing/2014/chart" uri="{C3380CC4-5D6E-409C-BE32-E72D297353CC}">
                <c16:uniqueId val="{0000032B-0FBF-4522-8453-B08304F5887A}"/>
              </c:ext>
            </c:extLst>
          </c:dPt>
          <c:dPt>
            <c:idx val="11"/>
            <c:invertIfNegative val="0"/>
            <c:bubble3D val="0"/>
            <c:spPr>
              <a:solidFill>
                <a:srgbClr val="FFE7A7"/>
              </a:solidFill>
              <a:ln w="3175" cmpd="sng">
                <a:noFill/>
                <a:prstDash val="solid"/>
              </a:ln>
            </c:spPr>
            <c:extLst>
              <c:ext xmlns:c16="http://schemas.microsoft.com/office/drawing/2014/chart" uri="{C3380CC4-5D6E-409C-BE32-E72D297353CC}">
                <c16:uniqueId val="{0000032D-0FBF-4522-8453-B08304F5887A}"/>
              </c:ext>
            </c:extLst>
          </c:dPt>
          <c:dPt>
            <c:idx val="12"/>
            <c:invertIfNegative val="0"/>
            <c:bubble3D val="0"/>
            <c:spPr>
              <a:solidFill>
                <a:srgbClr val="FFE7A7"/>
              </a:solidFill>
              <a:ln w="3175" cmpd="sng">
                <a:noFill/>
                <a:prstDash val="solid"/>
              </a:ln>
            </c:spPr>
            <c:extLst>
              <c:ext xmlns:c16="http://schemas.microsoft.com/office/drawing/2014/chart" uri="{C3380CC4-5D6E-409C-BE32-E72D297353CC}">
                <c16:uniqueId val="{0000032F-0FBF-4522-8453-B08304F5887A}"/>
              </c:ext>
            </c:extLst>
          </c:dPt>
          <c:dPt>
            <c:idx val="13"/>
            <c:invertIfNegative val="0"/>
            <c:bubble3D val="0"/>
            <c:spPr>
              <a:solidFill>
                <a:srgbClr val="FFE7A7"/>
              </a:solidFill>
              <a:ln w="3175" cmpd="sng">
                <a:noFill/>
                <a:prstDash val="solid"/>
              </a:ln>
            </c:spPr>
            <c:extLst>
              <c:ext xmlns:c16="http://schemas.microsoft.com/office/drawing/2014/chart" uri="{C3380CC4-5D6E-409C-BE32-E72D297353CC}">
                <c16:uniqueId val="{00000331-0FBF-4522-8453-B08304F5887A}"/>
              </c:ext>
            </c:extLst>
          </c:dPt>
          <c:dPt>
            <c:idx val="14"/>
            <c:invertIfNegative val="0"/>
            <c:bubble3D val="0"/>
            <c:spPr>
              <a:solidFill>
                <a:srgbClr val="FFE7A7"/>
              </a:solidFill>
              <a:ln w="3175" cmpd="sng">
                <a:noFill/>
                <a:prstDash val="solid"/>
              </a:ln>
            </c:spPr>
            <c:extLst>
              <c:ext xmlns:c16="http://schemas.microsoft.com/office/drawing/2014/chart" uri="{C3380CC4-5D6E-409C-BE32-E72D297353CC}">
                <c16:uniqueId val="{00000333-0FBF-4522-8453-B08304F5887A}"/>
              </c:ext>
            </c:extLst>
          </c:dPt>
          <c:dPt>
            <c:idx val="15"/>
            <c:invertIfNegative val="0"/>
            <c:bubble3D val="0"/>
            <c:spPr>
              <a:solidFill>
                <a:srgbClr val="FFE7A7"/>
              </a:solidFill>
              <a:ln w="3175" cmpd="sng">
                <a:noFill/>
                <a:prstDash val="solid"/>
              </a:ln>
            </c:spPr>
            <c:extLst>
              <c:ext xmlns:c16="http://schemas.microsoft.com/office/drawing/2014/chart" uri="{C3380CC4-5D6E-409C-BE32-E72D297353CC}">
                <c16:uniqueId val="{00000335-0FBF-4522-8453-B08304F5887A}"/>
              </c:ext>
            </c:extLst>
          </c:dPt>
          <c:dPt>
            <c:idx val="16"/>
            <c:invertIfNegative val="0"/>
            <c:bubble3D val="0"/>
            <c:spPr>
              <a:solidFill>
                <a:srgbClr val="FFE7A7"/>
              </a:solidFill>
              <a:ln w="3175" cmpd="sng">
                <a:noFill/>
                <a:prstDash val="solid"/>
              </a:ln>
            </c:spPr>
            <c:extLst>
              <c:ext xmlns:c16="http://schemas.microsoft.com/office/drawing/2014/chart" uri="{C3380CC4-5D6E-409C-BE32-E72D297353CC}">
                <c16:uniqueId val="{00000337-0FBF-4522-8453-B08304F5887A}"/>
              </c:ext>
            </c:extLst>
          </c:dPt>
          <c:dPt>
            <c:idx val="17"/>
            <c:invertIfNegative val="0"/>
            <c:bubble3D val="0"/>
            <c:spPr>
              <a:solidFill>
                <a:srgbClr val="FFE7A7"/>
              </a:solidFill>
              <a:ln w="3175" cmpd="sng">
                <a:noFill/>
                <a:prstDash val="solid"/>
              </a:ln>
            </c:spPr>
            <c:extLst>
              <c:ext xmlns:c16="http://schemas.microsoft.com/office/drawing/2014/chart" uri="{C3380CC4-5D6E-409C-BE32-E72D297353CC}">
                <c16:uniqueId val="{00000339-0FBF-4522-8453-B08304F5887A}"/>
              </c:ext>
            </c:extLst>
          </c:dPt>
          <c:dPt>
            <c:idx val="18"/>
            <c:invertIfNegative val="0"/>
            <c:bubble3D val="0"/>
            <c:spPr>
              <a:solidFill>
                <a:srgbClr val="FFE7A7"/>
              </a:solidFill>
              <a:ln w="3175" cmpd="sng">
                <a:noFill/>
                <a:prstDash val="solid"/>
              </a:ln>
            </c:spPr>
            <c:extLst>
              <c:ext xmlns:c16="http://schemas.microsoft.com/office/drawing/2014/chart" uri="{C3380CC4-5D6E-409C-BE32-E72D297353CC}">
                <c16:uniqueId val="{0000033B-0FBF-4522-8453-B08304F5887A}"/>
              </c:ext>
            </c:extLst>
          </c:dPt>
          <c:dPt>
            <c:idx val="19"/>
            <c:invertIfNegative val="0"/>
            <c:bubble3D val="0"/>
            <c:spPr>
              <a:solidFill>
                <a:srgbClr val="FFE7A7"/>
              </a:solidFill>
              <a:ln w="3175" cmpd="sng">
                <a:noFill/>
                <a:prstDash val="solid"/>
              </a:ln>
            </c:spPr>
            <c:extLst>
              <c:ext xmlns:c16="http://schemas.microsoft.com/office/drawing/2014/chart" uri="{C3380CC4-5D6E-409C-BE32-E72D297353CC}">
                <c16:uniqueId val="{0000033D-0FBF-4522-8453-B08304F5887A}"/>
              </c:ext>
            </c:extLst>
          </c:dPt>
          <c:dPt>
            <c:idx val="20"/>
            <c:invertIfNegative val="0"/>
            <c:bubble3D val="0"/>
            <c:spPr>
              <a:solidFill>
                <a:srgbClr val="FFE7A7"/>
              </a:solidFill>
              <a:ln w="3175" cmpd="sng">
                <a:noFill/>
                <a:prstDash val="solid"/>
              </a:ln>
            </c:spPr>
            <c:extLst>
              <c:ext xmlns:c16="http://schemas.microsoft.com/office/drawing/2014/chart" uri="{C3380CC4-5D6E-409C-BE32-E72D297353CC}">
                <c16:uniqueId val="{0000033F-0FBF-4522-8453-B08304F5887A}"/>
              </c:ext>
            </c:extLst>
          </c:dPt>
          <c:dPt>
            <c:idx val="21"/>
            <c:invertIfNegative val="0"/>
            <c:bubble3D val="0"/>
            <c:spPr>
              <a:solidFill>
                <a:srgbClr val="FFE7A7"/>
              </a:solidFill>
              <a:ln w="3175" cmpd="sng">
                <a:noFill/>
                <a:prstDash val="solid"/>
              </a:ln>
            </c:spPr>
            <c:extLst>
              <c:ext xmlns:c16="http://schemas.microsoft.com/office/drawing/2014/chart" uri="{C3380CC4-5D6E-409C-BE32-E72D297353CC}">
                <c16:uniqueId val="{00000341-0FBF-4522-8453-B08304F5887A}"/>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Data'!$C$15:$X$15</c:f>
              <c:numCache>
                <c:formatCode>#,##0_ ;\-#,##0\ </c:formatCode>
                <c:ptCount val="22"/>
                <c:pt idx="0">
                  <c:v>9475</c:v>
                </c:pt>
                <c:pt idx="1">
                  <c:v>10796</c:v>
                </c:pt>
                <c:pt idx="2">
                  <c:v>12167</c:v>
                </c:pt>
                <c:pt idx="3">
                  <c:v>13376</c:v>
                </c:pt>
                <c:pt idx="4">
                  <c:v>14355</c:v>
                </c:pt>
                <c:pt idx="5">
                  <c:v>16163</c:v>
                </c:pt>
                <c:pt idx="6">
                  <c:v>17452</c:v>
                </c:pt>
                <c:pt idx="7">
                  <c:v>18649</c:v>
                </c:pt>
                <c:pt idx="8">
                  <c:v>19832</c:v>
                </c:pt>
                <c:pt idx="9">
                  <c:v>21164</c:v>
                </c:pt>
                <c:pt idx="10">
                  <c:v>22247</c:v>
                </c:pt>
                <c:pt idx="11">
                  <c:v>23373</c:v>
                </c:pt>
                <c:pt idx="12">
                  <c:v>24371</c:v>
                </c:pt>
                <c:pt idx="13">
                  <c:v>25416</c:v>
                </c:pt>
                <c:pt idx="14">
                  <c:v>26359</c:v>
                </c:pt>
                <c:pt idx="15">
                  <c:v>27143</c:v>
                </c:pt>
                <c:pt idx="16">
                  <c:v>27900</c:v>
                </c:pt>
                <c:pt idx="17">
                  <c:v>28674</c:v>
                </c:pt>
                <c:pt idx="18">
                  <c:v>29301</c:v>
                </c:pt>
                <c:pt idx="19">
                  <c:v>29864</c:v>
                </c:pt>
                <c:pt idx="20">
                  <c:v>30469</c:v>
                </c:pt>
                <c:pt idx="21">
                  <c:v>31010</c:v>
                </c:pt>
              </c:numCache>
            </c:numRef>
          </c:val>
          <c:extLst>
            <c:ext xmlns:c16="http://schemas.microsoft.com/office/drawing/2014/chart" uri="{C3380CC4-5D6E-409C-BE32-E72D297353CC}">
              <c16:uniqueId val="{00000342-0FBF-4522-8453-B08304F5887A}"/>
            </c:ext>
          </c:extLst>
        </c:ser>
        <c:ser>
          <c:idx val="10"/>
          <c:order val="11"/>
          <c:tx>
            <c:strRef>
              <c:f>'NEMEnergyGenerated Data'!$B$13</c:f>
              <c:strCache>
                <c:ptCount val="1"/>
                <c:pt idx="0">
                  <c:v>Utility storage load</c:v>
                </c:pt>
              </c:strCache>
            </c:strRef>
          </c:tx>
          <c:spPr>
            <a:solidFill>
              <a:srgbClr val="E1A8E9"/>
            </a:solidFill>
            <a:ln>
              <a:noFill/>
            </a:ln>
          </c:spPr>
          <c:invertIfNegative val="0"/>
          <c:dPt>
            <c:idx val="0"/>
            <c:invertIfNegative val="0"/>
            <c:bubble3D val="0"/>
            <c:spPr>
              <a:solidFill>
                <a:srgbClr val="E1A8E9"/>
              </a:solidFill>
              <a:ln w="3175" cmpd="sng">
                <a:noFill/>
                <a:prstDash val="solid"/>
              </a:ln>
            </c:spPr>
            <c:extLst>
              <c:ext xmlns:c16="http://schemas.microsoft.com/office/drawing/2014/chart" uri="{C3380CC4-5D6E-409C-BE32-E72D297353CC}">
                <c16:uniqueId val="{00000360-0FBF-4522-8453-B08304F5887A}"/>
              </c:ext>
            </c:extLst>
          </c:dPt>
          <c:dPt>
            <c:idx val="1"/>
            <c:invertIfNegative val="0"/>
            <c:bubble3D val="0"/>
            <c:spPr>
              <a:solidFill>
                <a:srgbClr val="E1A8E9"/>
              </a:solidFill>
              <a:ln w="3175" cmpd="sng">
                <a:noFill/>
                <a:prstDash val="solid"/>
              </a:ln>
            </c:spPr>
            <c:extLst>
              <c:ext xmlns:c16="http://schemas.microsoft.com/office/drawing/2014/chart" uri="{C3380CC4-5D6E-409C-BE32-E72D297353CC}">
                <c16:uniqueId val="{00000362-0FBF-4522-8453-B08304F5887A}"/>
              </c:ext>
            </c:extLst>
          </c:dPt>
          <c:dPt>
            <c:idx val="2"/>
            <c:invertIfNegative val="0"/>
            <c:bubble3D val="0"/>
            <c:spPr>
              <a:solidFill>
                <a:srgbClr val="E1A8E9"/>
              </a:solidFill>
              <a:ln w="3175" cmpd="sng">
                <a:noFill/>
                <a:prstDash val="solid"/>
              </a:ln>
            </c:spPr>
            <c:extLst>
              <c:ext xmlns:c16="http://schemas.microsoft.com/office/drawing/2014/chart" uri="{C3380CC4-5D6E-409C-BE32-E72D297353CC}">
                <c16:uniqueId val="{00000364-0FBF-4522-8453-B08304F5887A}"/>
              </c:ext>
            </c:extLst>
          </c:dPt>
          <c:dPt>
            <c:idx val="3"/>
            <c:invertIfNegative val="0"/>
            <c:bubble3D val="0"/>
            <c:spPr>
              <a:solidFill>
                <a:srgbClr val="E1A8E9"/>
              </a:solidFill>
              <a:ln w="3175" cmpd="sng">
                <a:noFill/>
                <a:prstDash val="solid"/>
              </a:ln>
            </c:spPr>
            <c:extLst>
              <c:ext xmlns:c16="http://schemas.microsoft.com/office/drawing/2014/chart" uri="{C3380CC4-5D6E-409C-BE32-E72D297353CC}">
                <c16:uniqueId val="{00000366-0FBF-4522-8453-B08304F5887A}"/>
              </c:ext>
            </c:extLst>
          </c:dPt>
          <c:dPt>
            <c:idx val="4"/>
            <c:invertIfNegative val="0"/>
            <c:bubble3D val="0"/>
            <c:spPr>
              <a:solidFill>
                <a:srgbClr val="E1A8E9"/>
              </a:solidFill>
              <a:ln w="3175" cmpd="sng">
                <a:noFill/>
                <a:prstDash val="solid"/>
              </a:ln>
            </c:spPr>
            <c:extLst>
              <c:ext xmlns:c16="http://schemas.microsoft.com/office/drawing/2014/chart" uri="{C3380CC4-5D6E-409C-BE32-E72D297353CC}">
                <c16:uniqueId val="{00000368-0FBF-4522-8453-B08304F5887A}"/>
              </c:ext>
            </c:extLst>
          </c:dPt>
          <c:dPt>
            <c:idx val="5"/>
            <c:invertIfNegative val="0"/>
            <c:bubble3D val="0"/>
            <c:spPr>
              <a:solidFill>
                <a:srgbClr val="E1A8E9"/>
              </a:solidFill>
              <a:ln w="3175" cmpd="sng">
                <a:noFill/>
                <a:prstDash val="solid"/>
              </a:ln>
            </c:spPr>
            <c:extLst>
              <c:ext xmlns:c16="http://schemas.microsoft.com/office/drawing/2014/chart" uri="{C3380CC4-5D6E-409C-BE32-E72D297353CC}">
                <c16:uniqueId val="{0000036A-0FBF-4522-8453-B08304F5887A}"/>
              </c:ext>
            </c:extLst>
          </c:dPt>
          <c:dPt>
            <c:idx val="6"/>
            <c:invertIfNegative val="0"/>
            <c:bubble3D val="0"/>
            <c:spPr>
              <a:solidFill>
                <a:srgbClr val="E1A8E9"/>
              </a:solidFill>
              <a:ln w="3175" cmpd="sng">
                <a:noFill/>
                <a:prstDash val="solid"/>
              </a:ln>
            </c:spPr>
            <c:extLst>
              <c:ext xmlns:c16="http://schemas.microsoft.com/office/drawing/2014/chart" uri="{C3380CC4-5D6E-409C-BE32-E72D297353CC}">
                <c16:uniqueId val="{0000036C-0FBF-4522-8453-B08304F5887A}"/>
              </c:ext>
            </c:extLst>
          </c:dPt>
          <c:dPt>
            <c:idx val="7"/>
            <c:invertIfNegative val="0"/>
            <c:bubble3D val="0"/>
            <c:spPr>
              <a:solidFill>
                <a:srgbClr val="E1A8E9"/>
              </a:solidFill>
              <a:ln w="3175" cmpd="sng">
                <a:noFill/>
                <a:prstDash val="solid"/>
              </a:ln>
            </c:spPr>
            <c:extLst>
              <c:ext xmlns:c16="http://schemas.microsoft.com/office/drawing/2014/chart" uri="{C3380CC4-5D6E-409C-BE32-E72D297353CC}">
                <c16:uniqueId val="{0000036E-0FBF-4522-8453-B08304F5887A}"/>
              </c:ext>
            </c:extLst>
          </c:dPt>
          <c:dPt>
            <c:idx val="8"/>
            <c:invertIfNegative val="0"/>
            <c:bubble3D val="0"/>
            <c:spPr>
              <a:solidFill>
                <a:srgbClr val="E1A8E9"/>
              </a:solidFill>
              <a:ln w="3175" cmpd="sng">
                <a:noFill/>
                <a:prstDash val="solid"/>
              </a:ln>
            </c:spPr>
            <c:extLst>
              <c:ext xmlns:c16="http://schemas.microsoft.com/office/drawing/2014/chart" uri="{C3380CC4-5D6E-409C-BE32-E72D297353CC}">
                <c16:uniqueId val="{00000370-0FBF-4522-8453-B08304F5887A}"/>
              </c:ext>
            </c:extLst>
          </c:dPt>
          <c:dPt>
            <c:idx val="9"/>
            <c:invertIfNegative val="0"/>
            <c:bubble3D val="0"/>
            <c:spPr>
              <a:solidFill>
                <a:srgbClr val="E1A8E9"/>
              </a:solidFill>
              <a:ln w="3175" cmpd="sng">
                <a:noFill/>
                <a:prstDash val="solid"/>
              </a:ln>
            </c:spPr>
            <c:extLst>
              <c:ext xmlns:c16="http://schemas.microsoft.com/office/drawing/2014/chart" uri="{C3380CC4-5D6E-409C-BE32-E72D297353CC}">
                <c16:uniqueId val="{00000372-0FBF-4522-8453-B08304F5887A}"/>
              </c:ext>
            </c:extLst>
          </c:dPt>
          <c:dPt>
            <c:idx val="10"/>
            <c:invertIfNegative val="0"/>
            <c:bubble3D val="0"/>
            <c:spPr>
              <a:solidFill>
                <a:srgbClr val="E1A8E9"/>
              </a:solidFill>
              <a:ln w="3175" cmpd="sng">
                <a:noFill/>
                <a:prstDash val="solid"/>
              </a:ln>
            </c:spPr>
            <c:extLst>
              <c:ext xmlns:c16="http://schemas.microsoft.com/office/drawing/2014/chart" uri="{C3380CC4-5D6E-409C-BE32-E72D297353CC}">
                <c16:uniqueId val="{00000374-0FBF-4522-8453-B08304F5887A}"/>
              </c:ext>
            </c:extLst>
          </c:dPt>
          <c:dPt>
            <c:idx val="11"/>
            <c:invertIfNegative val="0"/>
            <c:bubble3D val="0"/>
            <c:spPr>
              <a:solidFill>
                <a:srgbClr val="E1A8E9"/>
              </a:solidFill>
              <a:ln w="3175" cmpd="sng">
                <a:noFill/>
                <a:prstDash val="solid"/>
              </a:ln>
            </c:spPr>
            <c:extLst>
              <c:ext xmlns:c16="http://schemas.microsoft.com/office/drawing/2014/chart" uri="{C3380CC4-5D6E-409C-BE32-E72D297353CC}">
                <c16:uniqueId val="{00000376-0FBF-4522-8453-B08304F5887A}"/>
              </c:ext>
            </c:extLst>
          </c:dPt>
          <c:dPt>
            <c:idx val="12"/>
            <c:invertIfNegative val="0"/>
            <c:bubble3D val="0"/>
            <c:spPr>
              <a:solidFill>
                <a:srgbClr val="E1A8E9"/>
              </a:solidFill>
              <a:ln w="3175" cmpd="sng">
                <a:noFill/>
                <a:prstDash val="solid"/>
              </a:ln>
            </c:spPr>
            <c:extLst>
              <c:ext xmlns:c16="http://schemas.microsoft.com/office/drawing/2014/chart" uri="{C3380CC4-5D6E-409C-BE32-E72D297353CC}">
                <c16:uniqueId val="{00000378-0FBF-4522-8453-B08304F5887A}"/>
              </c:ext>
            </c:extLst>
          </c:dPt>
          <c:dPt>
            <c:idx val="13"/>
            <c:invertIfNegative val="0"/>
            <c:bubble3D val="0"/>
            <c:spPr>
              <a:solidFill>
                <a:srgbClr val="E1A8E9"/>
              </a:solidFill>
              <a:ln w="3175" cmpd="sng">
                <a:noFill/>
                <a:prstDash val="solid"/>
              </a:ln>
            </c:spPr>
            <c:extLst>
              <c:ext xmlns:c16="http://schemas.microsoft.com/office/drawing/2014/chart" uri="{C3380CC4-5D6E-409C-BE32-E72D297353CC}">
                <c16:uniqueId val="{0000037A-0FBF-4522-8453-B08304F5887A}"/>
              </c:ext>
            </c:extLst>
          </c:dPt>
          <c:dPt>
            <c:idx val="14"/>
            <c:invertIfNegative val="0"/>
            <c:bubble3D val="0"/>
            <c:spPr>
              <a:solidFill>
                <a:srgbClr val="E1A8E9"/>
              </a:solidFill>
              <a:ln w="3175" cmpd="sng">
                <a:noFill/>
                <a:prstDash val="solid"/>
              </a:ln>
            </c:spPr>
            <c:extLst>
              <c:ext xmlns:c16="http://schemas.microsoft.com/office/drawing/2014/chart" uri="{C3380CC4-5D6E-409C-BE32-E72D297353CC}">
                <c16:uniqueId val="{0000037C-0FBF-4522-8453-B08304F5887A}"/>
              </c:ext>
            </c:extLst>
          </c:dPt>
          <c:dPt>
            <c:idx val="15"/>
            <c:invertIfNegative val="0"/>
            <c:bubble3D val="0"/>
            <c:spPr>
              <a:solidFill>
                <a:srgbClr val="E1A8E9"/>
              </a:solidFill>
              <a:ln w="3175" cmpd="sng">
                <a:noFill/>
                <a:prstDash val="solid"/>
              </a:ln>
            </c:spPr>
            <c:extLst>
              <c:ext xmlns:c16="http://schemas.microsoft.com/office/drawing/2014/chart" uri="{C3380CC4-5D6E-409C-BE32-E72D297353CC}">
                <c16:uniqueId val="{0000037E-0FBF-4522-8453-B08304F5887A}"/>
              </c:ext>
            </c:extLst>
          </c:dPt>
          <c:dPt>
            <c:idx val="16"/>
            <c:invertIfNegative val="0"/>
            <c:bubble3D val="0"/>
            <c:spPr>
              <a:solidFill>
                <a:srgbClr val="E1A8E9"/>
              </a:solidFill>
              <a:ln w="3175" cmpd="sng">
                <a:noFill/>
                <a:prstDash val="solid"/>
              </a:ln>
            </c:spPr>
            <c:extLst>
              <c:ext xmlns:c16="http://schemas.microsoft.com/office/drawing/2014/chart" uri="{C3380CC4-5D6E-409C-BE32-E72D297353CC}">
                <c16:uniqueId val="{00000380-0FBF-4522-8453-B08304F5887A}"/>
              </c:ext>
            </c:extLst>
          </c:dPt>
          <c:dPt>
            <c:idx val="17"/>
            <c:invertIfNegative val="0"/>
            <c:bubble3D val="0"/>
            <c:spPr>
              <a:solidFill>
                <a:srgbClr val="E1A8E9"/>
              </a:solidFill>
              <a:ln w="3175" cmpd="sng">
                <a:noFill/>
                <a:prstDash val="solid"/>
              </a:ln>
            </c:spPr>
            <c:extLst>
              <c:ext xmlns:c16="http://schemas.microsoft.com/office/drawing/2014/chart" uri="{C3380CC4-5D6E-409C-BE32-E72D297353CC}">
                <c16:uniqueId val="{00000382-0FBF-4522-8453-B08304F5887A}"/>
              </c:ext>
            </c:extLst>
          </c:dPt>
          <c:dPt>
            <c:idx val="18"/>
            <c:invertIfNegative val="0"/>
            <c:bubble3D val="0"/>
            <c:spPr>
              <a:solidFill>
                <a:srgbClr val="E1A8E9"/>
              </a:solidFill>
              <a:ln w="3175" cmpd="sng">
                <a:noFill/>
                <a:prstDash val="solid"/>
              </a:ln>
            </c:spPr>
            <c:extLst>
              <c:ext xmlns:c16="http://schemas.microsoft.com/office/drawing/2014/chart" uri="{C3380CC4-5D6E-409C-BE32-E72D297353CC}">
                <c16:uniqueId val="{00000384-0FBF-4522-8453-B08304F5887A}"/>
              </c:ext>
            </c:extLst>
          </c:dPt>
          <c:dPt>
            <c:idx val="19"/>
            <c:invertIfNegative val="0"/>
            <c:bubble3D val="0"/>
            <c:spPr>
              <a:solidFill>
                <a:srgbClr val="E1A8E9"/>
              </a:solidFill>
              <a:ln w="3175" cmpd="sng">
                <a:noFill/>
                <a:prstDash val="solid"/>
              </a:ln>
            </c:spPr>
            <c:extLst>
              <c:ext xmlns:c16="http://schemas.microsoft.com/office/drawing/2014/chart" uri="{C3380CC4-5D6E-409C-BE32-E72D297353CC}">
                <c16:uniqueId val="{00000386-0FBF-4522-8453-B08304F5887A}"/>
              </c:ext>
            </c:extLst>
          </c:dPt>
          <c:dPt>
            <c:idx val="20"/>
            <c:invertIfNegative val="0"/>
            <c:bubble3D val="0"/>
            <c:spPr>
              <a:solidFill>
                <a:srgbClr val="E1A8E9"/>
              </a:solidFill>
              <a:ln w="3175" cmpd="sng">
                <a:noFill/>
                <a:prstDash val="solid"/>
              </a:ln>
            </c:spPr>
            <c:extLst>
              <c:ext xmlns:c16="http://schemas.microsoft.com/office/drawing/2014/chart" uri="{C3380CC4-5D6E-409C-BE32-E72D297353CC}">
                <c16:uniqueId val="{00000388-0FBF-4522-8453-B08304F5887A}"/>
              </c:ext>
            </c:extLst>
          </c:dPt>
          <c:dPt>
            <c:idx val="21"/>
            <c:invertIfNegative val="0"/>
            <c:bubble3D val="0"/>
            <c:spPr>
              <a:solidFill>
                <a:srgbClr val="E1A8E9"/>
              </a:solidFill>
              <a:ln w="3175" cmpd="sng">
                <a:noFill/>
                <a:prstDash val="solid"/>
              </a:ln>
            </c:spPr>
            <c:extLst>
              <c:ext xmlns:c16="http://schemas.microsoft.com/office/drawing/2014/chart" uri="{C3380CC4-5D6E-409C-BE32-E72D297353CC}">
                <c16:uniqueId val="{0000038A-0FBF-4522-8453-B08304F5887A}"/>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Data'!$C$13:$X$13</c:f>
              <c:numCache>
                <c:formatCode>#,##0_ ;\-#,##0\ </c:formatCode>
                <c:ptCount val="22"/>
                <c:pt idx="0">
                  <c:v>-1348.75</c:v>
                </c:pt>
                <c:pt idx="1">
                  <c:v>-142.5</c:v>
                </c:pt>
                <c:pt idx="2">
                  <c:v>-102.5</c:v>
                </c:pt>
                <c:pt idx="3">
                  <c:v>-213.75</c:v>
                </c:pt>
                <c:pt idx="4">
                  <c:v>-805</c:v>
                </c:pt>
                <c:pt idx="5">
                  <c:v>-828.75</c:v>
                </c:pt>
                <c:pt idx="6">
                  <c:v>-1782.5</c:v>
                </c:pt>
                <c:pt idx="7">
                  <c:v>-2707.5</c:v>
                </c:pt>
                <c:pt idx="8">
                  <c:v>-3057.5</c:v>
                </c:pt>
                <c:pt idx="9">
                  <c:v>-2752.5</c:v>
                </c:pt>
                <c:pt idx="10">
                  <c:v>-3763.75</c:v>
                </c:pt>
                <c:pt idx="11">
                  <c:v>-5861.25</c:v>
                </c:pt>
                <c:pt idx="12">
                  <c:v>-5920</c:v>
                </c:pt>
                <c:pt idx="13">
                  <c:v>-6533.75</c:v>
                </c:pt>
                <c:pt idx="14">
                  <c:v>-9920</c:v>
                </c:pt>
                <c:pt idx="15">
                  <c:v>-10375</c:v>
                </c:pt>
                <c:pt idx="16">
                  <c:v>-17035</c:v>
                </c:pt>
                <c:pt idx="17">
                  <c:v>-24281.25</c:v>
                </c:pt>
                <c:pt idx="18">
                  <c:v>-31612.5</c:v>
                </c:pt>
                <c:pt idx="19">
                  <c:v>-34157.5</c:v>
                </c:pt>
                <c:pt idx="20">
                  <c:v>-37160</c:v>
                </c:pt>
                <c:pt idx="21">
                  <c:v>-38748.75</c:v>
                </c:pt>
              </c:numCache>
            </c:numRef>
          </c:val>
          <c:extLst>
            <c:ext xmlns:c16="http://schemas.microsoft.com/office/drawing/2014/chart" uri="{C3380CC4-5D6E-409C-BE32-E72D297353CC}">
              <c16:uniqueId val="{0000038B-0FBF-4522-8453-B08304F5887A}"/>
            </c:ext>
          </c:extLst>
        </c:ser>
        <c:ser>
          <c:idx val="7"/>
          <c:order val="12"/>
          <c:tx>
            <c:strRef>
              <c:f>'NEMEnergyGenerated Data'!$B$10</c:f>
              <c:strCache>
                <c:ptCount val="1"/>
                <c:pt idx="0">
                  <c:v>Distributed storage load</c:v>
                </c:pt>
              </c:strCache>
            </c:strRef>
          </c:tx>
          <c:spPr>
            <a:solidFill>
              <a:srgbClr val="89FF89"/>
            </a:solidFill>
            <a:ln>
              <a:noFill/>
            </a:ln>
            <a:effectLst/>
          </c:spPr>
          <c:invertIfNegative val="0"/>
          <c:dPt>
            <c:idx val="0"/>
            <c:invertIfNegative val="0"/>
            <c:bubble3D val="0"/>
            <c:extLst>
              <c:ext xmlns:c16="http://schemas.microsoft.com/office/drawing/2014/chart" uri="{C3380CC4-5D6E-409C-BE32-E72D297353CC}">
                <c16:uniqueId val="{00000344-0FBF-4522-8453-B08304F5887A}"/>
              </c:ext>
            </c:extLst>
          </c:dPt>
          <c:dPt>
            <c:idx val="1"/>
            <c:invertIfNegative val="0"/>
            <c:bubble3D val="0"/>
            <c:extLst>
              <c:ext xmlns:c16="http://schemas.microsoft.com/office/drawing/2014/chart" uri="{C3380CC4-5D6E-409C-BE32-E72D297353CC}">
                <c16:uniqueId val="{00000345-0FBF-4522-8453-B08304F5887A}"/>
              </c:ext>
            </c:extLst>
          </c:dPt>
          <c:dPt>
            <c:idx val="2"/>
            <c:invertIfNegative val="0"/>
            <c:bubble3D val="0"/>
            <c:extLst>
              <c:ext xmlns:c16="http://schemas.microsoft.com/office/drawing/2014/chart" uri="{C3380CC4-5D6E-409C-BE32-E72D297353CC}">
                <c16:uniqueId val="{00000346-0FBF-4522-8453-B08304F5887A}"/>
              </c:ext>
            </c:extLst>
          </c:dPt>
          <c:dPt>
            <c:idx val="3"/>
            <c:invertIfNegative val="0"/>
            <c:bubble3D val="0"/>
            <c:extLst>
              <c:ext xmlns:c16="http://schemas.microsoft.com/office/drawing/2014/chart" uri="{C3380CC4-5D6E-409C-BE32-E72D297353CC}">
                <c16:uniqueId val="{00000347-0FBF-4522-8453-B08304F5887A}"/>
              </c:ext>
            </c:extLst>
          </c:dPt>
          <c:dPt>
            <c:idx val="4"/>
            <c:invertIfNegative val="0"/>
            <c:bubble3D val="0"/>
            <c:extLst>
              <c:ext xmlns:c16="http://schemas.microsoft.com/office/drawing/2014/chart" uri="{C3380CC4-5D6E-409C-BE32-E72D297353CC}">
                <c16:uniqueId val="{00000348-0FBF-4522-8453-B08304F5887A}"/>
              </c:ext>
            </c:extLst>
          </c:dPt>
          <c:dPt>
            <c:idx val="5"/>
            <c:invertIfNegative val="0"/>
            <c:bubble3D val="0"/>
            <c:extLst>
              <c:ext xmlns:c16="http://schemas.microsoft.com/office/drawing/2014/chart" uri="{C3380CC4-5D6E-409C-BE32-E72D297353CC}">
                <c16:uniqueId val="{00000349-0FBF-4522-8453-B08304F5887A}"/>
              </c:ext>
            </c:extLst>
          </c:dPt>
          <c:dPt>
            <c:idx val="6"/>
            <c:invertIfNegative val="0"/>
            <c:bubble3D val="0"/>
            <c:extLst>
              <c:ext xmlns:c16="http://schemas.microsoft.com/office/drawing/2014/chart" uri="{C3380CC4-5D6E-409C-BE32-E72D297353CC}">
                <c16:uniqueId val="{0000034A-0FBF-4522-8453-B08304F5887A}"/>
              </c:ext>
            </c:extLst>
          </c:dPt>
          <c:dPt>
            <c:idx val="7"/>
            <c:invertIfNegative val="0"/>
            <c:bubble3D val="0"/>
            <c:extLst>
              <c:ext xmlns:c16="http://schemas.microsoft.com/office/drawing/2014/chart" uri="{C3380CC4-5D6E-409C-BE32-E72D297353CC}">
                <c16:uniqueId val="{0000034B-0FBF-4522-8453-B08304F5887A}"/>
              </c:ext>
            </c:extLst>
          </c:dPt>
          <c:dPt>
            <c:idx val="8"/>
            <c:invertIfNegative val="0"/>
            <c:bubble3D val="0"/>
            <c:extLst>
              <c:ext xmlns:c16="http://schemas.microsoft.com/office/drawing/2014/chart" uri="{C3380CC4-5D6E-409C-BE32-E72D297353CC}">
                <c16:uniqueId val="{0000034C-0FBF-4522-8453-B08304F5887A}"/>
              </c:ext>
            </c:extLst>
          </c:dPt>
          <c:dPt>
            <c:idx val="9"/>
            <c:invertIfNegative val="0"/>
            <c:bubble3D val="0"/>
            <c:extLst>
              <c:ext xmlns:c16="http://schemas.microsoft.com/office/drawing/2014/chart" uri="{C3380CC4-5D6E-409C-BE32-E72D297353CC}">
                <c16:uniqueId val="{0000034D-0FBF-4522-8453-B08304F5887A}"/>
              </c:ext>
            </c:extLst>
          </c:dPt>
          <c:dPt>
            <c:idx val="10"/>
            <c:invertIfNegative val="0"/>
            <c:bubble3D val="0"/>
            <c:extLst>
              <c:ext xmlns:c16="http://schemas.microsoft.com/office/drawing/2014/chart" uri="{C3380CC4-5D6E-409C-BE32-E72D297353CC}">
                <c16:uniqueId val="{0000034E-0FBF-4522-8453-B08304F5887A}"/>
              </c:ext>
            </c:extLst>
          </c:dPt>
          <c:dPt>
            <c:idx val="11"/>
            <c:invertIfNegative val="0"/>
            <c:bubble3D val="0"/>
            <c:extLst>
              <c:ext xmlns:c16="http://schemas.microsoft.com/office/drawing/2014/chart" uri="{C3380CC4-5D6E-409C-BE32-E72D297353CC}">
                <c16:uniqueId val="{0000034F-0FBF-4522-8453-B08304F5887A}"/>
              </c:ext>
            </c:extLst>
          </c:dPt>
          <c:dPt>
            <c:idx val="12"/>
            <c:invertIfNegative val="0"/>
            <c:bubble3D val="0"/>
            <c:extLst>
              <c:ext xmlns:c16="http://schemas.microsoft.com/office/drawing/2014/chart" uri="{C3380CC4-5D6E-409C-BE32-E72D297353CC}">
                <c16:uniqueId val="{00000350-0FBF-4522-8453-B08304F5887A}"/>
              </c:ext>
            </c:extLst>
          </c:dPt>
          <c:dPt>
            <c:idx val="13"/>
            <c:invertIfNegative val="0"/>
            <c:bubble3D val="0"/>
            <c:extLst>
              <c:ext xmlns:c16="http://schemas.microsoft.com/office/drawing/2014/chart" uri="{C3380CC4-5D6E-409C-BE32-E72D297353CC}">
                <c16:uniqueId val="{00000351-0FBF-4522-8453-B08304F5887A}"/>
              </c:ext>
            </c:extLst>
          </c:dPt>
          <c:dPt>
            <c:idx val="14"/>
            <c:invertIfNegative val="0"/>
            <c:bubble3D val="0"/>
            <c:extLst>
              <c:ext xmlns:c16="http://schemas.microsoft.com/office/drawing/2014/chart" uri="{C3380CC4-5D6E-409C-BE32-E72D297353CC}">
                <c16:uniqueId val="{00000352-0FBF-4522-8453-B08304F5887A}"/>
              </c:ext>
            </c:extLst>
          </c:dPt>
          <c:dPt>
            <c:idx val="15"/>
            <c:invertIfNegative val="0"/>
            <c:bubble3D val="0"/>
            <c:extLst>
              <c:ext xmlns:c16="http://schemas.microsoft.com/office/drawing/2014/chart" uri="{C3380CC4-5D6E-409C-BE32-E72D297353CC}">
                <c16:uniqueId val="{00000353-0FBF-4522-8453-B08304F5887A}"/>
              </c:ext>
            </c:extLst>
          </c:dPt>
          <c:dPt>
            <c:idx val="16"/>
            <c:invertIfNegative val="0"/>
            <c:bubble3D val="0"/>
            <c:extLst>
              <c:ext xmlns:c16="http://schemas.microsoft.com/office/drawing/2014/chart" uri="{C3380CC4-5D6E-409C-BE32-E72D297353CC}">
                <c16:uniqueId val="{00000354-0FBF-4522-8453-B08304F5887A}"/>
              </c:ext>
            </c:extLst>
          </c:dPt>
          <c:dPt>
            <c:idx val="17"/>
            <c:invertIfNegative val="0"/>
            <c:bubble3D val="0"/>
            <c:extLst>
              <c:ext xmlns:c16="http://schemas.microsoft.com/office/drawing/2014/chart" uri="{C3380CC4-5D6E-409C-BE32-E72D297353CC}">
                <c16:uniqueId val="{00000355-0FBF-4522-8453-B08304F5887A}"/>
              </c:ext>
            </c:extLst>
          </c:dPt>
          <c:dPt>
            <c:idx val="18"/>
            <c:invertIfNegative val="0"/>
            <c:bubble3D val="0"/>
            <c:extLst>
              <c:ext xmlns:c16="http://schemas.microsoft.com/office/drawing/2014/chart" uri="{C3380CC4-5D6E-409C-BE32-E72D297353CC}">
                <c16:uniqueId val="{00000356-0FBF-4522-8453-B08304F5887A}"/>
              </c:ext>
            </c:extLst>
          </c:dPt>
          <c:dPt>
            <c:idx val="19"/>
            <c:invertIfNegative val="0"/>
            <c:bubble3D val="0"/>
            <c:extLst>
              <c:ext xmlns:c16="http://schemas.microsoft.com/office/drawing/2014/chart" uri="{C3380CC4-5D6E-409C-BE32-E72D297353CC}">
                <c16:uniqueId val="{00000357-0FBF-4522-8453-B08304F5887A}"/>
              </c:ext>
            </c:extLst>
          </c:dPt>
          <c:dPt>
            <c:idx val="20"/>
            <c:invertIfNegative val="0"/>
            <c:bubble3D val="0"/>
            <c:extLst>
              <c:ext xmlns:c16="http://schemas.microsoft.com/office/drawing/2014/chart" uri="{C3380CC4-5D6E-409C-BE32-E72D297353CC}">
                <c16:uniqueId val="{00000358-0FBF-4522-8453-B08304F5887A}"/>
              </c:ext>
            </c:extLst>
          </c:dPt>
          <c:dPt>
            <c:idx val="21"/>
            <c:invertIfNegative val="0"/>
            <c:bubble3D val="0"/>
            <c:extLst>
              <c:ext xmlns:c16="http://schemas.microsoft.com/office/drawing/2014/chart" uri="{C3380CC4-5D6E-409C-BE32-E72D297353CC}">
                <c16:uniqueId val="{00000359-0FBF-4522-8453-B08304F5887A}"/>
              </c:ext>
            </c:extLst>
          </c:dPt>
          <c:dPt>
            <c:idx val="22"/>
            <c:invertIfNegative val="0"/>
            <c:bubble3D val="0"/>
            <c:extLst>
              <c:ext xmlns:c16="http://schemas.microsoft.com/office/drawing/2014/chart" uri="{C3380CC4-5D6E-409C-BE32-E72D297353CC}">
                <c16:uniqueId val="{0000035A-0FBF-4522-8453-B08304F5887A}"/>
              </c:ext>
            </c:extLst>
          </c:dPt>
          <c:dPt>
            <c:idx val="23"/>
            <c:invertIfNegative val="0"/>
            <c:bubble3D val="0"/>
            <c:extLst>
              <c:ext xmlns:c16="http://schemas.microsoft.com/office/drawing/2014/chart" uri="{C3380CC4-5D6E-409C-BE32-E72D297353CC}">
                <c16:uniqueId val="{0000035B-0FBF-4522-8453-B08304F5887A}"/>
              </c:ext>
            </c:extLst>
          </c:dPt>
          <c:dPt>
            <c:idx val="24"/>
            <c:invertIfNegative val="0"/>
            <c:bubble3D val="0"/>
            <c:extLst>
              <c:ext xmlns:c16="http://schemas.microsoft.com/office/drawing/2014/chart" uri="{C3380CC4-5D6E-409C-BE32-E72D297353CC}">
                <c16:uniqueId val="{0000035C-0FBF-4522-8453-B08304F5887A}"/>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Data'!$C$10:$X$10</c:f>
              <c:numCache>
                <c:formatCode>#,##0_ ;\-#,##0\ </c:formatCode>
                <c:ptCount val="22"/>
                <c:pt idx="0">
                  <c:v>-129.01440122222223</c:v>
                </c:pt>
                <c:pt idx="1">
                  <c:v>-256.91228711111108</c:v>
                </c:pt>
                <c:pt idx="2">
                  <c:v>-368.96941133333331</c:v>
                </c:pt>
                <c:pt idx="3">
                  <c:v>-551.53501022222224</c:v>
                </c:pt>
                <c:pt idx="4">
                  <c:v>-826.77618899999993</c:v>
                </c:pt>
                <c:pt idx="5">
                  <c:v>-995.09877455555556</c:v>
                </c:pt>
                <c:pt idx="6">
                  <c:v>-1171.0105284444444</c:v>
                </c:pt>
                <c:pt idx="7">
                  <c:v>-1334.3037888888891</c:v>
                </c:pt>
                <c:pt idx="8">
                  <c:v>-1491.1105201111109</c:v>
                </c:pt>
                <c:pt idx="9">
                  <c:v>-1668.3025743333333</c:v>
                </c:pt>
                <c:pt idx="10">
                  <c:v>-1901.2247523333333</c:v>
                </c:pt>
                <c:pt idx="11">
                  <c:v>-2057.8971815555556</c:v>
                </c:pt>
                <c:pt idx="12">
                  <c:v>-2127.2995745555554</c:v>
                </c:pt>
                <c:pt idx="13">
                  <c:v>-2276.6763728888886</c:v>
                </c:pt>
                <c:pt idx="14">
                  <c:v>-2406.9428368888889</c:v>
                </c:pt>
                <c:pt idx="15">
                  <c:v>-2539.5098000000003</c:v>
                </c:pt>
                <c:pt idx="16">
                  <c:v>-2670.519708888889</c:v>
                </c:pt>
                <c:pt idx="17">
                  <c:v>-2800.6001422222221</c:v>
                </c:pt>
                <c:pt idx="18">
                  <c:v>-2922.0976577777774</c:v>
                </c:pt>
                <c:pt idx="19">
                  <c:v>-3044.5564644444444</c:v>
                </c:pt>
                <c:pt idx="20">
                  <c:v>-3135.9474977777782</c:v>
                </c:pt>
                <c:pt idx="21">
                  <c:v>-3258.1208988888889</c:v>
                </c:pt>
              </c:numCache>
            </c:numRef>
          </c:val>
          <c:extLst>
            <c:ext xmlns:c16="http://schemas.microsoft.com/office/drawing/2014/chart" uri="{C3380CC4-5D6E-409C-BE32-E72D297353CC}">
              <c16:uniqueId val="{0000035D-0FBF-4522-8453-B08304F5887A}"/>
            </c:ext>
          </c:extLst>
        </c:ser>
        <c:dLbls>
          <c:showLegendKey val="0"/>
          <c:showVal val="0"/>
          <c:showCatName val="0"/>
          <c:showSerName val="0"/>
          <c:showPercent val="0"/>
          <c:showBubbleSize val="0"/>
        </c:dLbls>
        <c:gapWidth val="150"/>
        <c:overlap val="100"/>
        <c:axId val="790774792"/>
        <c:axId val="217006776"/>
        <c:extLst/>
      </c:barChart>
      <c:catAx>
        <c:axId val="7907747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sz="900" b="1"/>
                  <a:t>Year</a:t>
                </a:r>
              </a:p>
            </c:rich>
          </c:tx>
          <c:layout>
            <c:manualLayout>
              <c:xMode val="edge"/>
              <c:yMode val="edge"/>
              <c:x val="0.48322709635219802"/>
              <c:y val="0.74525694399438258"/>
            </c:manualLayout>
          </c:layout>
          <c:overlay val="0"/>
          <c:spPr>
            <a:noFill/>
            <a:ln>
              <a:noFill/>
            </a:ln>
            <a:effectLst/>
          </c:spPr>
        </c:title>
        <c:numFmt formatCode="#,##0"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217006776"/>
        <c:crosses val="autoZero"/>
        <c:auto val="1"/>
        <c:lblAlgn val="ctr"/>
        <c:lblOffset val="100"/>
        <c:noMultiLvlLbl val="0"/>
      </c:catAx>
      <c:valAx>
        <c:axId val="217006776"/>
        <c:scaling>
          <c:orientation val="minMax"/>
        </c:scaling>
        <c:delete val="0"/>
        <c:axPos val="l"/>
        <c:majorGridlines>
          <c:spPr>
            <a:ln w="6350"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sz="900" b="1"/>
                  <a:t>Energy Generated (GWh)</a:t>
                </a:r>
              </a:p>
            </c:rich>
          </c:tx>
          <c:layout>
            <c:manualLayout>
              <c:xMode val="edge"/>
              <c:yMode val="edge"/>
              <c:x val="1.9746836230313414E-2"/>
              <c:y val="0.19704163874881597"/>
            </c:manualLayout>
          </c:layout>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790774792"/>
        <c:crosses val="autoZero"/>
        <c:crossBetween val="between"/>
      </c:valAx>
    </c:plotArea>
    <c:legend>
      <c:legendPos val="b"/>
      <c:layout>
        <c:manualLayout>
          <c:xMode val="edge"/>
          <c:yMode val="edge"/>
          <c:x val="6.4604715849622019E-2"/>
          <c:y val="0.80836030207477083"/>
          <c:w val="0.87297990120331437"/>
          <c:h val="0.15018997401582546"/>
        </c:manualLayout>
      </c:layout>
      <c:overlay val="0"/>
      <c:spPr>
        <a:noFill/>
        <a:ln>
          <a:noFill/>
        </a:ln>
        <a:effectLst/>
        <a:extLst>
          <a:ext uri="{91240B29-F687-4F45-9708-019B960494DF}">
            <a14:hiddenLine xmlns:a14="http://schemas.microsoft.com/office/drawing/2010/main">
              <a:noFill/>
              <a:round/>
            </a14:hiddenLine>
          </a:ext>
        </a:ex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legend>
    <c:plotVisOnly val="1"/>
    <c:dispBlanksAs val="zero"/>
    <c:showDLblsOverMax val="0"/>
  </c:chart>
  <c:spPr>
    <a:noFill/>
    <a:ln w="9525" cap="flat" cmpd="sng" algn="ctr">
      <a:noFill/>
      <a:round/>
    </a:ln>
    <a:effectLst/>
  </c:spPr>
  <c:txPr>
    <a:bodyPr/>
    <a:lstStyle/>
    <a:p>
      <a:pPr>
        <a:defRPr>
          <a:solidFill>
            <a:schemeClr val="tx1"/>
          </a:solidFil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3526772857308464"/>
          <c:y val="3.2648402413411041E-2"/>
          <c:w val="0.84059724936764346"/>
          <c:h val="0.62071273542431116"/>
        </c:manualLayout>
      </c:layout>
      <c:barChart>
        <c:barDir val="col"/>
        <c:grouping val="stacked"/>
        <c:varyColors val="0"/>
        <c:ser>
          <c:idx val="0"/>
          <c:order val="0"/>
          <c:tx>
            <c:strRef>
              <c:f>'NewAndRetiredCapacity Data'!$A$3</c:f>
              <c:strCache>
                <c:ptCount val="1"/>
                <c:pt idx="0">
                  <c:v>Black coal</c:v>
                </c:pt>
              </c:strCache>
            </c:strRef>
          </c:tx>
          <c:spPr>
            <a:solidFill>
              <a:srgbClr val="000000"/>
            </a:solidFill>
            <a:ln>
              <a:noFill/>
            </a:ln>
            <a:effectLst/>
          </c:spPr>
          <c:invertIfNegative val="0"/>
          <c:dPt>
            <c:idx val="0"/>
            <c:invertIfNegative val="0"/>
            <c:bubble3D val="0"/>
            <c:extLst>
              <c:ext xmlns:c16="http://schemas.microsoft.com/office/drawing/2014/chart" uri="{C3380CC4-5D6E-409C-BE32-E72D297353CC}">
                <c16:uniqueId val="{0000013A-81B5-40D4-8D7F-08B7B39063BB}"/>
              </c:ext>
            </c:extLst>
          </c:dPt>
          <c:dPt>
            <c:idx val="1"/>
            <c:invertIfNegative val="0"/>
            <c:bubble3D val="0"/>
            <c:extLst>
              <c:ext xmlns:c16="http://schemas.microsoft.com/office/drawing/2014/chart" uri="{C3380CC4-5D6E-409C-BE32-E72D297353CC}">
                <c16:uniqueId val="{0000013B-81B5-40D4-8D7F-08B7B39063BB}"/>
              </c:ext>
            </c:extLst>
          </c:dPt>
          <c:dPt>
            <c:idx val="2"/>
            <c:invertIfNegative val="0"/>
            <c:bubble3D val="0"/>
            <c:extLst>
              <c:ext xmlns:c16="http://schemas.microsoft.com/office/drawing/2014/chart" uri="{C3380CC4-5D6E-409C-BE32-E72D297353CC}">
                <c16:uniqueId val="{0000013C-81B5-40D4-8D7F-08B7B39063BB}"/>
              </c:ext>
            </c:extLst>
          </c:dPt>
          <c:dPt>
            <c:idx val="3"/>
            <c:invertIfNegative val="0"/>
            <c:bubble3D val="0"/>
            <c:extLst>
              <c:ext xmlns:c16="http://schemas.microsoft.com/office/drawing/2014/chart" uri="{C3380CC4-5D6E-409C-BE32-E72D297353CC}">
                <c16:uniqueId val="{0000013D-81B5-40D4-8D7F-08B7B39063BB}"/>
              </c:ext>
            </c:extLst>
          </c:dPt>
          <c:dPt>
            <c:idx val="4"/>
            <c:invertIfNegative val="0"/>
            <c:bubble3D val="0"/>
            <c:extLst>
              <c:ext xmlns:c16="http://schemas.microsoft.com/office/drawing/2014/chart" uri="{C3380CC4-5D6E-409C-BE32-E72D297353CC}">
                <c16:uniqueId val="{0000013E-81B5-40D4-8D7F-08B7B39063BB}"/>
              </c:ext>
            </c:extLst>
          </c:dPt>
          <c:dPt>
            <c:idx val="5"/>
            <c:invertIfNegative val="0"/>
            <c:bubble3D val="0"/>
            <c:extLst>
              <c:ext xmlns:c16="http://schemas.microsoft.com/office/drawing/2014/chart" uri="{C3380CC4-5D6E-409C-BE32-E72D297353CC}">
                <c16:uniqueId val="{0000013F-81B5-40D4-8D7F-08B7B39063BB}"/>
              </c:ext>
            </c:extLst>
          </c:dPt>
          <c:dPt>
            <c:idx val="6"/>
            <c:invertIfNegative val="0"/>
            <c:bubble3D val="0"/>
            <c:extLst>
              <c:ext xmlns:c16="http://schemas.microsoft.com/office/drawing/2014/chart" uri="{C3380CC4-5D6E-409C-BE32-E72D297353CC}">
                <c16:uniqueId val="{00000140-81B5-40D4-8D7F-08B7B39063BB}"/>
              </c:ext>
            </c:extLst>
          </c:dPt>
          <c:dPt>
            <c:idx val="7"/>
            <c:invertIfNegative val="0"/>
            <c:bubble3D val="0"/>
            <c:extLst>
              <c:ext xmlns:c16="http://schemas.microsoft.com/office/drawing/2014/chart" uri="{C3380CC4-5D6E-409C-BE32-E72D297353CC}">
                <c16:uniqueId val="{00000141-81B5-40D4-8D7F-08B7B39063BB}"/>
              </c:ext>
            </c:extLst>
          </c:dPt>
          <c:dPt>
            <c:idx val="8"/>
            <c:invertIfNegative val="0"/>
            <c:bubble3D val="0"/>
            <c:extLst>
              <c:ext xmlns:c16="http://schemas.microsoft.com/office/drawing/2014/chart" uri="{C3380CC4-5D6E-409C-BE32-E72D297353CC}">
                <c16:uniqueId val="{00000142-81B5-40D4-8D7F-08B7B39063BB}"/>
              </c:ext>
            </c:extLst>
          </c:dPt>
          <c:dPt>
            <c:idx val="9"/>
            <c:invertIfNegative val="0"/>
            <c:bubble3D val="0"/>
            <c:extLst>
              <c:ext xmlns:c16="http://schemas.microsoft.com/office/drawing/2014/chart" uri="{C3380CC4-5D6E-409C-BE32-E72D297353CC}">
                <c16:uniqueId val="{00000143-81B5-40D4-8D7F-08B7B39063BB}"/>
              </c:ext>
            </c:extLst>
          </c:dPt>
          <c:dPt>
            <c:idx val="10"/>
            <c:invertIfNegative val="0"/>
            <c:bubble3D val="0"/>
            <c:extLst>
              <c:ext xmlns:c16="http://schemas.microsoft.com/office/drawing/2014/chart" uri="{C3380CC4-5D6E-409C-BE32-E72D297353CC}">
                <c16:uniqueId val="{00000144-81B5-40D4-8D7F-08B7B39063BB}"/>
              </c:ext>
            </c:extLst>
          </c:dPt>
          <c:dPt>
            <c:idx val="11"/>
            <c:invertIfNegative val="0"/>
            <c:bubble3D val="0"/>
            <c:extLst>
              <c:ext xmlns:c16="http://schemas.microsoft.com/office/drawing/2014/chart" uri="{C3380CC4-5D6E-409C-BE32-E72D297353CC}">
                <c16:uniqueId val="{00000145-81B5-40D4-8D7F-08B7B39063BB}"/>
              </c:ext>
            </c:extLst>
          </c:dPt>
          <c:dPt>
            <c:idx val="12"/>
            <c:invertIfNegative val="0"/>
            <c:bubble3D val="0"/>
            <c:extLst>
              <c:ext xmlns:c16="http://schemas.microsoft.com/office/drawing/2014/chart" uri="{C3380CC4-5D6E-409C-BE32-E72D297353CC}">
                <c16:uniqueId val="{00000146-81B5-40D4-8D7F-08B7B39063BB}"/>
              </c:ext>
            </c:extLst>
          </c:dPt>
          <c:dPt>
            <c:idx val="13"/>
            <c:invertIfNegative val="0"/>
            <c:bubble3D val="0"/>
            <c:extLst>
              <c:ext xmlns:c16="http://schemas.microsoft.com/office/drawing/2014/chart" uri="{C3380CC4-5D6E-409C-BE32-E72D297353CC}">
                <c16:uniqueId val="{00000147-81B5-40D4-8D7F-08B7B39063BB}"/>
              </c:ext>
            </c:extLst>
          </c:dPt>
          <c:dPt>
            <c:idx val="14"/>
            <c:invertIfNegative val="0"/>
            <c:bubble3D val="0"/>
            <c:extLst>
              <c:ext xmlns:c16="http://schemas.microsoft.com/office/drawing/2014/chart" uri="{C3380CC4-5D6E-409C-BE32-E72D297353CC}">
                <c16:uniqueId val="{00000148-81B5-40D4-8D7F-08B7B39063BB}"/>
              </c:ext>
            </c:extLst>
          </c:dPt>
          <c:dPt>
            <c:idx val="15"/>
            <c:invertIfNegative val="0"/>
            <c:bubble3D val="0"/>
            <c:extLst>
              <c:ext xmlns:c16="http://schemas.microsoft.com/office/drawing/2014/chart" uri="{C3380CC4-5D6E-409C-BE32-E72D297353CC}">
                <c16:uniqueId val="{00000149-81B5-40D4-8D7F-08B7B39063BB}"/>
              </c:ext>
            </c:extLst>
          </c:dPt>
          <c:dPt>
            <c:idx val="16"/>
            <c:invertIfNegative val="0"/>
            <c:bubble3D val="0"/>
            <c:extLst>
              <c:ext xmlns:c16="http://schemas.microsoft.com/office/drawing/2014/chart" uri="{C3380CC4-5D6E-409C-BE32-E72D297353CC}">
                <c16:uniqueId val="{0000014A-81B5-40D4-8D7F-08B7B39063BB}"/>
              </c:ext>
            </c:extLst>
          </c:dPt>
          <c:dPt>
            <c:idx val="17"/>
            <c:invertIfNegative val="0"/>
            <c:bubble3D val="0"/>
            <c:extLst>
              <c:ext xmlns:c16="http://schemas.microsoft.com/office/drawing/2014/chart" uri="{C3380CC4-5D6E-409C-BE32-E72D297353CC}">
                <c16:uniqueId val="{0000014B-81B5-40D4-8D7F-08B7B39063BB}"/>
              </c:ext>
            </c:extLst>
          </c:dPt>
          <c:dPt>
            <c:idx val="18"/>
            <c:invertIfNegative val="0"/>
            <c:bubble3D val="0"/>
            <c:extLst>
              <c:ext xmlns:c16="http://schemas.microsoft.com/office/drawing/2014/chart" uri="{C3380CC4-5D6E-409C-BE32-E72D297353CC}">
                <c16:uniqueId val="{0000014C-81B5-40D4-8D7F-08B7B39063BB}"/>
              </c:ext>
            </c:extLst>
          </c:dPt>
          <c:dPt>
            <c:idx val="19"/>
            <c:invertIfNegative val="0"/>
            <c:bubble3D val="0"/>
            <c:extLst>
              <c:ext xmlns:c16="http://schemas.microsoft.com/office/drawing/2014/chart" uri="{C3380CC4-5D6E-409C-BE32-E72D297353CC}">
                <c16:uniqueId val="{0000014D-81B5-40D4-8D7F-08B7B39063BB}"/>
              </c:ext>
            </c:extLst>
          </c:dPt>
          <c:dPt>
            <c:idx val="20"/>
            <c:invertIfNegative val="0"/>
            <c:bubble3D val="0"/>
            <c:extLst>
              <c:ext xmlns:c16="http://schemas.microsoft.com/office/drawing/2014/chart" uri="{C3380CC4-5D6E-409C-BE32-E72D297353CC}">
                <c16:uniqueId val="{0000014E-81B5-40D4-8D7F-08B7B39063BB}"/>
              </c:ext>
            </c:extLst>
          </c:dPt>
          <c:dPt>
            <c:idx val="21"/>
            <c:invertIfNegative val="0"/>
            <c:bubble3D val="0"/>
            <c:extLst>
              <c:ext xmlns:c16="http://schemas.microsoft.com/office/drawing/2014/chart" uri="{C3380CC4-5D6E-409C-BE32-E72D297353CC}">
                <c16:uniqueId val="{0000014F-81B5-40D4-8D7F-08B7B39063BB}"/>
              </c:ext>
            </c:extLst>
          </c:dPt>
          <c:dPt>
            <c:idx val="22"/>
            <c:invertIfNegative val="0"/>
            <c:bubble3D val="0"/>
            <c:extLst>
              <c:ext xmlns:c16="http://schemas.microsoft.com/office/drawing/2014/chart" uri="{C3380CC4-5D6E-409C-BE32-E72D297353CC}">
                <c16:uniqueId val="{00000150-81B5-40D4-8D7F-08B7B39063BB}"/>
              </c:ext>
            </c:extLst>
          </c:dPt>
          <c:dPt>
            <c:idx val="23"/>
            <c:invertIfNegative val="0"/>
            <c:bubble3D val="0"/>
            <c:extLst>
              <c:ext xmlns:c16="http://schemas.microsoft.com/office/drawing/2014/chart" uri="{C3380CC4-5D6E-409C-BE32-E72D297353CC}">
                <c16:uniqueId val="{00000151-81B5-40D4-8D7F-08B7B39063BB}"/>
              </c:ext>
            </c:extLst>
          </c:dPt>
          <c:dPt>
            <c:idx val="24"/>
            <c:invertIfNegative val="0"/>
            <c:bubble3D val="0"/>
            <c:extLst>
              <c:ext xmlns:c16="http://schemas.microsoft.com/office/drawing/2014/chart" uri="{C3380CC4-5D6E-409C-BE32-E72D297353CC}">
                <c16:uniqueId val="{00000152-81B5-40D4-8D7F-08B7B39063BB}"/>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Data'!$B$3:$W$3</c:f>
              <c:numCache>
                <c:formatCode>#,##0_ ;\-#,##0\ </c:formatCode>
                <c:ptCount val="22"/>
                <c:pt idx="0">
                  <c:v>0</c:v>
                </c:pt>
                <c:pt idx="1">
                  <c:v>0</c:v>
                </c:pt>
                <c:pt idx="2">
                  <c:v>0</c:v>
                </c:pt>
                <c:pt idx="3">
                  <c:v>0</c:v>
                </c:pt>
                <c:pt idx="4">
                  <c:v>-1800</c:v>
                </c:pt>
                <c:pt idx="5">
                  <c:v>-1800</c:v>
                </c:pt>
                <c:pt idx="6">
                  <c:v>-1800</c:v>
                </c:pt>
                <c:pt idx="7">
                  <c:v>-1800</c:v>
                </c:pt>
                <c:pt idx="8">
                  <c:v>-1800</c:v>
                </c:pt>
                <c:pt idx="9">
                  <c:v>-1800</c:v>
                </c:pt>
                <c:pt idx="10">
                  <c:v>-3120</c:v>
                </c:pt>
                <c:pt idx="11">
                  <c:v>-4800</c:v>
                </c:pt>
                <c:pt idx="12">
                  <c:v>-4800</c:v>
                </c:pt>
                <c:pt idx="13">
                  <c:v>-4800</c:v>
                </c:pt>
                <c:pt idx="14">
                  <c:v>-4800</c:v>
                </c:pt>
                <c:pt idx="15">
                  <c:v>-4800</c:v>
                </c:pt>
                <c:pt idx="16">
                  <c:v>-7680</c:v>
                </c:pt>
                <c:pt idx="17">
                  <c:v>-10320</c:v>
                </c:pt>
                <c:pt idx="18">
                  <c:v>-11720</c:v>
                </c:pt>
                <c:pt idx="19">
                  <c:v>-11720</c:v>
                </c:pt>
                <c:pt idx="20">
                  <c:v>-12420</c:v>
                </c:pt>
                <c:pt idx="21">
                  <c:v>-12420</c:v>
                </c:pt>
              </c:numCache>
            </c:numRef>
          </c:val>
          <c:extLst>
            <c:ext xmlns:c16="http://schemas.microsoft.com/office/drawing/2014/chart" uri="{C3380CC4-5D6E-409C-BE32-E72D297353CC}">
              <c16:uniqueId val="{00000153-81B5-40D4-8D7F-08B7B39063BB}"/>
            </c:ext>
          </c:extLst>
        </c:ser>
        <c:ser>
          <c:idx val="1"/>
          <c:order val="1"/>
          <c:tx>
            <c:strRef>
              <c:f>'NewAndRetiredCapacity Data'!$A$4</c:f>
              <c:strCache>
                <c:ptCount val="1"/>
                <c:pt idx="0">
                  <c:v>Brown coal</c:v>
                </c:pt>
              </c:strCache>
            </c:strRef>
          </c:tx>
          <c:spPr>
            <a:solidFill>
              <a:srgbClr val="833807"/>
            </a:solidFill>
            <a:ln>
              <a:noFill/>
            </a:ln>
            <a:effectLst/>
          </c:spPr>
          <c:invertIfNegative val="0"/>
          <c:dPt>
            <c:idx val="0"/>
            <c:invertIfNegative val="0"/>
            <c:bubble3D val="0"/>
            <c:extLst>
              <c:ext xmlns:c16="http://schemas.microsoft.com/office/drawing/2014/chart" uri="{C3380CC4-5D6E-409C-BE32-E72D297353CC}">
                <c16:uniqueId val="{00000155-81B5-40D4-8D7F-08B7B39063BB}"/>
              </c:ext>
            </c:extLst>
          </c:dPt>
          <c:dPt>
            <c:idx val="1"/>
            <c:invertIfNegative val="0"/>
            <c:bubble3D val="0"/>
            <c:extLst>
              <c:ext xmlns:c16="http://schemas.microsoft.com/office/drawing/2014/chart" uri="{C3380CC4-5D6E-409C-BE32-E72D297353CC}">
                <c16:uniqueId val="{00000156-81B5-40D4-8D7F-08B7B39063BB}"/>
              </c:ext>
            </c:extLst>
          </c:dPt>
          <c:dPt>
            <c:idx val="2"/>
            <c:invertIfNegative val="0"/>
            <c:bubble3D val="0"/>
            <c:extLst>
              <c:ext xmlns:c16="http://schemas.microsoft.com/office/drawing/2014/chart" uri="{C3380CC4-5D6E-409C-BE32-E72D297353CC}">
                <c16:uniqueId val="{00000157-81B5-40D4-8D7F-08B7B39063BB}"/>
              </c:ext>
            </c:extLst>
          </c:dPt>
          <c:dPt>
            <c:idx val="3"/>
            <c:invertIfNegative val="0"/>
            <c:bubble3D val="0"/>
            <c:extLst>
              <c:ext xmlns:c16="http://schemas.microsoft.com/office/drawing/2014/chart" uri="{C3380CC4-5D6E-409C-BE32-E72D297353CC}">
                <c16:uniqueId val="{00000158-81B5-40D4-8D7F-08B7B39063BB}"/>
              </c:ext>
            </c:extLst>
          </c:dPt>
          <c:dPt>
            <c:idx val="4"/>
            <c:invertIfNegative val="0"/>
            <c:bubble3D val="0"/>
            <c:extLst>
              <c:ext xmlns:c16="http://schemas.microsoft.com/office/drawing/2014/chart" uri="{C3380CC4-5D6E-409C-BE32-E72D297353CC}">
                <c16:uniqueId val="{00000159-81B5-40D4-8D7F-08B7B39063BB}"/>
              </c:ext>
            </c:extLst>
          </c:dPt>
          <c:dPt>
            <c:idx val="5"/>
            <c:invertIfNegative val="0"/>
            <c:bubble3D val="0"/>
            <c:extLst>
              <c:ext xmlns:c16="http://schemas.microsoft.com/office/drawing/2014/chart" uri="{C3380CC4-5D6E-409C-BE32-E72D297353CC}">
                <c16:uniqueId val="{0000015A-81B5-40D4-8D7F-08B7B39063BB}"/>
              </c:ext>
            </c:extLst>
          </c:dPt>
          <c:dPt>
            <c:idx val="6"/>
            <c:invertIfNegative val="0"/>
            <c:bubble3D val="0"/>
            <c:extLst>
              <c:ext xmlns:c16="http://schemas.microsoft.com/office/drawing/2014/chart" uri="{C3380CC4-5D6E-409C-BE32-E72D297353CC}">
                <c16:uniqueId val="{0000015B-81B5-40D4-8D7F-08B7B39063BB}"/>
              </c:ext>
            </c:extLst>
          </c:dPt>
          <c:dPt>
            <c:idx val="7"/>
            <c:invertIfNegative val="0"/>
            <c:bubble3D val="0"/>
            <c:extLst>
              <c:ext xmlns:c16="http://schemas.microsoft.com/office/drawing/2014/chart" uri="{C3380CC4-5D6E-409C-BE32-E72D297353CC}">
                <c16:uniqueId val="{0000015C-81B5-40D4-8D7F-08B7B39063BB}"/>
              </c:ext>
            </c:extLst>
          </c:dPt>
          <c:dPt>
            <c:idx val="8"/>
            <c:invertIfNegative val="0"/>
            <c:bubble3D val="0"/>
            <c:extLst>
              <c:ext xmlns:c16="http://schemas.microsoft.com/office/drawing/2014/chart" uri="{C3380CC4-5D6E-409C-BE32-E72D297353CC}">
                <c16:uniqueId val="{0000015D-81B5-40D4-8D7F-08B7B39063BB}"/>
              </c:ext>
            </c:extLst>
          </c:dPt>
          <c:dPt>
            <c:idx val="9"/>
            <c:invertIfNegative val="0"/>
            <c:bubble3D val="0"/>
            <c:extLst>
              <c:ext xmlns:c16="http://schemas.microsoft.com/office/drawing/2014/chart" uri="{C3380CC4-5D6E-409C-BE32-E72D297353CC}">
                <c16:uniqueId val="{0000015E-81B5-40D4-8D7F-08B7B39063BB}"/>
              </c:ext>
            </c:extLst>
          </c:dPt>
          <c:dPt>
            <c:idx val="10"/>
            <c:invertIfNegative val="0"/>
            <c:bubble3D val="0"/>
            <c:extLst>
              <c:ext xmlns:c16="http://schemas.microsoft.com/office/drawing/2014/chart" uri="{C3380CC4-5D6E-409C-BE32-E72D297353CC}">
                <c16:uniqueId val="{0000015F-81B5-40D4-8D7F-08B7B39063BB}"/>
              </c:ext>
            </c:extLst>
          </c:dPt>
          <c:dPt>
            <c:idx val="11"/>
            <c:invertIfNegative val="0"/>
            <c:bubble3D val="0"/>
            <c:extLst>
              <c:ext xmlns:c16="http://schemas.microsoft.com/office/drawing/2014/chart" uri="{C3380CC4-5D6E-409C-BE32-E72D297353CC}">
                <c16:uniqueId val="{00000160-81B5-40D4-8D7F-08B7B39063BB}"/>
              </c:ext>
            </c:extLst>
          </c:dPt>
          <c:dPt>
            <c:idx val="12"/>
            <c:invertIfNegative val="0"/>
            <c:bubble3D val="0"/>
            <c:extLst>
              <c:ext xmlns:c16="http://schemas.microsoft.com/office/drawing/2014/chart" uri="{C3380CC4-5D6E-409C-BE32-E72D297353CC}">
                <c16:uniqueId val="{00000161-81B5-40D4-8D7F-08B7B39063BB}"/>
              </c:ext>
            </c:extLst>
          </c:dPt>
          <c:dPt>
            <c:idx val="13"/>
            <c:invertIfNegative val="0"/>
            <c:bubble3D val="0"/>
            <c:extLst>
              <c:ext xmlns:c16="http://schemas.microsoft.com/office/drawing/2014/chart" uri="{C3380CC4-5D6E-409C-BE32-E72D297353CC}">
                <c16:uniqueId val="{00000162-81B5-40D4-8D7F-08B7B39063BB}"/>
              </c:ext>
            </c:extLst>
          </c:dPt>
          <c:dPt>
            <c:idx val="14"/>
            <c:invertIfNegative val="0"/>
            <c:bubble3D val="0"/>
            <c:extLst>
              <c:ext xmlns:c16="http://schemas.microsoft.com/office/drawing/2014/chart" uri="{C3380CC4-5D6E-409C-BE32-E72D297353CC}">
                <c16:uniqueId val="{00000163-81B5-40D4-8D7F-08B7B39063BB}"/>
              </c:ext>
            </c:extLst>
          </c:dPt>
          <c:dPt>
            <c:idx val="15"/>
            <c:invertIfNegative val="0"/>
            <c:bubble3D val="0"/>
            <c:extLst>
              <c:ext xmlns:c16="http://schemas.microsoft.com/office/drawing/2014/chart" uri="{C3380CC4-5D6E-409C-BE32-E72D297353CC}">
                <c16:uniqueId val="{00000164-81B5-40D4-8D7F-08B7B39063BB}"/>
              </c:ext>
            </c:extLst>
          </c:dPt>
          <c:dPt>
            <c:idx val="16"/>
            <c:invertIfNegative val="0"/>
            <c:bubble3D val="0"/>
            <c:extLst>
              <c:ext xmlns:c16="http://schemas.microsoft.com/office/drawing/2014/chart" uri="{C3380CC4-5D6E-409C-BE32-E72D297353CC}">
                <c16:uniqueId val="{00000165-81B5-40D4-8D7F-08B7B39063BB}"/>
              </c:ext>
            </c:extLst>
          </c:dPt>
          <c:dPt>
            <c:idx val="17"/>
            <c:invertIfNegative val="0"/>
            <c:bubble3D val="0"/>
            <c:extLst>
              <c:ext xmlns:c16="http://schemas.microsoft.com/office/drawing/2014/chart" uri="{C3380CC4-5D6E-409C-BE32-E72D297353CC}">
                <c16:uniqueId val="{00000166-81B5-40D4-8D7F-08B7B39063BB}"/>
              </c:ext>
            </c:extLst>
          </c:dPt>
          <c:dPt>
            <c:idx val="18"/>
            <c:invertIfNegative val="0"/>
            <c:bubble3D val="0"/>
            <c:extLst>
              <c:ext xmlns:c16="http://schemas.microsoft.com/office/drawing/2014/chart" uri="{C3380CC4-5D6E-409C-BE32-E72D297353CC}">
                <c16:uniqueId val="{00000167-81B5-40D4-8D7F-08B7B39063BB}"/>
              </c:ext>
            </c:extLst>
          </c:dPt>
          <c:dPt>
            <c:idx val="19"/>
            <c:invertIfNegative val="0"/>
            <c:bubble3D val="0"/>
            <c:extLst>
              <c:ext xmlns:c16="http://schemas.microsoft.com/office/drawing/2014/chart" uri="{C3380CC4-5D6E-409C-BE32-E72D297353CC}">
                <c16:uniqueId val="{00000168-81B5-40D4-8D7F-08B7B39063BB}"/>
              </c:ext>
            </c:extLst>
          </c:dPt>
          <c:dPt>
            <c:idx val="20"/>
            <c:invertIfNegative val="0"/>
            <c:bubble3D val="0"/>
            <c:extLst>
              <c:ext xmlns:c16="http://schemas.microsoft.com/office/drawing/2014/chart" uri="{C3380CC4-5D6E-409C-BE32-E72D297353CC}">
                <c16:uniqueId val="{00000169-81B5-40D4-8D7F-08B7B39063BB}"/>
              </c:ext>
            </c:extLst>
          </c:dPt>
          <c:dPt>
            <c:idx val="21"/>
            <c:invertIfNegative val="0"/>
            <c:bubble3D val="0"/>
            <c:extLst>
              <c:ext xmlns:c16="http://schemas.microsoft.com/office/drawing/2014/chart" uri="{C3380CC4-5D6E-409C-BE32-E72D297353CC}">
                <c16:uniqueId val="{0000016A-81B5-40D4-8D7F-08B7B39063BB}"/>
              </c:ext>
            </c:extLst>
          </c:dPt>
          <c:dPt>
            <c:idx val="22"/>
            <c:invertIfNegative val="0"/>
            <c:bubble3D val="0"/>
            <c:extLst>
              <c:ext xmlns:c16="http://schemas.microsoft.com/office/drawing/2014/chart" uri="{C3380CC4-5D6E-409C-BE32-E72D297353CC}">
                <c16:uniqueId val="{0000016B-81B5-40D4-8D7F-08B7B39063BB}"/>
              </c:ext>
            </c:extLst>
          </c:dPt>
          <c:dPt>
            <c:idx val="23"/>
            <c:invertIfNegative val="0"/>
            <c:bubble3D val="0"/>
            <c:extLst>
              <c:ext xmlns:c16="http://schemas.microsoft.com/office/drawing/2014/chart" uri="{C3380CC4-5D6E-409C-BE32-E72D297353CC}">
                <c16:uniqueId val="{0000016C-81B5-40D4-8D7F-08B7B39063BB}"/>
              </c:ext>
            </c:extLst>
          </c:dPt>
          <c:dPt>
            <c:idx val="24"/>
            <c:invertIfNegative val="0"/>
            <c:bubble3D val="0"/>
            <c:extLst>
              <c:ext xmlns:c16="http://schemas.microsoft.com/office/drawing/2014/chart" uri="{C3380CC4-5D6E-409C-BE32-E72D297353CC}">
                <c16:uniqueId val="{0000016D-81B5-40D4-8D7F-08B7B39063BB}"/>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Data'!$B$4:$W$4</c:f>
              <c:numCache>
                <c:formatCode>#,##0_ ;\-#,##0\ </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-1528</c:v>
                </c:pt>
                <c:pt idx="15">
                  <c:v>-1528</c:v>
                </c:pt>
                <c:pt idx="16">
                  <c:v>-1528</c:v>
                </c:pt>
                <c:pt idx="17">
                  <c:v>-1528</c:v>
                </c:pt>
                <c:pt idx="18">
                  <c:v>-1528</c:v>
                </c:pt>
                <c:pt idx="19">
                  <c:v>-1528</c:v>
                </c:pt>
                <c:pt idx="20">
                  <c:v>-1528</c:v>
                </c:pt>
                <c:pt idx="21">
                  <c:v>-1528</c:v>
                </c:pt>
              </c:numCache>
            </c:numRef>
          </c:val>
          <c:extLst>
            <c:ext xmlns:c16="http://schemas.microsoft.com/office/drawing/2014/chart" uri="{C3380CC4-5D6E-409C-BE32-E72D297353CC}">
              <c16:uniqueId val="{0000016E-81B5-40D4-8D7F-08B7B39063BB}"/>
            </c:ext>
          </c:extLst>
        </c:ser>
        <c:ser>
          <c:idx val="2"/>
          <c:order val="2"/>
          <c:tx>
            <c:strRef>
              <c:f>'NewAndRetiredCapacity Data'!$A$5</c:f>
              <c:strCache>
                <c:ptCount val="1"/>
                <c:pt idx="0">
                  <c:v>Hydro</c:v>
                </c:pt>
              </c:strCache>
            </c:strRef>
          </c:tx>
          <c:spPr>
            <a:solidFill>
              <a:srgbClr val="268BAA"/>
            </a:solidFill>
            <a:ln>
              <a:noFill/>
            </a:ln>
            <a:effectLst/>
          </c:spPr>
          <c:invertIfNegative val="0"/>
          <c:dPt>
            <c:idx val="0"/>
            <c:invertIfNegative val="0"/>
            <c:bubble3D val="0"/>
            <c:extLst>
              <c:ext xmlns:c16="http://schemas.microsoft.com/office/drawing/2014/chart" uri="{C3380CC4-5D6E-409C-BE32-E72D297353CC}">
                <c16:uniqueId val="{00000170-81B5-40D4-8D7F-08B7B39063BB}"/>
              </c:ext>
            </c:extLst>
          </c:dPt>
          <c:dPt>
            <c:idx val="1"/>
            <c:invertIfNegative val="0"/>
            <c:bubble3D val="0"/>
            <c:extLst>
              <c:ext xmlns:c16="http://schemas.microsoft.com/office/drawing/2014/chart" uri="{C3380CC4-5D6E-409C-BE32-E72D297353CC}">
                <c16:uniqueId val="{00000171-81B5-40D4-8D7F-08B7B39063BB}"/>
              </c:ext>
            </c:extLst>
          </c:dPt>
          <c:dPt>
            <c:idx val="2"/>
            <c:invertIfNegative val="0"/>
            <c:bubble3D val="0"/>
            <c:extLst>
              <c:ext xmlns:c16="http://schemas.microsoft.com/office/drawing/2014/chart" uri="{C3380CC4-5D6E-409C-BE32-E72D297353CC}">
                <c16:uniqueId val="{00000172-81B5-40D4-8D7F-08B7B39063BB}"/>
              </c:ext>
            </c:extLst>
          </c:dPt>
          <c:dPt>
            <c:idx val="3"/>
            <c:invertIfNegative val="0"/>
            <c:bubble3D val="0"/>
            <c:extLst>
              <c:ext xmlns:c16="http://schemas.microsoft.com/office/drawing/2014/chart" uri="{C3380CC4-5D6E-409C-BE32-E72D297353CC}">
                <c16:uniqueId val="{00000173-81B5-40D4-8D7F-08B7B39063BB}"/>
              </c:ext>
            </c:extLst>
          </c:dPt>
          <c:dPt>
            <c:idx val="4"/>
            <c:invertIfNegative val="0"/>
            <c:bubble3D val="0"/>
            <c:extLst>
              <c:ext xmlns:c16="http://schemas.microsoft.com/office/drawing/2014/chart" uri="{C3380CC4-5D6E-409C-BE32-E72D297353CC}">
                <c16:uniqueId val="{00000174-81B5-40D4-8D7F-08B7B39063BB}"/>
              </c:ext>
            </c:extLst>
          </c:dPt>
          <c:dPt>
            <c:idx val="5"/>
            <c:invertIfNegative val="0"/>
            <c:bubble3D val="0"/>
            <c:extLst>
              <c:ext xmlns:c16="http://schemas.microsoft.com/office/drawing/2014/chart" uri="{C3380CC4-5D6E-409C-BE32-E72D297353CC}">
                <c16:uniqueId val="{00000175-81B5-40D4-8D7F-08B7B39063BB}"/>
              </c:ext>
            </c:extLst>
          </c:dPt>
          <c:dPt>
            <c:idx val="6"/>
            <c:invertIfNegative val="0"/>
            <c:bubble3D val="0"/>
            <c:extLst>
              <c:ext xmlns:c16="http://schemas.microsoft.com/office/drawing/2014/chart" uri="{C3380CC4-5D6E-409C-BE32-E72D297353CC}">
                <c16:uniqueId val="{00000176-81B5-40D4-8D7F-08B7B39063BB}"/>
              </c:ext>
            </c:extLst>
          </c:dPt>
          <c:dPt>
            <c:idx val="7"/>
            <c:invertIfNegative val="0"/>
            <c:bubble3D val="0"/>
            <c:extLst>
              <c:ext xmlns:c16="http://schemas.microsoft.com/office/drawing/2014/chart" uri="{C3380CC4-5D6E-409C-BE32-E72D297353CC}">
                <c16:uniqueId val="{00000177-81B5-40D4-8D7F-08B7B39063BB}"/>
              </c:ext>
            </c:extLst>
          </c:dPt>
          <c:dPt>
            <c:idx val="8"/>
            <c:invertIfNegative val="0"/>
            <c:bubble3D val="0"/>
            <c:extLst>
              <c:ext xmlns:c16="http://schemas.microsoft.com/office/drawing/2014/chart" uri="{C3380CC4-5D6E-409C-BE32-E72D297353CC}">
                <c16:uniqueId val="{00000178-81B5-40D4-8D7F-08B7B39063BB}"/>
              </c:ext>
            </c:extLst>
          </c:dPt>
          <c:dPt>
            <c:idx val="9"/>
            <c:invertIfNegative val="0"/>
            <c:bubble3D val="0"/>
            <c:extLst>
              <c:ext xmlns:c16="http://schemas.microsoft.com/office/drawing/2014/chart" uri="{C3380CC4-5D6E-409C-BE32-E72D297353CC}">
                <c16:uniqueId val="{00000179-81B5-40D4-8D7F-08B7B39063BB}"/>
              </c:ext>
            </c:extLst>
          </c:dPt>
          <c:dPt>
            <c:idx val="10"/>
            <c:invertIfNegative val="0"/>
            <c:bubble3D val="0"/>
            <c:extLst>
              <c:ext xmlns:c16="http://schemas.microsoft.com/office/drawing/2014/chart" uri="{C3380CC4-5D6E-409C-BE32-E72D297353CC}">
                <c16:uniqueId val="{0000017A-81B5-40D4-8D7F-08B7B39063BB}"/>
              </c:ext>
            </c:extLst>
          </c:dPt>
          <c:dPt>
            <c:idx val="11"/>
            <c:invertIfNegative val="0"/>
            <c:bubble3D val="0"/>
            <c:extLst>
              <c:ext xmlns:c16="http://schemas.microsoft.com/office/drawing/2014/chart" uri="{C3380CC4-5D6E-409C-BE32-E72D297353CC}">
                <c16:uniqueId val="{0000017B-81B5-40D4-8D7F-08B7B39063BB}"/>
              </c:ext>
            </c:extLst>
          </c:dPt>
          <c:dPt>
            <c:idx val="12"/>
            <c:invertIfNegative val="0"/>
            <c:bubble3D val="0"/>
            <c:extLst>
              <c:ext xmlns:c16="http://schemas.microsoft.com/office/drawing/2014/chart" uri="{C3380CC4-5D6E-409C-BE32-E72D297353CC}">
                <c16:uniqueId val="{0000017C-81B5-40D4-8D7F-08B7B39063BB}"/>
              </c:ext>
            </c:extLst>
          </c:dPt>
          <c:dPt>
            <c:idx val="13"/>
            <c:invertIfNegative val="0"/>
            <c:bubble3D val="0"/>
            <c:extLst>
              <c:ext xmlns:c16="http://schemas.microsoft.com/office/drawing/2014/chart" uri="{C3380CC4-5D6E-409C-BE32-E72D297353CC}">
                <c16:uniqueId val="{0000017D-81B5-40D4-8D7F-08B7B39063BB}"/>
              </c:ext>
            </c:extLst>
          </c:dPt>
          <c:dPt>
            <c:idx val="14"/>
            <c:invertIfNegative val="0"/>
            <c:bubble3D val="0"/>
            <c:extLst>
              <c:ext xmlns:c16="http://schemas.microsoft.com/office/drawing/2014/chart" uri="{C3380CC4-5D6E-409C-BE32-E72D297353CC}">
                <c16:uniqueId val="{0000017E-81B5-40D4-8D7F-08B7B39063BB}"/>
              </c:ext>
            </c:extLst>
          </c:dPt>
          <c:dPt>
            <c:idx val="15"/>
            <c:invertIfNegative val="0"/>
            <c:bubble3D val="0"/>
            <c:extLst>
              <c:ext xmlns:c16="http://schemas.microsoft.com/office/drawing/2014/chart" uri="{C3380CC4-5D6E-409C-BE32-E72D297353CC}">
                <c16:uniqueId val="{0000017F-81B5-40D4-8D7F-08B7B39063BB}"/>
              </c:ext>
            </c:extLst>
          </c:dPt>
          <c:dPt>
            <c:idx val="16"/>
            <c:invertIfNegative val="0"/>
            <c:bubble3D val="0"/>
            <c:extLst>
              <c:ext xmlns:c16="http://schemas.microsoft.com/office/drawing/2014/chart" uri="{C3380CC4-5D6E-409C-BE32-E72D297353CC}">
                <c16:uniqueId val="{00000180-81B5-40D4-8D7F-08B7B39063BB}"/>
              </c:ext>
            </c:extLst>
          </c:dPt>
          <c:dPt>
            <c:idx val="17"/>
            <c:invertIfNegative val="0"/>
            <c:bubble3D val="0"/>
            <c:extLst>
              <c:ext xmlns:c16="http://schemas.microsoft.com/office/drawing/2014/chart" uri="{C3380CC4-5D6E-409C-BE32-E72D297353CC}">
                <c16:uniqueId val="{00000181-81B5-40D4-8D7F-08B7B39063BB}"/>
              </c:ext>
            </c:extLst>
          </c:dPt>
          <c:dPt>
            <c:idx val="18"/>
            <c:invertIfNegative val="0"/>
            <c:bubble3D val="0"/>
            <c:extLst>
              <c:ext xmlns:c16="http://schemas.microsoft.com/office/drawing/2014/chart" uri="{C3380CC4-5D6E-409C-BE32-E72D297353CC}">
                <c16:uniqueId val="{00000182-81B5-40D4-8D7F-08B7B39063BB}"/>
              </c:ext>
            </c:extLst>
          </c:dPt>
          <c:dPt>
            <c:idx val="19"/>
            <c:invertIfNegative val="0"/>
            <c:bubble3D val="0"/>
            <c:extLst>
              <c:ext xmlns:c16="http://schemas.microsoft.com/office/drawing/2014/chart" uri="{C3380CC4-5D6E-409C-BE32-E72D297353CC}">
                <c16:uniqueId val="{00000183-81B5-40D4-8D7F-08B7B39063BB}"/>
              </c:ext>
            </c:extLst>
          </c:dPt>
          <c:dPt>
            <c:idx val="20"/>
            <c:invertIfNegative val="0"/>
            <c:bubble3D val="0"/>
            <c:extLst>
              <c:ext xmlns:c16="http://schemas.microsoft.com/office/drawing/2014/chart" uri="{C3380CC4-5D6E-409C-BE32-E72D297353CC}">
                <c16:uniqueId val="{00000184-81B5-40D4-8D7F-08B7B39063BB}"/>
              </c:ext>
            </c:extLst>
          </c:dPt>
          <c:dPt>
            <c:idx val="21"/>
            <c:invertIfNegative val="0"/>
            <c:bubble3D val="0"/>
            <c:extLst>
              <c:ext xmlns:c16="http://schemas.microsoft.com/office/drawing/2014/chart" uri="{C3380CC4-5D6E-409C-BE32-E72D297353CC}">
                <c16:uniqueId val="{00000185-81B5-40D4-8D7F-08B7B39063BB}"/>
              </c:ext>
            </c:extLst>
          </c:dPt>
          <c:dPt>
            <c:idx val="22"/>
            <c:invertIfNegative val="0"/>
            <c:bubble3D val="0"/>
            <c:extLst>
              <c:ext xmlns:c16="http://schemas.microsoft.com/office/drawing/2014/chart" uri="{C3380CC4-5D6E-409C-BE32-E72D297353CC}">
                <c16:uniqueId val="{00000186-81B5-40D4-8D7F-08B7B39063BB}"/>
              </c:ext>
            </c:extLst>
          </c:dPt>
          <c:dPt>
            <c:idx val="23"/>
            <c:invertIfNegative val="0"/>
            <c:bubble3D val="0"/>
            <c:extLst>
              <c:ext xmlns:c16="http://schemas.microsoft.com/office/drawing/2014/chart" uri="{C3380CC4-5D6E-409C-BE32-E72D297353CC}">
                <c16:uniqueId val="{00000187-81B5-40D4-8D7F-08B7B39063BB}"/>
              </c:ext>
            </c:extLst>
          </c:dPt>
          <c:dPt>
            <c:idx val="24"/>
            <c:invertIfNegative val="0"/>
            <c:bubble3D val="0"/>
            <c:extLst>
              <c:ext xmlns:c16="http://schemas.microsoft.com/office/drawing/2014/chart" uri="{C3380CC4-5D6E-409C-BE32-E72D297353CC}">
                <c16:uniqueId val="{00000188-81B5-40D4-8D7F-08B7B39063BB}"/>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Data'!$B$5:$W$5</c:f>
              <c:numCache>
                <c:formatCode>#,##0_ ;\-#,##0\ </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c:ext xmlns:c16="http://schemas.microsoft.com/office/drawing/2014/chart" uri="{C3380CC4-5D6E-409C-BE32-E72D297353CC}">
              <c16:uniqueId val="{00000189-81B5-40D4-8D7F-08B7B39063BB}"/>
            </c:ext>
          </c:extLst>
        </c:ser>
        <c:ser>
          <c:idx val="3"/>
          <c:order val="3"/>
          <c:tx>
            <c:strRef>
              <c:f>'NewAndRetiredCapacity Data'!$A$6</c:f>
              <c:strCache>
                <c:ptCount val="1"/>
                <c:pt idx="0">
                  <c:v>CCGT</c:v>
                </c:pt>
              </c:strCache>
            </c:strRef>
          </c:tx>
          <c:spPr>
            <a:solidFill>
              <a:srgbClr val="A6A6A6"/>
            </a:solidFill>
            <a:ln>
              <a:noFill/>
            </a:ln>
            <a:effectLst/>
          </c:spPr>
          <c:invertIfNegative val="0"/>
          <c:dPt>
            <c:idx val="0"/>
            <c:invertIfNegative val="0"/>
            <c:bubble3D val="0"/>
            <c:extLst>
              <c:ext xmlns:c16="http://schemas.microsoft.com/office/drawing/2014/chart" uri="{C3380CC4-5D6E-409C-BE32-E72D297353CC}">
                <c16:uniqueId val="{0000018B-81B5-40D4-8D7F-08B7B39063BB}"/>
              </c:ext>
            </c:extLst>
          </c:dPt>
          <c:dPt>
            <c:idx val="1"/>
            <c:invertIfNegative val="0"/>
            <c:bubble3D val="0"/>
            <c:extLst>
              <c:ext xmlns:c16="http://schemas.microsoft.com/office/drawing/2014/chart" uri="{C3380CC4-5D6E-409C-BE32-E72D297353CC}">
                <c16:uniqueId val="{0000018C-81B5-40D4-8D7F-08B7B39063BB}"/>
              </c:ext>
            </c:extLst>
          </c:dPt>
          <c:dPt>
            <c:idx val="2"/>
            <c:invertIfNegative val="0"/>
            <c:bubble3D val="0"/>
            <c:extLst>
              <c:ext xmlns:c16="http://schemas.microsoft.com/office/drawing/2014/chart" uri="{C3380CC4-5D6E-409C-BE32-E72D297353CC}">
                <c16:uniqueId val="{0000018D-81B5-40D4-8D7F-08B7B39063BB}"/>
              </c:ext>
            </c:extLst>
          </c:dPt>
          <c:dPt>
            <c:idx val="3"/>
            <c:invertIfNegative val="0"/>
            <c:bubble3D val="0"/>
            <c:extLst>
              <c:ext xmlns:c16="http://schemas.microsoft.com/office/drawing/2014/chart" uri="{C3380CC4-5D6E-409C-BE32-E72D297353CC}">
                <c16:uniqueId val="{0000018E-81B5-40D4-8D7F-08B7B39063BB}"/>
              </c:ext>
            </c:extLst>
          </c:dPt>
          <c:dPt>
            <c:idx val="4"/>
            <c:invertIfNegative val="0"/>
            <c:bubble3D val="0"/>
            <c:extLst>
              <c:ext xmlns:c16="http://schemas.microsoft.com/office/drawing/2014/chart" uri="{C3380CC4-5D6E-409C-BE32-E72D297353CC}">
                <c16:uniqueId val="{0000018F-81B5-40D4-8D7F-08B7B39063BB}"/>
              </c:ext>
            </c:extLst>
          </c:dPt>
          <c:dPt>
            <c:idx val="5"/>
            <c:invertIfNegative val="0"/>
            <c:bubble3D val="0"/>
            <c:extLst>
              <c:ext xmlns:c16="http://schemas.microsoft.com/office/drawing/2014/chart" uri="{C3380CC4-5D6E-409C-BE32-E72D297353CC}">
                <c16:uniqueId val="{00000190-81B5-40D4-8D7F-08B7B39063BB}"/>
              </c:ext>
            </c:extLst>
          </c:dPt>
          <c:dPt>
            <c:idx val="6"/>
            <c:invertIfNegative val="0"/>
            <c:bubble3D val="0"/>
            <c:extLst>
              <c:ext xmlns:c16="http://schemas.microsoft.com/office/drawing/2014/chart" uri="{C3380CC4-5D6E-409C-BE32-E72D297353CC}">
                <c16:uniqueId val="{00000191-81B5-40D4-8D7F-08B7B39063BB}"/>
              </c:ext>
            </c:extLst>
          </c:dPt>
          <c:dPt>
            <c:idx val="7"/>
            <c:invertIfNegative val="0"/>
            <c:bubble3D val="0"/>
            <c:extLst>
              <c:ext xmlns:c16="http://schemas.microsoft.com/office/drawing/2014/chart" uri="{C3380CC4-5D6E-409C-BE32-E72D297353CC}">
                <c16:uniqueId val="{00000192-81B5-40D4-8D7F-08B7B39063BB}"/>
              </c:ext>
            </c:extLst>
          </c:dPt>
          <c:dPt>
            <c:idx val="8"/>
            <c:invertIfNegative val="0"/>
            <c:bubble3D val="0"/>
            <c:extLst>
              <c:ext xmlns:c16="http://schemas.microsoft.com/office/drawing/2014/chart" uri="{C3380CC4-5D6E-409C-BE32-E72D297353CC}">
                <c16:uniqueId val="{00000193-81B5-40D4-8D7F-08B7B39063BB}"/>
              </c:ext>
            </c:extLst>
          </c:dPt>
          <c:dPt>
            <c:idx val="9"/>
            <c:invertIfNegative val="0"/>
            <c:bubble3D val="0"/>
            <c:extLst>
              <c:ext xmlns:c16="http://schemas.microsoft.com/office/drawing/2014/chart" uri="{C3380CC4-5D6E-409C-BE32-E72D297353CC}">
                <c16:uniqueId val="{00000194-81B5-40D4-8D7F-08B7B39063BB}"/>
              </c:ext>
            </c:extLst>
          </c:dPt>
          <c:dPt>
            <c:idx val="10"/>
            <c:invertIfNegative val="0"/>
            <c:bubble3D val="0"/>
            <c:extLst>
              <c:ext xmlns:c16="http://schemas.microsoft.com/office/drawing/2014/chart" uri="{C3380CC4-5D6E-409C-BE32-E72D297353CC}">
                <c16:uniqueId val="{00000195-81B5-40D4-8D7F-08B7B39063BB}"/>
              </c:ext>
            </c:extLst>
          </c:dPt>
          <c:dPt>
            <c:idx val="11"/>
            <c:invertIfNegative val="0"/>
            <c:bubble3D val="0"/>
            <c:extLst>
              <c:ext xmlns:c16="http://schemas.microsoft.com/office/drawing/2014/chart" uri="{C3380CC4-5D6E-409C-BE32-E72D297353CC}">
                <c16:uniqueId val="{00000196-81B5-40D4-8D7F-08B7B39063BB}"/>
              </c:ext>
            </c:extLst>
          </c:dPt>
          <c:dPt>
            <c:idx val="12"/>
            <c:invertIfNegative val="0"/>
            <c:bubble3D val="0"/>
            <c:extLst>
              <c:ext xmlns:c16="http://schemas.microsoft.com/office/drawing/2014/chart" uri="{C3380CC4-5D6E-409C-BE32-E72D297353CC}">
                <c16:uniqueId val="{00000197-81B5-40D4-8D7F-08B7B39063BB}"/>
              </c:ext>
            </c:extLst>
          </c:dPt>
          <c:dPt>
            <c:idx val="13"/>
            <c:invertIfNegative val="0"/>
            <c:bubble3D val="0"/>
            <c:extLst>
              <c:ext xmlns:c16="http://schemas.microsoft.com/office/drawing/2014/chart" uri="{C3380CC4-5D6E-409C-BE32-E72D297353CC}">
                <c16:uniqueId val="{00000198-81B5-40D4-8D7F-08B7B39063BB}"/>
              </c:ext>
            </c:extLst>
          </c:dPt>
          <c:dPt>
            <c:idx val="14"/>
            <c:invertIfNegative val="0"/>
            <c:bubble3D val="0"/>
            <c:extLst>
              <c:ext xmlns:c16="http://schemas.microsoft.com/office/drawing/2014/chart" uri="{C3380CC4-5D6E-409C-BE32-E72D297353CC}">
                <c16:uniqueId val="{00000199-81B5-40D4-8D7F-08B7B39063BB}"/>
              </c:ext>
            </c:extLst>
          </c:dPt>
          <c:dPt>
            <c:idx val="15"/>
            <c:invertIfNegative val="0"/>
            <c:bubble3D val="0"/>
            <c:extLst>
              <c:ext xmlns:c16="http://schemas.microsoft.com/office/drawing/2014/chart" uri="{C3380CC4-5D6E-409C-BE32-E72D297353CC}">
                <c16:uniqueId val="{0000019A-81B5-40D4-8D7F-08B7B39063BB}"/>
              </c:ext>
            </c:extLst>
          </c:dPt>
          <c:dPt>
            <c:idx val="16"/>
            <c:invertIfNegative val="0"/>
            <c:bubble3D val="0"/>
            <c:extLst>
              <c:ext xmlns:c16="http://schemas.microsoft.com/office/drawing/2014/chart" uri="{C3380CC4-5D6E-409C-BE32-E72D297353CC}">
                <c16:uniqueId val="{0000019B-81B5-40D4-8D7F-08B7B39063BB}"/>
              </c:ext>
            </c:extLst>
          </c:dPt>
          <c:dPt>
            <c:idx val="17"/>
            <c:invertIfNegative val="0"/>
            <c:bubble3D val="0"/>
            <c:extLst>
              <c:ext xmlns:c16="http://schemas.microsoft.com/office/drawing/2014/chart" uri="{C3380CC4-5D6E-409C-BE32-E72D297353CC}">
                <c16:uniqueId val="{0000019C-81B5-40D4-8D7F-08B7B39063BB}"/>
              </c:ext>
            </c:extLst>
          </c:dPt>
          <c:dPt>
            <c:idx val="18"/>
            <c:invertIfNegative val="0"/>
            <c:bubble3D val="0"/>
            <c:extLst>
              <c:ext xmlns:c16="http://schemas.microsoft.com/office/drawing/2014/chart" uri="{C3380CC4-5D6E-409C-BE32-E72D297353CC}">
                <c16:uniqueId val="{0000019D-81B5-40D4-8D7F-08B7B39063BB}"/>
              </c:ext>
            </c:extLst>
          </c:dPt>
          <c:dPt>
            <c:idx val="19"/>
            <c:invertIfNegative val="0"/>
            <c:bubble3D val="0"/>
            <c:extLst>
              <c:ext xmlns:c16="http://schemas.microsoft.com/office/drawing/2014/chart" uri="{C3380CC4-5D6E-409C-BE32-E72D297353CC}">
                <c16:uniqueId val="{0000019E-81B5-40D4-8D7F-08B7B39063BB}"/>
              </c:ext>
            </c:extLst>
          </c:dPt>
          <c:dPt>
            <c:idx val="20"/>
            <c:invertIfNegative val="0"/>
            <c:bubble3D val="0"/>
            <c:extLst>
              <c:ext xmlns:c16="http://schemas.microsoft.com/office/drawing/2014/chart" uri="{C3380CC4-5D6E-409C-BE32-E72D297353CC}">
                <c16:uniqueId val="{0000019F-81B5-40D4-8D7F-08B7B39063BB}"/>
              </c:ext>
            </c:extLst>
          </c:dPt>
          <c:dPt>
            <c:idx val="21"/>
            <c:invertIfNegative val="0"/>
            <c:bubble3D val="0"/>
            <c:extLst>
              <c:ext xmlns:c16="http://schemas.microsoft.com/office/drawing/2014/chart" uri="{C3380CC4-5D6E-409C-BE32-E72D297353CC}">
                <c16:uniqueId val="{000001A0-81B5-40D4-8D7F-08B7B39063BB}"/>
              </c:ext>
            </c:extLst>
          </c:dPt>
          <c:dPt>
            <c:idx val="22"/>
            <c:invertIfNegative val="0"/>
            <c:bubble3D val="0"/>
            <c:extLst>
              <c:ext xmlns:c16="http://schemas.microsoft.com/office/drawing/2014/chart" uri="{C3380CC4-5D6E-409C-BE32-E72D297353CC}">
                <c16:uniqueId val="{000001A1-81B5-40D4-8D7F-08B7B39063BB}"/>
              </c:ext>
            </c:extLst>
          </c:dPt>
          <c:dPt>
            <c:idx val="23"/>
            <c:invertIfNegative val="0"/>
            <c:bubble3D val="0"/>
            <c:extLst>
              <c:ext xmlns:c16="http://schemas.microsoft.com/office/drawing/2014/chart" uri="{C3380CC4-5D6E-409C-BE32-E72D297353CC}">
                <c16:uniqueId val="{000001A2-81B5-40D4-8D7F-08B7B39063BB}"/>
              </c:ext>
            </c:extLst>
          </c:dPt>
          <c:dPt>
            <c:idx val="24"/>
            <c:invertIfNegative val="0"/>
            <c:bubble3D val="0"/>
            <c:extLst>
              <c:ext xmlns:c16="http://schemas.microsoft.com/office/drawing/2014/chart" uri="{C3380CC4-5D6E-409C-BE32-E72D297353CC}">
                <c16:uniqueId val="{000001A3-81B5-40D4-8D7F-08B7B39063BB}"/>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Data'!$B$6:$W$6</c:f>
              <c:numCache>
                <c:formatCode>#,##0_ ;\-#,##0\ </c:formatCode>
                <c:ptCount val="22"/>
                <c:pt idx="0">
                  <c:v>0</c:v>
                </c:pt>
                <c:pt idx="1">
                  <c:v>0</c:v>
                </c:pt>
                <c:pt idx="2">
                  <c:v>0</c:v>
                </c:pt>
                <c:pt idx="3">
                  <c:v>0</c:v>
                </c:pt>
                <c:pt idx="4">
                  <c:v>0</c:v>
                </c:pt>
                <c:pt idx="5">
                  <c:v>0</c:v>
                </c:pt>
                <c:pt idx="6">
                  <c:v>-1462</c:v>
                </c:pt>
                <c:pt idx="7">
                  <c:v>-1462</c:v>
                </c:pt>
                <c:pt idx="8">
                  <c:v>-1462</c:v>
                </c:pt>
                <c:pt idx="9">
                  <c:v>-1462</c:v>
                </c:pt>
                <c:pt idx="10">
                  <c:v>-1462</c:v>
                </c:pt>
                <c:pt idx="11">
                  <c:v>-1462</c:v>
                </c:pt>
                <c:pt idx="12">
                  <c:v>-1462</c:v>
                </c:pt>
                <c:pt idx="13">
                  <c:v>-1972</c:v>
                </c:pt>
                <c:pt idx="14">
                  <c:v>-1972</c:v>
                </c:pt>
                <c:pt idx="15">
                  <c:v>-1972</c:v>
                </c:pt>
                <c:pt idx="16">
                  <c:v>-1972</c:v>
                </c:pt>
                <c:pt idx="17">
                  <c:v>-1972</c:v>
                </c:pt>
                <c:pt idx="18">
                  <c:v>-1972</c:v>
                </c:pt>
                <c:pt idx="19">
                  <c:v>-1972</c:v>
                </c:pt>
                <c:pt idx="20">
                  <c:v>-1972</c:v>
                </c:pt>
                <c:pt idx="21">
                  <c:v>-1972</c:v>
                </c:pt>
              </c:numCache>
            </c:numRef>
          </c:val>
          <c:extLst>
            <c:ext xmlns:c16="http://schemas.microsoft.com/office/drawing/2014/chart" uri="{C3380CC4-5D6E-409C-BE32-E72D297353CC}">
              <c16:uniqueId val="{000001A4-81B5-40D4-8D7F-08B7B39063BB}"/>
            </c:ext>
          </c:extLst>
        </c:ser>
        <c:ser>
          <c:idx val="4"/>
          <c:order val="4"/>
          <c:tx>
            <c:strRef>
              <c:f>'NewAndRetiredCapacity Data'!$A$7</c:f>
              <c:strCache>
                <c:ptCount val="1"/>
                <c:pt idx="0">
                  <c:v>Peaking gas + liquids</c:v>
                </c:pt>
              </c:strCache>
            </c:strRef>
          </c:tx>
          <c:spPr>
            <a:solidFill>
              <a:srgbClr val="C41230"/>
            </a:solidFill>
            <a:ln>
              <a:noFill/>
            </a:ln>
            <a:effectLst/>
          </c:spPr>
          <c:invertIfNegative val="0"/>
          <c:dPt>
            <c:idx val="0"/>
            <c:invertIfNegative val="0"/>
            <c:bubble3D val="0"/>
            <c:extLst>
              <c:ext xmlns:c16="http://schemas.microsoft.com/office/drawing/2014/chart" uri="{C3380CC4-5D6E-409C-BE32-E72D297353CC}">
                <c16:uniqueId val="{000001A6-81B5-40D4-8D7F-08B7B39063BB}"/>
              </c:ext>
            </c:extLst>
          </c:dPt>
          <c:dPt>
            <c:idx val="1"/>
            <c:invertIfNegative val="0"/>
            <c:bubble3D val="0"/>
            <c:extLst>
              <c:ext xmlns:c16="http://schemas.microsoft.com/office/drawing/2014/chart" uri="{C3380CC4-5D6E-409C-BE32-E72D297353CC}">
                <c16:uniqueId val="{000001A7-81B5-40D4-8D7F-08B7B39063BB}"/>
              </c:ext>
            </c:extLst>
          </c:dPt>
          <c:dPt>
            <c:idx val="2"/>
            <c:invertIfNegative val="0"/>
            <c:bubble3D val="0"/>
            <c:extLst>
              <c:ext xmlns:c16="http://schemas.microsoft.com/office/drawing/2014/chart" uri="{C3380CC4-5D6E-409C-BE32-E72D297353CC}">
                <c16:uniqueId val="{000001A8-81B5-40D4-8D7F-08B7B39063BB}"/>
              </c:ext>
            </c:extLst>
          </c:dPt>
          <c:dPt>
            <c:idx val="3"/>
            <c:invertIfNegative val="0"/>
            <c:bubble3D val="0"/>
            <c:extLst>
              <c:ext xmlns:c16="http://schemas.microsoft.com/office/drawing/2014/chart" uri="{C3380CC4-5D6E-409C-BE32-E72D297353CC}">
                <c16:uniqueId val="{000001A9-81B5-40D4-8D7F-08B7B39063BB}"/>
              </c:ext>
            </c:extLst>
          </c:dPt>
          <c:dPt>
            <c:idx val="4"/>
            <c:invertIfNegative val="0"/>
            <c:bubble3D val="0"/>
            <c:extLst>
              <c:ext xmlns:c16="http://schemas.microsoft.com/office/drawing/2014/chart" uri="{C3380CC4-5D6E-409C-BE32-E72D297353CC}">
                <c16:uniqueId val="{000001AA-81B5-40D4-8D7F-08B7B39063BB}"/>
              </c:ext>
            </c:extLst>
          </c:dPt>
          <c:dPt>
            <c:idx val="5"/>
            <c:invertIfNegative val="0"/>
            <c:bubble3D val="0"/>
            <c:extLst>
              <c:ext xmlns:c16="http://schemas.microsoft.com/office/drawing/2014/chart" uri="{C3380CC4-5D6E-409C-BE32-E72D297353CC}">
                <c16:uniqueId val="{000001AB-81B5-40D4-8D7F-08B7B39063BB}"/>
              </c:ext>
            </c:extLst>
          </c:dPt>
          <c:dPt>
            <c:idx val="6"/>
            <c:invertIfNegative val="0"/>
            <c:bubble3D val="0"/>
            <c:extLst>
              <c:ext xmlns:c16="http://schemas.microsoft.com/office/drawing/2014/chart" uri="{C3380CC4-5D6E-409C-BE32-E72D297353CC}">
                <c16:uniqueId val="{000001AC-81B5-40D4-8D7F-08B7B39063BB}"/>
              </c:ext>
            </c:extLst>
          </c:dPt>
          <c:dPt>
            <c:idx val="7"/>
            <c:invertIfNegative val="0"/>
            <c:bubble3D val="0"/>
            <c:extLst>
              <c:ext xmlns:c16="http://schemas.microsoft.com/office/drawing/2014/chart" uri="{C3380CC4-5D6E-409C-BE32-E72D297353CC}">
                <c16:uniqueId val="{000001AD-81B5-40D4-8D7F-08B7B39063BB}"/>
              </c:ext>
            </c:extLst>
          </c:dPt>
          <c:dPt>
            <c:idx val="8"/>
            <c:invertIfNegative val="0"/>
            <c:bubble3D val="0"/>
            <c:extLst>
              <c:ext xmlns:c16="http://schemas.microsoft.com/office/drawing/2014/chart" uri="{C3380CC4-5D6E-409C-BE32-E72D297353CC}">
                <c16:uniqueId val="{000001AE-81B5-40D4-8D7F-08B7B39063BB}"/>
              </c:ext>
            </c:extLst>
          </c:dPt>
          <c:dPt>
            <c:idx val="9"/>
            <c:invertIfNegative val="0"/>
            <c:bubble3D val="0"/>
            <c:extLst>
              <c:ext xmlns:c16="http://schemas.microsoft.com/office/drawing/2014/chart" uri="{C3380CC4-5D6E-409C-BE32-E72D297353CC}">
                <c16:uniqueId val="{000001AF-81B5-40D4-8D7F-08B7B39063BB}"/>
              </c:ext>
            </c:extLst>
          </c:dPt>
          <c:dPt>
            <c:idx val="10"/>
            <c:invertIfNegative val="0"/>
            <c:bubble3D val="0"/>
            <c:extLst>
              <c:ext xmlns:c16="http://schemas.microsoft.com/office/drawing/2014/chart" uri="{C3380CC4-5D6E-409C-BE32-E72D297353CC}">
                <c16:uniqueId val="{000001B0-81B5-40D4-8D7F-08B7B39063BB}"/>
              </c:ext>
            </c:extLst>
          </c:dPt>
          <c:dPt>
            <c:idx val="11"/>
            <c:invertIfNegative val="0"/>
            <c:bubble3D val="0"/>
            <c:extLst>
              <c:ext xmlns:c16="http://schemas.microsoft.com/office/drawing/2014/chart" uri="{C3380CC4-5D6E-409C-BE32-E72D297353CC}">
                <c16:uniqueId val="{000001B1-81B5-40D4-8D7F-08B7B39063BB}"/>
              </c:ext>
            </c:extLst>
          </c:dPt>
          <c:dPt>
            <c:idx val="12"/>
            <c:invertIfNegative val="0"/>
            <c:bubble3D val="0"/>
            <c:extLst>
              <c:ext xmlns:c16="http://schemas.microsoft.com/office/drawing/2014/chart" uri="{C3380CC4-5D6E-409C-BE32-E72D297353CC}">
                <c16:uniqueId val="{000001B2-81B5-40D4-8D7F-08B7B39063BB}"/>
              </c:ext>
            </c:extLst>
          </c:dPt>
          <c:dPt>
            <c:idx val="13"/>
            <c:invertIfNegative val="0"/>
            <c:bubble3D val="0"/>
            <c:extLst>
              <c:ext xmlns:c16="http://schemas.microsoft.com/office/drawing/2014/chart" uri="{C3380CC4-5D6E-409C-BE32-E72D297353CC}">
                <c16:uniqueId val="{000001B3-81B5-40D4-8D7F-08B7B39063BB}"/>
              </c:ext>
            </c:extLst>
          </c:dPt>
          <c:dPt>
            <c:idx val="14"/>
            <c:invertIfNegative val="0"/>
            <c:bubble3D val="0"/>
            <c:extLst>
              <c:ext xmlns:c16="http://schemas.microsoft.com/office/drawing/2014/chart" uri="{C3380CC4-5D6E-409C-BE32-E72D297353CC}">
                <c16:uniqueId val="{000001B4-81B5-40D4-8D7F-08B7B39063BB}"/>
              </c:ext>
            </c:extLst>
          </c:dPt>
          <c:dPt>
            <c:idx val="15"/>
            <c:invertIfNegative val="0"/>
            <c:bubble3D val="0"/>
            <c:extLst>
              <c:ext xmlns:c16="http://schemas.microsoft.com/office/drawing/2014/chart" uri="{C3380CC4-5D6E-409C-BE32-E72D297353CC}">
                <c16:uniqueId val="{000001B5-81B5-40D4-8D7F-08B7B39063BB}"/>
              </c:ext>
            </c:extLst>
          </c:dPt>
          <c:dPt>
            <c:idx val="16"/>
            <c:invertIfNegative val="0"/>
            <c:bubble3D val="0"/>
            <c:extLst>
              <c:ext xmlns:c16="http://schemas.microsoft.com/office/drawing/2014/chart" uri="{C3380CC4-5D6E-409C-BE32-E72D297353CC}">
                <c16:uniqueId val="{000001B6-81B5-40D4-8D7F-08B7B39063BB}"/>
              </c:ext>
            </c:extLst>
          </c:dPt>
          <c:dPt>
            <c:idx val="17"/>
            <c:invertIfNegative val="0"/>
            <c:bubble3D val="0"/>
            <c:extLst>
              <c:ext xmlns:c16="http://schemas.microsoft.com/office/drawing/2014/chart" uri="{C3380CC4-5D6E-409C-BE32-E72D297353CC}">
                <c16:uniqueId val="{000001B7-81B5-40D4-8D7F-08B7B39063BB}"/>
              </c:ext>
            </c:extLst>
          </c:dPt>
          <c:dPt>
            <c:idx val="18"/>
            <c:invertIfNegative val="0"/>
            <c:bubble3D val="0"/>
            <c:extLst>
              <c:ext xmlns:c16="http://schemas.microsoft.com/office/drawing/2014/chart" uri="{C3380CC4-5D6E-409C-BE32-E72D297353CC}">
                <c16:uniqueId val="{000001B8-81B5-40D4-8D7F-08B7B39063BB}"/>
              </c:ext>
            </c:extLst>
          </c:dPt>
          <c:dPt>
            <c:idx val="19"/>
            <c:invertIfNegative val="0"/>
            <c:bubble3D val="0"/>
            <c:extLst>
              <c:ext xmlns:c16="http://schemas.microsoft.com/office/drawing/2014/chart" uri="{C3380CC4-5D6E-409C-BE32-E72D297353CC}">
                <c16:uniqueId val="{000001B9-81B5-40D4-8D7F-08B7B39063BB}"/>
              </c:ext>
            </c:extLst>
          </c:dPt>
          <c:dPt>
            <c:idx val="20"/>
            <c:invertIfNegative val="0"/>
            <c:bubble3D val="0"/>
            <c:extLst>
              <c:ext xmlns:c16="http://schemas.microsoft.com/office/drawing/2014/chart" uri="{C3380CC4-5D6E-409C-BE32-E72D297353CC}">
                <c16:uniqueId val="{000001BA-81B5-40D4-8D7F-08B7B39063BB}"/>
              </c:ext>
            </c:extLst>
          </c:dPt>
          <c:dPt>
            <c:idx val="21"/>
            <c:invertIfNegative val="0"/>
            <c:bubble3D val="0"/>
            <c:extLst>
              <c:ext xmlns:c16="http://schemas.microsoft.com/office/drawing/2014/chart" uri="{C3380CC4-5D6E-409C-BE32-E72D297353CC}">
                <c16:uniqueId val="{000001BB-81B5-40D4-8D7F-08B7B39063BB}"/>
              </c:ext>
            </c:extLst>
          </c:dPt>
          <c:dPt>
            <c:idx val="22"/>
            <c:invertIfNegative val="0"/>
            <c:bubble3D val="0"/>
            <c:extLst>
              <c:ext xmlns:c16="http://schemas.microsoft.com/office/drawing/2014/chart" uri="{C3380CC4-5D6E-409C-BE32-E72D297353CC}">
                <c16:uniqueId val="{000001BC-81B5-40D4-8D7F-08B7B39063BB}"/>
              </c:ext>
            </c:extLst>
          </c:dPt>
          <c:dPt>
            <c:idx val="23"/>
            <c:invertIfNegative val="0"/>
            <c:bubble3D val="0"/>
            <c:extLst>
              <c:ext xmlns:c16="http://schemas.microsoft.com/office/drawing/2014/chart" uri="{C3380CC4-5D6E-409C-BE32-E72D297353CC}">
                <c16:uniqueId val="{000001BD-81B5-40D4-8D7F-08B7B39063BB}"/>
              </c:ext>
            </c:extLst>
          </c:dPt>
          <c:dPt>
            <c:idx val="24"/>
            <c:invertIfNegative val="0"/>
            <c:bubble3D val="0"/>
            <c:extLst>
              <c:ext xmlns:c16="http://schemas.microsoft.com/office/drawing/2014/chart" uri="{C3380CC4-5D6E-409C-BE32-E72D297353CC}">
                <c16:uniqueId val="{000001BE-81B5-40D4-8D7F-08B7B39063BB}"/>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Data'!$B$7:$W$7</c:f>
              <c:numCache>
                <c:formatCode>#,##0_ ;\-#,##0\ </c:formatCode>
                <c:ptCount val="22"/>
                <c:pt idx="0">
                  <c:v>0</c:v>
                </c:pt>
                <c:pt idx="1">
                  <c:v>-24</c:v>
                </c:pt>
                <c:pt idx="2">
                  <c:v>-24</c:v>
                </c:pt>
                <c:pt idx="3">
                  <c:v>-298</c:v>
                </c:pt>
                <c:pt idx="4">
                  <c:v>3.0935719999997673</c:v>
                </c:pt>
                <c:pt idx="5">
                  <c:v>3.0935719999997673</c:v>
                </c:pt>
                <c:pt idx="6">
                  <c:v>3.0935719999997673</c:v>
                </c:pt>
                <c:pt idx="7">
                  <c:v>3.0935719999997673</c:v>
                </c:pt>
                <c:pt idx="8">
                  <c:v>3.0935719999997673</c:v>
                </c:pt>
                <c:pt idx="9">
                  <c:v>3.0935719999997673</c:v>
                </c:pt>
                <c:pt idx="10">
                  <c:v>3.0935719999997673</c:v>
                </c:pt>
                <c:pt idx="11">
                  <c:v>3.0935719999997673</c:v>
                </c:pt>
                <c:pt idx="12">
                  <c:v>3.0935719999997673</c:v>
                </c:pt>
                <c:pt idx="13">
                  <c:v>3.0935719999997673</c:v>
                </c:pt>
                <c:pt idx="14">
                  <c:v>3.0935719999997673</c:v>
                </c:pt>
                <c:pt idx="15">
                  <c:v>3.0935719999997673</c:v>
                </c:pt>
                <c:pt idx="16">
                  <c:v>3.0935719999997673</c:v>
                </c:pt>
                <c:pt idx="17">
                  <c:v>3.0935719999997673</c:v>
                </c:pt>
                <c:pt idx="18">
                  <c:v>3.0935719999997673</c:v>
                </c:pt>
                <c:pt idx="19">
                  <c:v>3.0935719999997673</c:v>
                </c:pt>
                <c:pt idx="20">
                  <c:v>3.0935719999997673</c:v>
                </c:pt>
                <c:pt idx="21">
                  <c:v>3.0935719999997673</c:v>
                </c:pt>
              </c:numCache>
            </c:numRef>
          </c:val>
          <c:extLst>
            <c:ext xmlns:c16="http://schemas.microsoft.com/office/drawing/2014/chart" uri="{C3380CC4-5D6E-409C-BE32-E72D297353CC}">
              <c16:uniqueId val="{000001BF-81B5-40D4-8D7F-08B7B39063BB}"/>
            </c:ext>
          </c:extLst>
        </c:ser>
        <c:ser>
          <c:idx val="8"/>
          <c:order val="5"/>
          <c:tx>
            <c:strRef>
              <c:f>'NewAndRetiredCapacity Data'!$A$8</c:f>
              <c:strCache>
                <c:ptCount val="1"/>
                <c:pt idx="0">
                  <c:v>Wind</c:v>
                </c:pt>
              </c:strCache>
            </c:strRef>
          </c:tx>
          <c:spPr>
            <a:solidFill>
              <a:srgbClr val="339933"/>
            </a:solidFill>
            <a:ln>
              <a:noFill/>
            </a:ln>
            <a:effectLst/>
          </c:spPr>
          <c:invertIfNegative val="0"/>
          <c:dPt>
            <c:idx val="0"/>
            <c:invertIfNegative val="0"/>
            <c:bubble3D val="0"/>
            <c:extLst>
              <c:ext xmlns:c16="http://schemas.microsoft.com/office/drawing/2014/chart" uri="{C3380CC4-5D6E-409C-BE32-E72D297353CC}">
                <c16:uniqueId val="{000001C1-81B5-40D4-8D7F-08B7B39063BB}"/>
              </c:ext>
            </c:extLst>
          </c:dPt>
          <c:dPt>
            <c:idx val="1"/>
            <c:invertIfNegative val="0"/>
            <c:bubble3D val="0"/>
            <c:extLst>
              <c:ext xmlns:c16="http://schemas.microsoft.com/office/drawing/2014/chart" uri="{C3380CC4-5D6E-409C-BE32-E72D297353CC}">
                <c16:uniqueId val="{000001C2-81B5-40D4-8D7F-08B7B39063BB}"/>
              </c:ext>
            </c:extLst>
          </c:dPt>
          <c:dPt>
            <c:idx val="2"/>
            <c:invertIfNegative val="0"/>
            <c:bubble3D val="0"/>
            <c:extLst>
              <c:ext xmlns:c16="http://schemas.microsoft.com/office/drawing/2014/chart" uri="{C3380CC4-5D6E-409C-BE32-E72D297353CC}">
                <c16:uniqueId val="{000001C3-81B5-40D4-8D7F-08B7B39063BB}"/>
              </c:ext>
            </c:extLst>
          </c:dPt>
          <c:dPt>
            <c:idx val="3"/>
            <c:invertIfNegative val="0"/>
            <c:bubble3D val="0"/>
            <c:extLst>
              <c:ext xmlns:c16="http://schemas.microsoft.com/office/drawing/2014/chart" uri="{C3380CC4-5D6E-409C-BE32-E72D297353CC}">
                <c16:uniqueId val="{000001C4-81B5-40D4-8D7F-08B7B39063BB}"/>
              </c:ext>
            </c:extLst>
          </c:dPt>
          <c:dPt>
            <c:idx val="4"/>
            <c:invertIfNegative val="0"/>
            <c:bubble3D val="0"/>
            <c:extLst>
              <c:ext xmlns:c16="http://schemas.microsoft.com/office/drawing/2014/chart" uri="{C3380CC4-5D6E-409C-BE32-E72D297353CC}">
                <c16:uniqueId val="{000001C5-81B5-40D4-8D7F-08B7B39063BB}"/>
              </c:ext>
            </c:extLst>
          </c:dPt>
          <c:dPt>
            <c:idx val="5"/>
            <c:invertIfNegative val="0"/>
            <c:bubble3D val="0"/>
            <c:extLst>
              <c:ext xmlns:c16="http://schemas.microsoft.com/office/drawing/2014/chart" uri="{C3380CC4-5D6E-409C-BE32-E72D297353CC}">
                <c16:uniqueId val="{000001C6-81B5-40D4-8D7F-08B7B39063BB}"/>
              </c:ext>
            </c:extLst>
          </c:dPt>
          <c:dPt>
            <c:idx val="6"/>
            <c:invertIfNegative val="0"/>
            <c:bubble3D val="0"/>
            <c:extLst>
              <c:ext xmlns:c16="http://schemas.microsoft.com/office/drawing/2014/chart" uri="{C3380CC4-5D6E-409C-BE32-E72D297353CC}">
                <c16:uniqueId val="{000001C7-81B5-40D4-8D7F-08B7B39063BB}"/>
              </c:ext>
            </c:extLst>
          </c:dPt>
          <c:dPt>
            <c:idx val="7"/>
            <c:invertIfNegative val="0"/>
            <c:bubble3D val="0"/>
            <c:extLst>
              <c:ext xmlns:c16="http://schemas.microsoft.com/office/drawing/2014/chart" uri="{C3380CC4-5D6E-409C-BE32-E72D297353CC}">
                <c16:uniqueId val="{000001C8-81B5-40D4-8D7F-08B7B39063BB}"/>
              </c:ext>
            </c:extLst>
          </c:dPt>
          <c:dPt>
            <c:idx val="8"/>
            <c:invertIfNegative val="0"/>
            <c:bubble3D val="0"/>
            <c:extLst>
              <c:ext xmlns:c16="http://schemas.microsoft.com/office/drawing/2014/chart" uri="{C3380CC4-5D6E-409C-BE32-E72D297353CC}">
                <c16:uniqueId val="{000001C9-81B5-40D4-8D7F-08B7B39063BB}"/>
              </c:ext>
            </c:extLst>
          </c:dPt>
          <c:dPt>
            <c:idx val="9"/>
            <c:invertIfNegative val="0"/>
            <c:bubble3D val="0"/>
            <c:extLst>
              <c:ext xmlns:c16="http://schemas.microsoft.com/office/drawing/2014/chart" uri="{C3380CC4-5D6E-409C-BE32-E72D297353CC}">
                <c16:uniqueId val="{000001CA-81B5-40D4-8D7F-08B7B39063BB}"/>
              </c:ext>
            </c:extLst>
          </c:dPt>
          <c:dPt>
            <c:idx val="10"/>
            <c:invertIfNegative val="0"/>
            <c:bubble3D val="0"/>
            <c:extLst>
              <c:ext xmlns:c16="http://schemas.microsoft.com/office/drawing/2014/chart" uri="{C3380CC4-5D6E-409C-BE32-E72D297353CC}">
                <c16:uniqueId val="{000001CB-81B5-40D4-8D7F-08B7B39063BB}"/>
              </c:ext>
            </c:extLst>
          </c:dPt>
          <c:dPt>
            <c:idx val="11"/>
            <c:invertIfNegative val="0"/>
            <c:bubble3D val="0"/>
            <c:extLst>
              <c:ext xmlns:c16="http://schemas.microsoft.com/office/drawing/2014/chart" uri="{C3380CC4-5D6E-409C-BE32-E72D297353CC}">
                <c16:uniqueId val="{000001CC-81B5-40D4-8D7F-08B7B39063BB}"/>
              </c:ext>
            </c:extLst>
          </c:dPt>
          <c:dPt>
            <c:idx val="12"/>
            <c:invertIfNegative val="0"/>
            <c:bubble3D val="0"/>
            <c:extLst>
              <c:ext xmlns:c16="http://schemas.microsoft.com/office/drawing/2014/chart" uri="{C3380CC4-5D6E-409C-BE32-E72D297353CC}">
                <c16:uniqueId val="{000001CD-81B5-40D4-8D7F-08B7B39063BB}"/>
              </c:ext>
            </c:extLst>
          </c:dPt>
          <c:dPt>
            <c:idx val="13"/>
            <c:invertIfNegative val="0"/>
            <c:bubble3D val="0"/>
            <c:extLst>
              <c:ext xmlns:c16="http://schemas.microsoft.com/office/drawing/2014/chart" uri="{C3380CC4-5D6E-409C-BE32-E72D297353CC}">
                <c16:uniqueId val="{000001CE-81B5-40D4-8D7F-08B7B39063BB}"/>
              </c:ext>
            </c:extLst>
          </c:dPt>
          <c:dPt>
            <c:idx val="14"/>
            <c:invertIfNegative val="0"/>
            <c:bubble3D val="0"/>
            <c:extLst>
              <c:ext xmlns:c16="http://schemas.microsoft.com/office/drawing/2014/chart" uri="{C3380CC4-5D6E-409C-BE32-E72D297353CC}">
                <c16:uniqueId val="{000001CF-81B5-40D4-8D7F-08B7B39063BB}"/>
              </c:ext>
            </c:extLst>
          </c:dPt>
          <c:dPt>
            <c:idx val="15"/>
            <c:invertIfNegative val="0"/>
            <c:bubble3D val="0"/>
            <c:extLst>
              <c:ext xmlns:c16="http://schemas.microsoft.com/office/drawing/2014/chart" uri="{C3380CC4-5D6E-409C-BE32-E72D297353CC}">
                <c16:uniqueId val="{000001D0-81B5-40D4-8D7F-08B7B39063BB}"/>
              </c:ext>
            </c:extLst>
          </c:dPt>
          <c:dPt>
            <c:idx val="16"/>
            <c:invertIfNegative val="0"/>
            <c:bubble3D val="0"/>
            <c:extLst>
              <c:ext xmlns:c16="http://schemas.microsoft.com/office/drawing/2014/chart" uri="{C3380CC4-5D6E-409C-BE32-E72D297353CC}">
                <c16:uniqueId val="{000001D1-81B5-40D4-8D7F-08B7B39063BB}"/>
              </c:ext>
            </c:extLst>
          </c:dPt>
          <c:dPt>
            <c:idx val="17"/>
            <c:invertIfNegative val="0"/>
            <c:bubble3D val="0"/>
            <c:extLst>
              <c:ext xmlns:c16="http://schemas.microsoft.com/office/drawing/2014/chart" uri="{C3380CC4-5D6E-409C-BE32-E72D297353CC}">
                <c16:uniqueId val="{000001D2-81B5-40D4-8D7F-08B7B39063BB}"/>
              </c:ext>
            </c:extLst>
          </c:dPt>
          <c:dPt>
            <c:idx val="18"/>
            <c:invertIfNegative val="0"/>
            <c:bubble3D val="0"/>
            <c:extLst>
              <c:ext xmlns:c16="http://schemas.microsoft.com/office/drawing/2014/chart" uri="{C3380CC4-5D6E-409C-BE32-E72D297353CC}">
                <c16:uniqueId val="{000001D3-81B5-40D4-8D7F-08B7B39063BB}"/>
              </c:ext>
            </c:extLst>
          </c:dPt>
          <c:dPt>
            <c:idx val="19"/>
            <c:invertIfNegative val="0"/>
            <c:bubble3D val="0"/>
            <c:extLst>
              <c:ext xmlns:c16="http://schemas.microsoft.com/office/drawing/2014/chart" uri="{C3380CC4-5D6E-409C-BE32-E72D297353CC}">
                <c16:uniqueId val="{000001D4-81B5-40D4-8D7F-08B7B39063BB}"/>
              </c:ext>
            </c:extLst>
          </c:dPt>
          <c:dPt>
            <c:idx val="20"/>
            <c:invertIfNegative val="0"/>
            <c:bubble3D val="0"/>
            <c:extLst>
              <c:ext xmlns:c16="http://schemas.microsoft.com/office/drawing/2014/chart" uri="{C3380CC4-5D6E-409C-BE32-E72D297353CC}">
                <c16:uniqueId val="{000001D5-81B5-40D4-8D7F-08B7B39063BB}"/>
              </c:ext>
            </c:extLst>
          </c:dPt>
          <c:dPt>
            <c:idx val="21"/>
            <c:invertIfNegative val="0"/>
            <c:bubble3D val="0"/>
            <c:extLst>
              <c:ext xmlns:c16="http://schemas.microsoft.com/office/drawing/2014/chart" uri="{C3380CC4-5D6E-409C-BE32-E72D297353CC}">
                <c16:uniqueId val="{000001D6-81B5-40D4-8D7F-08B7B39063BB}"/>
              </c:ext>
            </c:extLst>
          </c:dPt>
          <c:dPt>
            <c:idx val="22"/>
            <c:invertIfNegative val="0"/>
            <c:bubble3D val="0"/>
            <c:extLst>
              <c:ext xmlns:c16="http://schemas.microsoft.com/office/drawing/2014/chart" uri="{C3380CC4-5D6E-409C-BE32-E72D297353CC}">
                <c16:uniqueId val="{000001D7-81B5-40D4-8D7F-08B7B39063BB}"/>
              </c:ext>
            </c:extLst>
          </c:dPt>
          <c:dPt>
            <c:idx val="23"/>
            <c:invertIfNegative val="0"/>
            <c:bubble3D val="0"/>
            <c:extLst>
              <c:ext xmlns:c16="http://schemas.microsoft.com/office/drawing/2014/chart" uri="{C3380CC4-5D6E-409C-BE32-E72D297353CC}">
                <c16:uniqueId val="{000001D8-81B5-40D4-8D7F-08B7B39063BB}"/>
              </c:ext>
            </c:extLst>
          </c:dPt>
          <c:dPt>
            <c:idx val="24"/>
            <c:invertIfNegative val="0"/>
            <c:bubble3D val="0"/>
            <c:extLst>
              <c:ext xmlns:c16="http://schemas.microsoft.com/office/drawing/2014/chart" uri="{C3380CC4-5D6E-409C-BE32-E72D297353CC}">
                <c16:uniqueId val="{000001D9-81B5-40D4-8D7F-08B7B39063BB}"/>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Data'!$B$8:$W$8</c:f>
              <c:numCache>
                <c:formatCode>#,##0_ ;\-#,##0\ </c:formatCode>
                <c:ptCount val="22"/>
                <c:pt idx="0">
                  <c:v>0</c:v>
                </c:pt>
                <c:pt idx="1">
                  <c:v>1894</c:v>
                </c:pt>
                <c:pt idx="2">
                  <c:v>2294</c:v>
                </c:pt>
                <c:pt idx="3">
                  <c:v>2694</c:v>
                </c:pt>
                <c:pt idx="4">
                  <c:v>3094</c:v>
                </c:pt>
                <c:pt idx="5">
                  <c:v>3987</c:v>
                </c:pt>
                <c:pt idx="6">
                  <c:v>4387</c:v>
                </c:pt>
                <c:pt idx="7">
                  <c:v>4387</c:v>
                </c:pt>
                <c:pt idx="8">
                  <c:v>4478</c:v>
                </c:pt>
                <c:pt idx="9">
                  <c:v>4641</c:v>
                </c:pt>
                <c:pt idx="10">
                  <c:v>4946</c:v>
                </c:pt>
                <c:pt idx="11">
                  <c:v>5119</c:v>
                </c:pt>
                <c:pt idx="12">
                  <c:v>5119</c:v>
                </c:pt>
                <c:pt idx="13">
                  <c:v>5119</c:v>
                </c:pt>
                <c:pt idx="14">
                  <c:v>5311</c:v>
                </c:pt>
                <c:pt idx="15">
                  <c:v>5771</c:v>
                </c:pt>
                <c:pt idx="16">
                  <c:v>6418</c:v>
                </c:pt>
                <c:pt idx="17">
                  <c:v>7739</c:v>
                </c:pt>
                <c:pt idx="18">
                  <c:v>8858</c:v>
                </c:pt>
                <c:pt idx="19">
                  <c:v>8858</c:v>
                </c:pt>
                <c:pt idx="20">
                  <c:v>8972</c:v>
                </c:pt>
                <c:pt idx="21">
                  <c:v>9073</c:v>
                </c:pt>
              </c:numCache>
            </c:numRef>
          </c:val>
          <c:extLst>
            <c:ext xmlns:c16="http://schemas.microsoft.com/office/drawing/2014/chart" uri="{C3380CC4-5D6E-409C-BE32-E72D297353CC}">
              <c16:uniqueId val="{000001DA-81B5-40D4-8D7F-08B7B39063BB}"/>
            </c:ext>
          </c:extLst>
        </c:ser>
        <c:ser>
          <c:idx val="5"/>
          <c:order val="6"/>
          <c:tx>
            <c:strRef>
              <c:f>'NewAndRetiredCapacity Data'!$A$11</c:f>
              <c:strCache>
                <c:ptCount val="1"/>
                <c:pt idx="0">
                  <c:v>Biomass</c:v>
                </c:pt>
              </c:strCache>
            </c:strRef>
          </c:tx>
          <c:spPr>
            <a:solidFill>
              <a:srgbClr val="B3E0EE"/>
            </a:solidFill>
            <a:ln>
              <a:noFill/>
            </a:ln>
            <a:effectLst/>
          </c:spPr>
          <c:invertIfNegative val="0"/>
          <c:dPt>
            <c:idx val="0"/>
            <c:invertIfNegative val="0"/>
            <c:bubble3D val="0"/>
            <c:extLst>
              <c:ext xmlns:c16="http://schemas.microsoft.com/office/drawing/2014/chart" uri="{C3380CC4-5D6E-409C-BE32-E72D297353CC}">
                <c16:uniqueId val="{000001DC-81B5-40D4-8D7F-08B7B39063BB}"/>
              </c:ext>
            </c:extLst>
          </c:dPt>
          <c:dPt>
            <c:idx val="1"/>
            <c:invertIfNegative val="0"/>
            <c:bubble3D val="0"/>
            <c:extLst>
              <c:ext xmlns:c16="http://schemas.microsoft.com/office/drawing/2014/chart" uri="{C3380CC4-5D6E-409C-BE32-E72D297353CC}">
                <c16:uniqueId val="{000001DD-81B5-40D4-8D7F-08B7B39063BB}"/>
              </c:ext>
            </c:extLst>
          </c:dPt>
          <c:dPt>
            <c:idx val="2"/>
            <c:invertIfNegative val="0"/>
            <c:bubble3D val="0"/>
            <c:extLst>
              <c:ext xmlns:c16="http://schemas.microsoft.com/office/drawing/2014/chart" uri="{C3380CC4-5D6E-409C-BE32-E72D297353CC}">
                <c16:uniqueId val="{000001DE-81B5-40D4-8D7F-08B7B39063BB}"/>
              </c:ext>
            </c:extLst>
          </c:dPt>
          <c:dPt>
            <c:idx val="3"/>
            <c:invertIfNegative val="0"/>
            <c:bubble3D val="0"/>
            <c:extLst>
              <c:ext xmlns:c16="http://schemas.microsoft.com/office/drawing/2014/chart" uri="{C3380CC4-5D6E-409C-BE32-E72D297353CC}">
                <c16:uniqueId val="{000001DF-81B5-40D4-8D7F-08B7B39063BB}"/>
              </c:ext>
            </c:extLst>
          </c:dPt>
          <c:dPt>
            <c:idx val="4"/>
            <c:invertIfNegative val="0"/>
            <c:bubble3D val="0"/>
            <c:extLst>
              <c:ext xmlns:c16="http://schemas.microsoft.com/office/drawing/2014/chart" uri="{C3380CC4-5D6E-409C-BE32-E72D297353CC}">
                <c16:uniqueId val="{000001E0-81B5-40D4-8D7F-08B7B39063BB}"/>
              </c:ext>
            </c:extLst>
          </c:dPt>
          <c:dPt>
            <c:idx val="5"/>
            <c:invertIfNegative val="0"/>
            <c:bubble3D val="0"/>
            <c:extLst>
              <c:ext xmlns:c16="http://schemas.microsoft.com/office/drawing/2014/chart" uri="{C3380CC4-5D6E-409C-BE32-E72D297353CC}">
                <c16:uniqueId val="{000001E1-81B5-40D4-8D7F-08B7B39063BB}"/>
              </c:ext>
            </c:extLst>
          </c:dPt>
          <c:dPt>
            <c:idx val="6"/>
            <c:invertIfNegative val="0"/>
            <c:bubble3D val="0"/>
            <c:extLst>
              <c:ext xmlns:c16="http://schemas.microsoft.com/office/drawing/2014/chart" uri="{C3380CC4-5D6E-409C-BE32-E72D297353CC}">
                <c16:uniqueId val="{000001E2-81B5-40D4-8D7F-08B7B39063BB}"/>
              </c:ext>
            </c:extLst>
          </c:dPt>
          <c:dPt>
            <c:idx val="7"/>
            <c:invertIfNegative val="0"/>
            <c:bubble3D val="0"/>
            <c:extLst>
              <c:ext xmlns:c16="http://schemas.microsoft.com/office/drawing/2014/chart" uri="{C3380CC4-5D6E-409C-BE32-E72D297353CC}">
                <c16:uniqueId val="{000001E3-81B5-40D4-8D7F-08B7B39063BB}"/>
              </c:ext>
            </c:extLst>
          </c:dPt>
          <c:dPt>
            <c:idx val="8"/>
            <c:invertIfNegative val="0"/>
            <c:bubble3D val="0"/>
            <c:extLst>
              <c:ext xmlns:c16="http://schemas.microsoft.com/office/drawing/2014/chart" uri="{C3380CC4-5D6E-409C-BE32-E72D297353CC}">
                <c16:uniqueId val="{000001E4-81B5-40D4-8D7F-08B7B39063BB}"/>
              </c:ext>
            </c:extLst>
          </c:dPt>
          <c:dPt>
            <c:idx val="9"/>
            <c:invertIfNegative val="0"/>
            <c:bubble3D val="0"/>
            <c:extLst>
              <c:ext xmlns:c16="http://schemas.microsoft.com/office/drawing/2014/chart" uri="{C3380CC4-5D6E-409C-BE32-E72D297353CC}">
                <c16:uniqueId val="{000001E5-81B5-40D4-8D7F-08B7B39063BB}"/>
              </c:ext>
            </c:extLst>
          </c:dPt>
          <c:dPt>
            <c:idx val="10"/>
            <c:invertIfNegative val="0"/>
            <c:bubble3D val="0"/>
            <c:extLst>
              <c:ext xmlns:c16="http://schemas.microsoft.com/office/drawing/2014/chart" uri="{C3380CC4-5D6E-409C-BE32-E72D297353CC}">
                <c16:uniqueId val="{000001E6-81B5-40D4-8D7F-08B7B39063BB}"/>
              </c:ext>
            </c:extLst>
          </c:dPt>
          <c:dPt>
            <c:idx val="11"/>
            <c:invertIfNegative val="0"/>
            <c:bubble3D val="0"/>
            <c:extLst>
              <c:ext xmlns:c16="http://schemas.microsoft.com/office/drawing/2014/chart" uri="{C3380CC4-5D6E-409C-BE32-E72D297353CC}">
                <c16:uniqueId val="{000001E7-81B5-40D4-8D7F-08B7B39063BB}"/>
              </c:ext>
            </c:extLst>
          </c:dPt>
          <c:dPt>
            <c:idx val="12"/>
            <c:invertIfNegative val="0"/>
            <c:bubble3D val="0"/>
            <c:extLst>
              <c:ext xmlns:c16="http://schemas.microsoft.com/office/drawing/2014/chart" uri="{C3380CC4-5D6E-409C-BE32-E72D297353CC}">
                <c16:uniqueId val="{000001E8-81B5-40D4-8D7F-08B7B39063BB}"/>
              </c:ext>
            </c:extLst>
          </c:dPt>
          <c:dPt>
            <c:idx val="13"/>
            <c:invertIfNegative val="0"/>
            <c:bubble3D val="0"/>
            <c:extLst>
              <c:ext xmlns:c16="http://schemas.microsoft.com/office/drawing/2014/chart" uri="{C3380CC4-5D6E-409C-BE32-E72D297353CC}">
                <c16:uniqueId val="{000001E9-81B5-40D4-8D7F-08B7B39063BB}"/>
              </c:ext>
            </c:extLst>
          </c:dPt>
          <c:dPt>
            <c:idx val="14"/>
            <c:invertIfNegative val="0"/>
            <c:bubble3D val="0"/>
            <c:extLst>
              <c:ext xmlns:c16="http://schemas.microsoft.com/office/drawing/2014/chart" uri="{C3380CC4-5D6E-409C-BE32-E72D297353CC}">
                <c16:uniqueId val="{000001EA-81B5-40D4-8D7F-08B7B39063BB}"/>
              </c:ext>
            </c:extLst>
          </c:dPt>
          <c:dPt>
            <c:idx val="15"/>
            <c:invertIfNegative val="0"/>
            <c:bubble3D val="0"/>
            <c:extLst>
              <c:ext xmlns:c16="http://schemas.microsoft.com/office/drawing/2014/chart" uri="{C3380CC4-5D6E-409C-BE32-E72D297353CC}">
                <c16:uniqueId val="{000001EB-81B5-40D4-8D7F-08B7B39063BB}"/>
              </c:ext>
            </c:extLst>
          </c:dPt>
          <c:dPt>
            <c:idx val="16"/>
            <c:invertIfNegative val="0"/>
            <c:bubble3D val="0"/>
            <c:extLst>
              <c:ext xmlns:c16="http://schemas.microsoft.com/office/drawing/2014/chart" uri="{C3380CC4-5D6E-409C-BE32-E72D297353CC}">
                <c16:uniqueId val="{000001EC-81B5-40D4-8D7F-08B7B39063BB}"/>
              </c:ext>
            </c:extLst>
          </c:dPt>
          <c:dPt>
            <c:idx val="17"/>
            <c:invertIfNegative val="0"/>
            <c:bubble3D val="0"/>
            <c:extLst>
              <c:ext xmlns:c16="http://schemas.microsoft.com/office/drawing/2014/chart" uri="{C3380CC4-5D6E-409C-BE32-E72D297353CC}">
                <c16:uniqueId val="{000001ED-81B5-40D4-8D7F-08B7B39063BB}"/>
              </c:ext>
            </c:extLst>
          </c:dPt>
          <c:dPt>
            <c:idx val="18"/>
            <c:invertIfNegative val="0"/>
            <c:bubble3D val="0"/>
            <c:extLst>
              <c:ext xmlns:c16="http://schemas.microsoft.com/office/drawing/2014/chart" uri="{C3380CC4-5D6E-409C-BE32-E72D297353CC}">
                <c16:uniqueId val="{000001EE-81B5-40D4-8D7F-08B7B39063BB}"/>
              </c:ext>
            </c:extLst>
          </c:dPt>
          <c:dPt>
            <c:idx val="19"/>
            <c:invertIfNegative val="0"/>
            <c:bubble3D val="0"/>
            <c:extLst>
              <c:ext xmlns:c16="http://schemas.microsoft.com/office/drawing/2014/chart" uri="{C3380CC4-5D6E-409C-BE32-E72D297353CC}">
                <c16:uniqueId val="{000001EF-81B5-40D4-8D7F-08B7B39063BB}"/>
              </c:ext>
            </c:extLst>
          </c:dPt>
          <c:dPt>
            <c:idx val="20"/>
            <c:invertIfNegative val="0"/>
            <c:bubble3D val="0"/>
            <c:extLst>
              <c:ext xmlns:c16="http://schemas.microsoft.com/office/drawing/2014/chart" uri="{C3380CC4-5D6E-409C-BE32-E72D297353CC}">
                <c16:uniqueId val="{000001F0-81B5-40D4-8D7F-08B7B39063BB}"/>
              </c:ext>
            </c:extLst>
          </c:dPt>
          <c:dPt>
            <c:idx val="21"/>
            <c:invertIfNegative val="0"/>
            <c:bubble3D val="0"/>
            <c:extLst>
              <c:ext xmlns:c16="http://schemas.microsoft.com/office/drawing/2014/chart" uri="{C3380CC4-5D6E-409C-BE32-E72D297353CC}">
                <c16:uniqueId val="{000001F1-81B5-40D4-8D7F-08B7B39063BB}"/>
              </c:ext>
            </c:extLst>
          </c:dPt>
          <c:dPt>
            <c:idx val="22"/>
            <c:invertIfNegative val="0"/>
            <c:bubble3D val="0"/>
            <c:extLst>
              <c:ext xmlns:c16="http://schemas.microsoft.com/office/drawing/2014/chart" uri="{C3380CC4-5D6E-409C-BE32-E72D297353CC}">
                <c16:uniqueId val="{000001F2-81B5-40D4-8D7F-08B7B39063BB}"/>
              </c:ext>
            </c:extLst>
          </c:dPt>
          <c:dPt>
            <c:idx val="23"/>
            <c:invertIfNegative val="0"/>
            <c:bubble3D val="0"/>
            <c:extLst>
              <c:ext xmlns:c16="http://schemas.microsoft.com/office/drawing/2014/chart" uri="{C3380CC4-5D6E-409C-BE32-E72D297353CC}">
                <c16:uniqueId val="{000001F3-81B5-40D4-8D7F-08B7B39063BB}"/>
              </c:ext>
            </c:extLst>
          </c:dPt>
          <c:dPt>
            <c:idx val="24"/>
            <c:invertIfNegative val="0"/>
            <c:bubble3D val="0"/>
            <c:extLst>
              <c:ext xmlns:c16="http://schemas.microsoft.com/office/drawing/2014/chart" uri="{C3380CC4-5D6E-409C-BE32-E72D297353CC}">
                <c16:uniqueId val="{000001F4-81B5-40D4-8D7F-08B7B39063BB}"/>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Data'!$B$11:$W$11</c:f>
              <c:numCache>
                <c:formatCode>#,##0_ ;\-#,##0\ </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200</c:v>
                </c:pt>
                <c:pt idx="17">
                  <c:v>200</c:v>
                </c:pt>
                <c:pt idx="18">
                  <c:v>300</c:v>
                </c:pt>
                <c:pt idx="19">
                  <c:v>300</c:v>
                </c:pt>
                <c:pt idx="20">
                  <c:v>300</c:v>
                </c:pt>
                <c:pt idx="21">
                  <c:v>300</c:v>
                </c:pt>
              </c:numCache>
            </c:numRef>
          </c:val>
          <c:extLst>
            <c:ext xmlns:c16="http://schemas.microsoft.com/office/drawing/2014/chart" uri="{C3380CC4-5D6E-409C-BE32-E72D297353CC}">
              <c16:uniqueId val="{000001F5-81B5-40D4-8D7F-08B7B39063BB}"/>
            </c:ext>
          </c:extLst>
        </c:ser>
        <c:ser>
          <c:idx val="11"/>
          <c:order val="7"/>
          <c:tx>
            <c:strRef>
              <c:f>'NewAndRetiredCapacity Data'!$A$9</c:f>
              <c:strCache>
                <c:ptCount val="1"/>
                <c:pt idx="0">
                  <c:v>Utility Solar</c:v>
                </c:pt>
              </c:strCache>
            </c:strRef>
          </c:tx>
          <c:spPr>
            <a:solidFill>
              <a:srgbClr val="FFC222"/>
            </a:solidFill>
            <a:ln>
              <a:noFill/>
            </a:ln>
          </c:spPr>
          <c:invertIfNegative val="0"/>
          <c:dPt>
            <c:idx val="0"/>
            <c:invertIfNegative val="0"/>
            <c:bubble3D val="0"/>
            <c:spPr>
              <a:solidFill>
                <a:srgbClr val="FFC222"/>
              </a:solidFill>
              <a:ln w="3175" cmpd="sng">
                <a:noFill/>
                <a:prstDash val="solid"/>
              </a:ln>
            </c:spPr>
            <c:extLst>
              <c:ext xmlns:c16="http://schemas.microsoft.com/office/drawing/2014/chart" uri="{C3380CC4-5D6E-409C-BE32-E72D297353CC}">
                <c16:uniqueId val="{000001F8-81B5-40D4-8D7F-08B7B39063BB}"/>
              </c:ext>
            </c:extLst>
          </c:dPt>
          <c:dPt>
            <c:idx val="1"/>
            <c:invertIfNegative val="0"/>
            <c:bubble3D val="0"/>
            <c:spPr>
              <a:solidFill>
                <a:srgbClr val="FFC222"/>
              </a:solidFill>
              <a:ln w="3175" cmpd="sng">
                <a:noFill/>
                <a:prstDash val="solid"/>
              </a:ln>
            </c:spPr>
            <c:extLst>
              <c:ext xmlns:c16="http://schemas.microsoft.com/office/drawing/2014/chart" uri="{C3380CC4-5D6E-409C-BE32-E72D297353CC}">
                <c16:uniqueId val="{000001FA-81B5-40D4-8D7F-08B7B39063BB}"/>
              </c:ext>
            </c:extLst>
          </c:dPt>
          <c:dPt>
            <c:idx val="2"/>
            <c:invertIfNegative val="0"/>
            <c:bubble3D val="0"/>
            <c:spPr>
              <a:solidFill>
                <a:srgbClr val="FFC222"/>
              </a:solidFill>
              <a:ln w="3175" cmpd="sng">
                <a:noFill/>
                <a:prstDash val="solid"/>
              </a:ln>
            </c:spPr>
            <c:extLst>
              <c:ext xmlns:c16="http://schemas.microsoft.com/office/drawing/2014/chart" uri="{C3380CC4-5D6E-409C-BE32-E72D297353CC}">
                <c16:uniqueId val="{000001FC-81B5-40D4-8D7F-08B7B39063BB}"/>
              </c:ext>
            </c:extLst>
          </c:dPt>
          <c:dPt>
            <c:idx val="3"/>
            <c:invertIfNegative val="0"/>
            <c:bubble3D val="0"/>
            <c:spPr>
              <a:solidFill>
                <a:srgbClr val="FFC222"/>
              </a:solidFill>
              <a:ln w="3175" cmpd="sng">
                <a:noFill/>
                <a:prstDash val="solid"/>
              </a:ln>
            </c:spPr>
            <c:extLst>
              <c:ext xmlns:c16="http://schemas.microsoft.com/office/drawing/2014/chart" uri="{C3380CC4-5D6E-409C-BE32-E72D297353CC}">
                <c16:uniqueId val="{000001FE-81B5-40D4-8D7F-08B7B39063BB}"/>
              </c:ext>
            </c:extLst>
          </c:dPt>
          <c:dPt>
            <c:idx val="4"/>
            <c:invertIfNegative val="0"/>
            <c:bubble3D val="0"/>
            <c:spPr>
              <a:solidFill>
                <a:srgbClr val="FFC222"/>
              </a:solidFill>
              <a:ln w="3175" cmpd="sng">
                <a:noFill/>
                <a:prstDash val="solid"/>
              </a:ln>
            </c:spPr>
            <c:extLst>
              <c:ext xmlns:c16="http://schemas.microsoft.com/office/drawing/2014/chart" uri="{C3380CC4-5D6E-409C-BE32-E72D297353CC}">
                <c16:uniqueId val="{00000200-81B5-40D4-8D7F-08B7B39063BB}"/>
              </c:ext>
            </c:extLst>
          </c:dPt>
          <c:dPt>
            <c:idx val="5"/>
            <c:invertIfNegative val="0"/>
            <c:bubble3D val="0"/>
            <c:spPr>
              <a:solidFill>
                <a:srgbClr val="FFC222"/>
              </a:solidFill>
              <a:ln w="3175" cmpd="sng">
                <a:noFill/>
                <a:prstDash val="solid"/>
              </a:ln>
            </c:spPr>
            <c:extLst>
              <c:ext xmlns:c16="http://schemas.microsoft.com/office/drawing/2014/chart" uri="{C3380CC4-5D6E-409C-BE32-E72D297353CC}">
                <c16:uniqueId val="{00000202-81B5-40D4-8D7F-08B7B39063BB}"/>
              </c:ext>
            </c:extLst>
          </c:dPt>
          <c:dPt>
            <c:idx val="6"/>
            <c:invertIfNegative val="0"/>
            <c:bubble3D val="0"/>
            <c:spPr>
              <a:solidFill>
                <a:srgbClr val="FFC222"/>
              </a:solidFill>
              <a:ln w="3175" cmpd="sng">
                <a:noFill/>
                <a:prstDash val="solid"/>
              </a:ln>
            </c:spPr>
            <c:extLst>
              <c:ext xmlns:c16="http://schemas.microsoft.com/office/drawing/2014/chart" uri="{C3380CC4-5D6E-409C-BE32-E72D297353CC}">
                <c16:uniqueId val="{00000204-81B5-40D4-8D7F-08B7B39063BB}"/>
              </c:ext>
            </c:extLst>
          </c:dPt>
          <c:dPt>
            <c:idx val="7"/>
            <c:invertIfNegative val="0"/>
            <c:bubble3D val="0"/>
            <c:spPr>
              <a:solidFill>
                <a:srgbClr val="FFC222"/>
              </a:solidFill>
              <a:ln w="3175" cmpd="sng">
                <a:noFill/>
                <a:prstDash val="solid"/>
              </a:ln>
            </c:spPr>
            <c:extLst>
              <c:ext xmlns:c16="http://schemas.microsoft.com/office/drawing/2014/chart" uri="{C3380CC4-5D6E-409C-BE32-E72D297353CC}">
                <c16:uniqueId val="{00000206-81B5-40D4-8D7F-08B7B39063BB}"/>
              </c:ext>
            </c:extLst>
          </c:dPt>
          <c:dPt>
            <c:idx val="8"/>
            <c:invertIfNegative val="0"/>
            <c:bubble3D val="0"/>
            <c:spPr>
              <a:solidFill>
                <a:srgbClr val="FFC222"/>
              </a:solidFill>
              <a:ln w="3175" cmpd="sng">
                <a:noFill/>
                <a:prstDash val="solid"/>
              </a:ln>
            </c:spPr>
            <c:extLst>
              <c:ext xmlns:c16="http://schemas.microsoft.com/office/drawing/2014/chart" uri="{C3380CC4-5D6E-409C-BE32-E72D297353CC}">
                <c16:uniqueId val="{00000208-81B5-40D4-8D7F-08B7B39063BB}"/>
              </c:ext>
            </c:extLst>
          </c:dPt>
          <c:dPt>
            <c:idx val="9"/>
            <c:invertIfNegative val="0"/>
            <c:bubble3D val="0"/>
            <c:spPr>
              <a:solidFill>
                <a:srgbClr val="FFC222"/>
              </a:solidFill>
              <a:ln w="3175" cmpd="sng">
                <a:noFill/>
                <a:prstDash val="solid"/>
              </a:ln>
            </c:spPr>
            <c:extLst>
              <c:ext xmlns:c16="http://schemas.microsoft.com/office/drawing/2014/chart" uri="{C3380CC4-5D6E-409C-BE32-E72D297353CC}">
                <c16:uniqueId val="{0000020A-81B5-40D4-8D7F-08B7B39063BB}"/>
              </c:ext>
            </c:extLst>
          </c:dPt>
          <c:dPt>
            <c:idx val="10"/>
            <c:invertIfNegative val="0"/>
            <c:bubble3D val="0"/>
            <c:spPr>
              <a:solidFill>
                <a:srgbClr val="FFC222"/>
              </a:solidFill>
              <a:ln w="3175" cmpd="sng">
                <a:noFill/>
                <a:prstDash val="solid"/>
              </a:ln>
            </c:spPr>
            <c:extLst>
              <c:ext xmlns:c16="http://schemas.microsoft.com/office/drawing/2014/chart" uri="{C3380CC4-5D6E-409C-BE32-E72D297353CC}">
                <c16:uniqueId val="{0000020C-81B5-40D4-8D7F-08B7B39063BB}"/>
              </c:ext>
            </c:extLst>
          </c:dPt>
          <c:dPt>
            <c:idx val="11"/>
            <c:invertIfNegative val="0"/>
            <c:bubble3D val="0"/>
            <c:spPr>
              <a:solidFill>
                <a:srgbClr val="FFC222"/>
              </a:solidFill>
              <a:ln w="3175" cmpd="sng">
                <a:noFill/>
                <a:prstDash val="solid"/>
              </a:ln>
            </c:spPr>
            <c:extLst>
              <c:ext xmlns:c16="http://schemas.microsoft.com/office/drawing/2014/chart" uri="{C3380CC4-5D6E-409C-BE32-E72D297353CC}">
                <c16:uniqueId val="{0000020E-81B5-40D4-8D7F-08B7B39063BB}"/>
              </c:ext>
            </c:extLst>
          </c:dPt>
          <c:dPt>
            <c:idx val="12"/>
            <c:invertIfNegative val="0"/>
            <c:bubble3D val="0"/>
            <c:spPr>
              <a:solidFill>
                <a:srgbClr val="FFC222"/>
              </a:solidFill>
              <a:ln w="3175" cmpd="sng">
                <a:noFill/>
                <a:prstDash val="solid"/>
              </a:ln>
            </c:spPr>
            <c:extLst>
              <c:ext xmlns:c16="http://schemas.microsoft.com/office/drawing/2014/chart" uri="{C3380CC4-5D6E-409C-BE32-E72D297353CC}">
                <c16:uniqueId val="{00000210-81B5-40D4-8D7F-08B7B39063BB}"/>
              </c:ext>
            </c:extLst>
          </c:dPt>
          <c:dPt>
            <c:idx val="13"/>
            <c:invertIfNegative val="0"/>
            <c:bubble3D val="0"/>
            <c:spPr>
              <a:solidFill>
                <a:srgbClr val="FFC222"/>
              </a:solidFill>
              <a:ln w="3175" cmpd="sng">
                <a:noFill/>
                <a:prstDash val="solid"/>
              </a:ln>
            </c:spPr>
            <c:extLst>
              <c:ext xmlns:c16="http://schemas.microsoft.com/office/drawing/2014/chart" uri="{C3380CC4-5D6E-409C-BE32-E72D297353CC}">
                <c16:uniqueId val="{00000212-81B5-40D4-8D7F-08B7B39063BB}"/>
              </c:ext>
            </c:extLst>
          </c:dPt>
          <c:dPt>
            <c:idx val="14"/>
            <c:invertIfNegative val="0"/>
            <c:bubble3D val="0"/>
            <c:spPr>
              <a:solidFill>
                <a:srgbClr val="FFC222"/>
              </a:solidFill>
              <a:ln w="3175" cmpd="sng">
                <a:noFill/>
                <a:prstDash val="solid"/>
              </a:ln>
            </c:spPr>
            <c:extLst>
              <c:ext xmlns:c16="http://schemas.microsoft.com/office/drawing/2014/chart" uri="{C3380CC4-5D6E-409C-BE32-E72D297353CC}">
                <c16:uniqueId val="{00000214-81B5-40D4-8D7F-08B7B39063BB}"/>
              </c:ext>
            </c:extLst>
          </c:dPt>
          <c:dPt>
            <c:idx val="15"/>
            <c:invertIfNegative val="0"/>
            <c:bubble3D val="0"/>
            <c:spPr>
              <a:solidFill>
                <a:srgbClr val="FFC222"/>
              </a:solidFill>
              <a:ln w="3175" cmpd="sng">
                <a:noFill/>
                <a:prstDash val="solid"/>
              </a:ln>
            </c:spPr>
            <c:extLst>
              <c:ext xmlns:c16="http://schemas.microsoft.com/office/drawing/2014/chart" uri="{C3380CC4-5D6E-409C-BE32-E72D297353CC}">
                <c16:uniqueId val="{00000216-81B5-40D4-8D7F-08B7B39063BB}"/>
              </c:ext>
            </c:extLst>
          </c:dPt>
          <c:dPt>
            <c:idx val="16"/>
            <c:invertIfNegative val="0"/>
            <c:bubble3D val="0"/>
            <c:spPr>
              <a:solidFill>
                <a:srgbClr val="FFC222"/>
              </a:solidFill>
              <a:ln w="3175" cmpd="sng">
                <a:noFill/>
                <a:prstDash val="solid"/>
              </a:ln>
            </c:spPr>
            <c:extLst>
              <c:ext xmlns:c16="http://schemas.microsoft.com/office/drawing/2014/chart" uri="{C3380CC4-5D6E-409C-BE32-E72D297353CC}">
                <c16:uniqueId val="{00000218-81B5-40D4-8D7F-08B7B39063BB}"/>
              </c:ext>
            </c:extLst>
          </c:dPt>
          <c:dPt>
            <c:idx val="17"/>
            <c:invertIfNegative val="0"/>
            <c:bubble3D val="0"/>
            <c:spPr>
              <a:solidFill>
                <a:srgbClr val="FFC222"/>
              </a:solidFill>
              <a:ln w="3175" cmpd="sng">
                <a:noFill/>
                <a:prstDash val="solid"/>
              </a:ln>
            </c:spPr>
            <c:extLst>
              <c:ext xmlns:c16="http://schemas.microsoft.com/office/drawing/2014/chart" uri="{C3380CC4-5D6E-409C-BE32-E72D297353CC}">
                <c16:uniqueId val="{0000021A-81B5-40D4-8D7F-08B7B39063BB}"/>
              </c:ext>
            </c:extLst>
          </c:dPt>
          <c:dPt>
            <c:idx val="18"/>
            <c:invertIfNegative val="0"/>
            <c:bubble3D val="0"/>
            <c:spPr>
              <a:solidFill>
                <a:srgbClr val="FFC222"/>
              </a:solidFill>
              <a:ln w="3175" cmpd="sng">
                <a:noFill/>
                <a:prstDash val="solid"/>
              </a:ln>
            </c:spPr>
            <c:extLst>
              <c:ext xmlns:c16="http://schemas.microsoft.com/office/drawing/2014/chart" uri="{C3380CC4-5D6E-409C-BE32-E72D297353CC}">
                <c16:uniqueId val="{0000021C-81B5-40D4-8D7F-08B7B39063BB}"/>
              </c:ext>
            </c:extLst>
          </c:dPt>
          <c:dPt>
            <c:idx val="19"/>
            <c:invertIfNegative val="0"/>
            <c:bubble3D val="0"/>
            <c:spPr>
              <a:solidFill>
                <a:srgbClr val="FFC222"/>
              </a:solidFill>
              <a:ln w="3175" cmpd="sng">
                <a:noFill/>
                <a:prstDash val="solid"/>
              </a:ln>
            </c:spPr>
            <c:extLst>
              <c:ext xmlns:c16="http://schemas.microsoft.com/office/drawing/2014/chart" uri="{C3380CC4-5D6E-409C-BE32-E72D297353CC}">
                <c16:uniqueId val="{0000021E-81B5-40D4-8D7F-08B7B39063BB}"/>
              </c:ext>
            </c:extLst>
          </c:dPt>
          <c:dPt>
            <c:idx val="20"/>
            <c:invertIfNegative val="0"/>
            <c:bubble3D val="0"/>
            <c:spPr>
              <a:solidFill>
                <a:srgbClr val="FFC222"/>
              </a:solidFill>
              <a:ln w="3175" cmpd="sng">
                <a:noFill/>
                <a:prstDash val="solid"/>
              </a:ln>
            </c:spPr>
            <c:extLst>
              <c:ext xmlns:c16="http://schemas.microsoft.com/office/drawing/2014/chart" uri="{C3380CC4-5D6E-409C-BE32-E72D297353CC}">
                <c16:uniqueId val="{00000220-81B5-40D4-8D7F-08B7B39063BB}"/>
              </c:ext>
            </c:extLst>
          </c:dPt>
          <c:dPt>
            <c:idx val="21"/>
            <c:invertIfNegative val="0"/>
            <c:bubble3D val="0"/>
            <c:spPr>
              <a:solidFill>
                <a:srgbClr val="FFC222"/>
              </a:solidFill>
              <a:ln w="3175" cmpd="sng">
                <a:noFill/>
                <a:prstDash val="solid"/>
              </a:ln>
            </c:spPr>
            <c:extLst>
              <c:ext xmlns:c16="http://schemas.microsoft.com/office/drawing/2014/chart" uri="{C3380CC4-5D6E-409C-BE32-E72D297353CC}">
                <c16:uniqueId val="{00000222-81B5-40D4-8D7F-08B7B39063BB}"/>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Data'!$B$9:$W$9</c:f>
              <c:numCache>
                <c:formatCode>#,##0_ ;\-#,##0\ </c:formatCode>
                <c:ptCount val="22"/>
                <c:pt idx="0">
                  <c:v>0</c:v>
                </c:pt>
                <c:pt idx="1">
                  <c:v>627</c:v>
                </c:pt>
                <c:pt idx="2">
                  <c:v>627</c:v>
                </c:pt>
                <c:pt idx="3">
                  <c:v>674</c:v>
                </c:pt>
                <c:pt idx="4">
                  <c:v>1517</c:v>
                </c:pt>
                <c:pt idx="5">
                  <c:v>2101</c:v>
                </c:pt>
                <c:pt idx="6">
                  <c:v>3228</c:v>
                </c:pt>
                <c:pt idx="7">
                  <c:v>4516</c:v>
                </c:pt>
                <c:pt idx="8">
                  <c:v>5253</c:v>
                </c:pt>
                <c:pt idx="9">
                  <c:v>5921</c:v>
                </c:pt>
                <c:pt idx="10">
                  <c:v>6713</c:v>
                </c:pt>
                <c:pt idx="11">
                  <c:v>7474</c:v>
                </c:pt>
                <c:pt idx="12">
                  <c:v>7474</c:v>
                </c:pt>
                <c:pt idx="13">
                  <c:v>7785</c:v>
                </c:pt>
                <c:pt idx="14">
                  <c:v>10595</c:v>
                </c:pt>
                <c:pt idx="15">
                  <c:v>10595</c:v>
                </c:pt>
                <c:pt idx="16">
                  <c:v>14518</c:v>
                </c:pt>
                <c:pt idx="17">
                  <c:v>19260</c:v>
                </c:pt>
                <c:pt idx="18">
                  <c:v>23076</c:v>
                </c:pt>
                <c:pt idx="19">
                  <c:v>24010</c:v>
                </c:pt>
                <c:pt idx="20">
                  <c:v>25624</c:v>
                </c:pt>
                <c:pt idx="21">
                  <c:v>26165</c:v>
                </c:pt>
              </c:numCache>
            </c:numRef>
          </c:val>
          <c:extLst>
            <c:ext xmlns:c16="http://schemas.microsoft.com/office/drawing/2014/chart" uri="{C3380CC4-5D6E-409C-BE32-E72D297353CC}">
              <c16:uniqueId val="{00000223-81B5-40D4-8D7F-08B7B39063BB}"/>
            </c:ext>
          </c:extLst>
        </c:ser>
        <c:ser>
          <c:idx val="9"/>
          <c:order val="8"/>
          <c:tx>
            <c:strRef>
              <c:f>'NewAndRetiredCapacity Data'!$A$10</c:f>
              <c:strCache>
                <c:ptCount val="1"/>
                <c:pt idx="0">
                  <c:v>Utility storage</c:v>
                </c:pt>
              </c:strCache>
            </c:strRef>
          </c:tx>
          <c:spPr>
            <a:solidFill>
              <a:srgbClr val="842593"/>
            </a:solidFill>
            <a:ln>
              <a:noFill/>
            </a:ln>
            <a:effectLst/>
          </c:spPr>
          <c:invertIfNegative val="0"/>
          <c:dPt>
            <c:idx val="0"/>
            <c:invertIfNegative val="0"/>
            <c:bubble3D val="0"/>
            <c:extLst>
              <c:ext xmlns:c16="http://schemas.microsoft.com/office/drawing/2014/chart" uri="{C3380CC4-5D6E-409C-BE32-E72D297353CC}">
                <c16:uniqueId val="{00000225-81B5-40D4-8D7F-08B7B39063BB}"/>
              </c:ext>
            </c:extLst>
          </c:dPt>
          <c:dPt>
            <c:idx val="1"/>
            <c:invertIfNegative val="0"/>
            <c:bubble3D val="0"/>
            <c:extLst>
              <c:ext xmlns:c16="http://schemas.microsoft.com/office/drawing/2014/chart" uri="{C3380CC4-5D6E-409C-BE32-E72D297353CC}">
                <c16:uniqueId val="{00000226-81B5-40D4-8D7F-08B7B39063BB}"/>
              </c:ext>
            </c:extLst>
          </c:dPt>
          <c:dPt>
            <c:idx val="2"/>
            <c:invertIfNegative val="0"/>
            <c:bubble3D val="0"/>
            <c:extLst>
              <c:ext xmlns:c16="http://schemas.microsoft.com/office/drawing/2014/chart" uri="{C3380CC4-5D6E-409C-BE32-E72D297353CC}">
                <c16:uniqueId val="{00000227-81B5-40D4-8D7F-08B7B39063BB}"/>
              </c:ext>
            </c:extLst>
          </c:dPt>
          <c:dPt>
            <c:idx val="3"/>
            <c:invertIfNegative val="0"/>
            <c:bubble3D val="0"/>
            <c:extLst>
              <c:ext xmlns:c16="http://schemas.microsoft.com/office/drawing/2014/chart" uri="{C3380CC4-5D6E-409C-BE32-E72D297353CC}">
                <c16:uniqueId val="{00000228-81B5-40D4-8D7F-08B7B39063BB}"/>
              </c:ext>
            </c:extLst>
          </c:dPt>
          <c:dPt>
            <c:idx val="4"/>
            <c:invertIfNegative val="0"/>
            <c:bubble3D val="0"/>
            <c:extLst>
              <c:ext xmlns:c16="http://schemas.microsoft.com/office/drawing/2014/chart" uri="{C3380CC4-5D6E-409C-BE32-E72D297353CC}">
                <c16:uniqueId val="{00000229-81B5-40D4-8D7F-08B7B39063BB}"/>
              </c:ext>
            </c:extLst>
          </c:dPt>
          <c:dPt>
            <c:idx val="5"/>
            <c:invertIfNegative val="0"/>
            <c:bubble3D val="0"/>
            <c:extLst>
              <c:ext xmlns:c16="http://schemas.microsoft.com/office/drawing/2014/chart" uri="{C3380CC4-5D6E-409C-BE32-E72D297353CC}">
                <c16:uniqueId val="{0000022A-81B5-40D4-8D7F-08B7B39063BB}"/>
              </c:ext>
            </c:extLst>
          </c:dPt>
          <c:dPt>
            <c:idx val="6"/>
            <c:invertIfNegative val="0"/>
            <c:bubble3D val="0"/>
            <c:extLst>
              <c:ext xmlns:c16="http://schemas.microsoft.com/office/drawing/2014/chart" uri="{C3380CC4-5D6E-409C-BE32-E72D297353CC}">
                <c16:uniqueId val="{0000022B-81B5-40D4-8D7F-08B7B39063BB}"/>
              </c:ext>
            </c:extLst>
          </c:dPt>
          <c:dPt>
            <c:idx val="7"/>
            <c:invertIfNegative val="0"/>
            <c:bubble3D val="0"/>
            <c:extLst>
              <c:ext xmlns:c16="http://schemas.microsoft.com/office/drawing/2014/chart" uri="{C3380CC4-5D6E-409C-BE32-E72D297353CC}">
                <c16:uniqueId val="{0000022C-81B5-40D4-8D7F-08B7B39063BB}"/>
              </c:ext>
            </c:extLst>
          </c:dPt>
          <c:dPt>
            <c:idx val="8"/>
            <c:invertIfNegative val="0"/>
            <c:bubble3D val="0"/>
            <c:extLst>
              <c:ext xmlns:c16="http://schemas.microsoft.com/office/drawing/2014/chart" uri="{C3380CC4-5D6E-409C-BE32-E72D297353CC}">
                <c16:uniqueId val="{0000022D-81B5-40D4-8D7F-08B7B39063BB}"/>
              </c:ext>
            </c:extLst>
          </c:dPt>
          <c:dPt>
            <c:idx val="9"/>
            <c:invertIfNegative val="0"/>
            <c:bubble3D val="0"/>
            <c:extLst>
              <c:ext xmlns:c16="http://schemas.microsoft.com/office/drawing/2014/chart" uri="{C3380CC4-5D6E-409C-BE32-E72D297353CC}">
                <c16:uniqueId val="{0000022E-81B5-40D4-8D7F-08B7B39063BB}"/>
              </c:ext>
            </c:extLst>
          </c:dPt>
          <c:dPt>
            <c:idx val="10"/>
            <c:invertIfNegative val="0"/>
            <c:bubble3D val="0"/>
            <c:extLst>
              <c:ext xmlns:c16="http://schemas.microsoft.com/office/drawing/2014/chart" uri="{C3380CC4-5D6E-409C-BE32-E72D297353CC}">
                <c16:uniqueId val="{0000022F-81B5-40D4-8D7F-08B7B39063BB}"/>
              </c:ext>
            </c:extLst>
          </c:dPt>
          <c:dPt>
            <c:idx val="11"/>
            <c:invertIfNegative val="0"/>
            <c:bubble3D val="0"/>
            <c:extLst>
              <c:ext xmlns:c16="http://schemas.microsoft.com/office/drawing/2014/chart" uri="{C3380CC4-5D6E-409C-BE32-E72D297353CC}">
                <c16:uniqueId val="{00000230-81B5-40D4-8D7F-08B7B39063BB}"/>
              </c:ext>
            </c:extLst>
          </c:dPt>
          <c:dPt>
            <c:idx val="12"/>
            <c:invertIfNegative val="0"/>
            <c:bubble3D val="0"/>
            <c:extLst>
              <c:ext xmlns:c16="http://schemas.microsoft.com/office/drawing/2014/chart" uri="{C3380CC4-5D6E-409C-BE32-E72D297353CC}">
                <c16:uniqueId val="{00000231-81B5-40D4-8D7F-08B7B39063BB}"/>
              </c:ext>
            </c:extLst>
          </c:dPt>
          <c:dPt>
            <c:idx val="13"/>
            <c:invertIfNegative val="0"/>
            <c:bubble3D val="0"/>
            <c:extLst>
              <c:ext xmlns:c16="http://schemas.microsoft.com/office/drawing/2014/chart" uri="{C3380CC4-5D6E-409C-BE32-E72D297353CC}">
                <c16:uniqueId val="{00000232-81B5-40D4-8D7F-08B7B39063BB}"/>
              </c:ext>
            </c:extLst>
          </c:dPt>
          <c:dPt>
            <c:idx val="14"/>
            <c:invertIfNegative val="0"/>
            <c:bubble3D val="0"/>
            <c:extLst>
              <c:ext xmlns:c16="http://schemas.microsoft.com/office/drawing/2014/chart" uri="{C3380CC4-5D6E-409C-BE32-E72D297353CC}">
                <c16:uniqueId val="{00000233-81B5-40D4-8D7F-08B7B39063BB}"/>
              </c:ext>
            </c:extLst>
          </c:dPt>
          <c:dPt>
            <c:idx val="15"/>
            <c:invertIfNegative val="0"/>
            <c:bubble3D val="0"/>
            <c:extLst>
              <c:ext xmlns:c16="http://schemas.microsoft.com/office/drawing/2014/chart" uri="{C3380CC4-5D6E-409C-BE32-E72D297353CC}">
                <c16:uniqueId val="{00000234-81B5-40D4-8D7F-08B7B39063BB}"/>
              </c:ext>
            </c:extLst>
          </c:dPt>
          <c:dPt>
            <c:idx val="16"/>
            <c:invertIfNegative val="0"/>
            <c:bubble3D val="0"/>
            <c:extLst>
              <c:ext xmlns:c16="http://schemas.microsoft.com/office/drawing/2014/chart" uri="{C3380CC4-5D6E-409C-BE32-E72D297353CC}">
                <c16:uniqueId val="{00000235-81B5-40D4-8D7F-08B7B39063BB}"/>
              </c:ext>
            </c:extLst>
          </c:dPt>
          <c:dPt>
            <c:idx val="17"/>
            <c:invertIfNegative val="0"/>
            <c:bubble3D val="0"/>
            <c:extLst>
              <c:ext xmlns:c16="http://schemas.microsoft.com/office/drawing/2014/chart" uri="{C3380CC4-5D6E-409C-BE32-E72D297353CC}">
                <c16:uniqueId val="{00000236-81B5-40D4-8D7F-08B7B39063BB}"/>
              </c:ext>
            </c:extLst>
          </c:dPt>
          <c:dPt>
            <c:idx val="18"/>
            <c:invertIfNegative val="0"/>
            <c:bubble3D val="0"/>
            <c:extLst>
              <c:ext xmlns:c16="http://schemas.microsoft.com/office/drawing/2014/chart" uri="{C3380CC4-5D6E-409C-BE32-E72D297353CC}">
                <c16:uniqueId val="{00000237-81B5-40D4-8D7F-08B7B39063BB}"/>
              </c:ext>
            </c:extLst>
          </c:dPt>
          <c:dPt>
            <c:idx val="19"/>
            <c:invertIfNegative val="0"/>
            <c:bubble3D val="0"/>
            <c:extLst>
              <c:ext xmlns:c16="http://schemas.microsoft.com/office/drawing/2014/chart" uri="{C3380CC4-5D6E-409C-BE32-E72D297353CC}">
                <c16:uniqueId val="{00000238-81B5-40D4-8D7F-08B7B39063BB}"/>
              </c:ext>
            </c:extLst>
          </c:dPt>
          <c:dPt>
            <c:idx val="20"/>
            <c:invertIfNegative val="0"/>
            <c:bubble3D val="0"/>
            <c:extLst>
              <c:ext xmlns:c16="http://schemas.microsoft.com/office/drawing/2014/chart" uri="{C3380CC4-5D6E-409C-BE32-E72D297353CC}">
                <c16:uniqueId val="{00000239-81B5-40D4-8D7F-08B7B39063BB}"/>
              </c:ext>
            </c:extLst>
          </c:dPt>
          <c:dPt>
            <c:idx val="21"/>
            <c:invertIfNegative val="0"/>
            <c:bubble3D val="0"/>
            <c:extLst>
              <c:ext xmlns:c16="http://schemas.microsoft.com/office/drawing/2014/chart" uri="{C3380CC4-5D6E-409C-BE32-E72D297353CC}">
                <c16:uniqueId val="{0000023A-81B5-40D4-8D7F-08B7B39063BB}"/>
              </c:ext>
            </c:extLst>
          </c:dPt>
          <c:dPt>
            <c:idx val="22"/>
            <c:invertIfNegative val="0"/>
            <c:bubble3D val="0"/>
            <c:extLst>
              <c:ext xmlns:c16="http://schemas.microsoft.com/office/drawing/2014/chart" uri="{C3380CC4-5D6E-409C-BE32-E72D297353CC}">
                <c16:uniqueId val="{0000023B-81B5-40D4-8D7F-08B7B39063BB}"/>
              </c:ext>
            </c:extLst>
          </c:dPt>
          <c:dPt>
            <c:idx val="23"/>
            <c:invertIfNegative val="0"/>
            <c:bubble3D val="0"/>
            <c:extLst>
              <c:ext xmlns:c16="http://schemas.microsoft.com/office/drawing/2014/chart" uri="{C3380CC4-5D6E-409C-BE32-E72D297353CC}">
                <c16:uniqueId val="{0000023C-81B5-40D4-8D7F-08B7B39063BB}"/>
              </c:ext>
            </c:extLst>
          </c:dPt>
          <c:dPt>
            <c:idx val="24"/>
            <c:invertIfNegative val="0"/>
            <c:bubble3D val="0"/>
            <c:extLst>
              <c:ext xmlns:c16="http://schemas.microsoft.com/office/drawing/2014/chart" uri="{C3380CC4-5D6E-409C-BE32-E72D297353CC}">
                <c16:uniqueId val="{0000023D-81B5-40D4-8D7F-08B7B39063BB}"/>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Data'!$B$10:$W$10</c:f>
              <c:numCache>
                <c:formatCode>#,##0_ ;\-#,##0\ </c:formatCode>
                <c:ptCount val="22"/>
                <c:pt idx="0">
                  <c:v>0</c:v>
                </c:pt>
                <c:pt idx="1">
                  <c:v>20</c:v>
                </c:pt>
                <c:pt idx="2">
                  <c:v>120</c:v>
                </c:pt>
                <c:pt idx="3">
                  <c:v>120</c:v>
                </c:pt>
                <c:pt idx="4">
                  <c:v>120</c:v>
                </c:pt>
                <c:pt idx="5">
                  <c:v>120</c:v>
                </c:pt>
                <c:pt idx="6">
                  <c:v>591</c:v>
                </c:pt>
                <c:pt idx="7">
                  <c:v>771</c:v>
                </c:pt>
                <c:pt idx="8">
                  <c:v>771</c:v>
                </c:pt>
                <c:pt idx="9">
                  <c:v>771</c:v>
                </c:pt>
                <c:pt idx="10">
                  <c:v>1091</c:v>
                </c:pt>
                <c:pt idx="11">
                  <c:v>1862</c:v>
                </c:pt>
                <c:pt idx="12">
                  <c:v>1862</c:v>
                </c:pt>
                <c:pt idx="13">
                  <c:v>2052</c:v>
                </c:pt>
                <c:pt idx="14">
                  <c:v>3429</c:v>
                </c:pt>
                <c:pt idx="15">
                  <c:v>3593</c:v>
                </c:pt>
                <c:pt idx="16">
                  <c:v>6397</c:v>
                </c:pt>
                <c:pt idx="17">
                  <c:v>9371</c:v>
                </c:pt>
                <c:pt idx="18">
                  <c:v>12258</c:v>
                </c:pt>
                <c:pt idx="19">
                  <c:v>13158</c:v>
                </c:pt>
                <c:pt idx="20">
                  <c:v>14388</c:v>
                </c:pt>
                <c:pt idx="21">
                  <c:v>14882</c:v>
                </c:pt>
              </c:numCache>
            </c:numRef>
          </c:val>
          <c:extLst>
            <c:ext xmlns:c16="http://schemas.microsoft.com/office/drawing/2014/chart" uri="{C3380CC4-5D6E-409C-BE32-E72D297353CC}">
              <c16:uniqueId val="{0000023E-81B5-40D4-8D7F-08B7B39063BB}"/>
            </c:ext>
          </c:extLst>
        </c:ser>
        <c:ser>
          <c:idx val="6"/>
          <c:order val="9"/>
          <c:tx>
            <c:strRef>
              <c:f>'NewAndRetiredCapacity Data'!$A$12</c:f>
              <c:strCache>
                <c:ptCount val="1"/>
                <c:pt idx="0">
                  <c:v>Distributed storage</c:v>
                </c:pt>
              </c:strCache>
            </c:strRef>
          </c:tx>
          <c:spPr>
            <a:solidFill>
              <a:srgbClr val="92D050"/>
            </a:solidFill>
            <a:ln>
              <a:noFill/>
            </a:ln>
            <a:effectLst/>
          </c:spPr>
          <c:invertIfNegative val="0"/>
          <c:dPt>
            <c:idx val="0"/>
            <c:invertIfNegative val="0"/>
            <c:bubble3D val="0"/>
            <c:extLst>
              <c:ext xmlns:c16="http://schemas.microsoft.com/office/drawing/2014/chart" uri="{C3380CC4-5D6E-409C-BE32-E72D297353CC}">
                <c16:uniqueId val="{00000240-81B5-40D4-8D7F-08B7B39063BB}"/>
              </c:ext>
            </c:extLst>
          </c:dPt>
          <c:dPt>
            <c:idx val="1"/>
            <c:invertIfNegative val="0"/>
            <c:bubble3D val="0"/>
            <c:extLst>
              <c:ext xmlns:c16="http://schemas.microsoft.com/office/drawing/2014/chart" uri="{C3380CC4-5D6E-409C-BE32-E72D297353CC}">
                <c16:uniqueId val="{00000241-81B5-40D4-8D7F-08B7B39063BB}"/>
              </c:ext>
            </c:extLst>
          </c:dPt>
          <c:dPt>
            <c:idx val="2"/>
            <c:invertIfNegative val="0"/>
            <c:bubble3D val="0"/>
            <c:extLst>
              <c:ext xmlns:c16="http://schemas.microsoft.com/office/drawing/2014/chart" uri="{C3380CC4-5D6E-409C-BE32-E72D297353CC}">
                <c16:uniqueId val="{00000242-81B5-40D4-8D7F-08B7B39063BB}"/>
              </c:ext>
            </c:extLst>
          </c:dPt>
          <c:dPt>
            <c:idx val="3"/>
            <c:invertIfNegative val="0"/>
            <c:bubble3D val="0"/>
            <c:extLst>
              <c:ext xmlns:c16="http://schemas.microsoft.com/office/drawing/2014/chart" uri="{C3380CC4-5D6E-409C-BE32-E72D297353CC}">
                <c16:uniqueId val="{00000243-81B5-40D4-8D7F-08B7B39063BB}"/>
              </c:ext>
            </c:extLst>
          </c:dPt>
          <c:dPt>
            <c:idx val="4"/>
            <c:invertIfNegative val="0"/>
            <c:bubble3D val="0"/>
            <c:extLst>
              <c:ext xmlns:c16="http://schemas.microsoft.com/office/drawing/2014/chart" uri="{C3380CC4-5D6E-409C-BE32-E72D297353CC}">
                <c16:uniqueId val="{00000244-81B5-40D4-8D7F-08B7B39063BB}"/>
              </c:ext>
            </c:extLst>
          </c:dPt>
          <c:dPt>
            <c:idx val="5"/>
            <c:invertIfNegative val="0"/>
            <c:bubble3D val="0"/>
            <c:extLst>
              <c:ext xmlns:c16="http://schemas.microsoft.com/office/drawing/2014/chart" uri="{C3380CC4-5D6E-409C-BE32-E72D297353CC}">
                <c16:uniqueId val="{00000245-81B5-40D4-8D7F-08B7B39063BB}"/>
              </c:ext>
            </c:extLst>
          </c:dPt>
          <c:dPt>
            <c:idx val="6"/>
            <c:invertIfNegative val="0"/>
            <c:bubble3D val="0"/>
            <c:extLst>
              <c:ext xmlns:c16="http://schemas.microsoft.com/office/drawing/2014/chart" uri="{C3380CC4-5D6E-409C-BE32-E72D297353CC}">
                <c16:uniqueId val="{00000246-81B5-40D4-8D7F-08B7B39063BB}"/>
              </c:ext>
            </c:extLst>
          </c:dPt>
          <c:dPt>
            <c:idx val="7"/>
            <c:invertIfNegative val="0"/>
            <c:bubble3D val="0"/>
            <c:extLst>
              <c:ext xmlns:c16="http://schemas.microsoft.com/office/drawing/2014/chart" uri="{C3380CC4-5D6E-409C-BE32-E72D297353CC}">
                <c16:uniqueId val="{00000247-81B5-40D4-8D7F-08B7B39063BB}"/>
              </c:ext>
            </c:extLst>
          </c:dPt>
          <c:dPt>
            <c:idx val="8"/>
            <c:invertIfNegative val="0"/>
            <c:bubble3D val="0"/>
            <c:extLst>
              <c:ext xmlns:c16="http://schemas.microsoft.com/office/drawing/2014/chart" uri="{C3380CC4-5D6E-409C-BE32-E72D297353CC}">
                <c16:uniqueId val="{00000248-81B5-40D4-8D7F-08B7B39063BB}"/>
              </c:ext>
            </c:extLst>
          </c:dPt>
          <c:dPt>
            <c:idx val="9"/>
            <c:invertIfNegative val="0"/>
            <c:bubble3D val="0"/>
            <c:extLst>
              <c:ext xmlns:c16="http://schemas.microsoft.com/office/drawing/2014/chart" uri="{C3380CC4-5D6E-409C-BE32-E72D297353CC}">
                <c16:uniqueId val="{00000249-81B5-40D4-8D7F-08B7B39063BB}"/>
              </c:ext>
            </c:extLst>
          </c:dPt>
          <c:dPt>
            <c:idx val="10"/>
            <c:invertIfNegative val="0"/>
            <c:bubble3D val="0"/>
            <c:extLst>
              <c:ext xmlns:c16="http://schemas.microsoft.com/office/drawing/2014/chart" uri="{C3380CC4-5D6E-409C-BE32-E72D297353CC}">
                <c16:uniqueId val="{0000024A-81B5-40D4-8D7F-08B7B39063BB}"/>
              </c:ext>
            </c:extLst>
          </c:dPt>
          <c:dPt>
            <c:idx val="11"/>
            <c:invertIfNegative val="0"/>
            <c:bubble3D val="0"/>
            <c:extLst>
              <c:ext xmlns:c16="http://schemas.microsoft.com/office/drawing/2014/chart" uri="{C3380CC4-5D6E-409C-BE32-E72D297353CC}">
                <c16:uniqueId val="{0000024B-81B5-40D4-8D7F-08B7B39063BB}"/>
              </c:ext>
            </c:extLst>
          </c:dPt>
          <c:dPt>
            <c:idx val="12"/>
            <c:invertIfNegative val="0"/>
            <c:bubble3D val="0"/>
            <c:extLst>
              <c:ext xmlns:c16="http://schemas.microsoft.com/office/drawing/2014/chart" uri="{C3380CC4-5D6E-409C-BE32-E72D297353CC}">
                <c16:uniqueId val="{0000024C-81B5-40D4-8D7F-08B7B39063BB}"/>
              </c:ext>
            </c:extLst>
          </c:dPt>
          <c:dPt>
            <c:idx val="13"/>
            <c:invertIfNegative val="0"/>
            <c:bubble3D val="0"/>
            <c:extLst>
              <c:ext xmlns:c16="http://schemas.microsoft.com/office/drawing/2014/chart" uri="{C3380CC4-5D6E-409C-BE32-E72D297353CC}">
                <c16:uniqueId val="{0000024D-81B5-40D4-8D7F-08B7B39063BB}"/>
              </c:ext>
            </c:extLst>
          </c:dPt>
          <c:dPt>
            <c:idx val="14"/>
            <c:invertIfNegative val="0"/>
            <c:bubble3D val="0"/>
            <c:extLst>
              <c:ext xmlns:c16="http://schemas.microsoft.com/office/drawing/2014/chart" uri="{C3380CC4-5D6E-409C-BE32-E72D297353CC}">
                <c16:uniqueId val="{0000024E-81B5-40D4-8D7F-08B7B39063BB}"/>
              </c:ext>
            </c:extLst>
          </c:dPt>
          <c:dPt>
            <c:idx val="15"/>
            <c:invertIfNegative val="0"/>
            <c:bubble3D val="0"/>
            <c:extLst>
              <c:ext xmlns:c16="http://schemas.microsoft.com/office/drawing/2014/chart" uri="{C3380CC4-5D6E-409C-BE32-E72D297353CC}">
                <c16:uniqueId val="{0000024F-81B5-40D4-8D7F-08B7B39063BB}"/>
              </c:ext>
            </c:extLst>
          </c:dPt>
          <c:dPt>
            <c:idx val="16"/>
            <c:invertIfNegative val="0"/>
            <c:bubble3D val="0"/>
            <c:extLst>
              <c:ext xmlns:c16="http://schemas.microsoft.com/office/drawing/2014/chart" uri="{C3380CC4-5D6E-409C-BE32-E72D297353CC}">
                <c16:uniqueId val="{00000250-81B5-40D4-8D7F-08B7B39063BB}"/>
              </c:ext>
            </c:extLst>
          </c:dPt>
          <c:dPt>
            <c:idx val="17"/>
            <c:invertIfNegative val="0"/>
            <c:bubble3D val="0"/>
            <c:extLst>
              <c:ext xmlns:c16="http://schemas.microsoft.com/office/drawing/2014/chart" uri="{C3380CC4-5D6E-409C-BE32-E72D297353CC}">
                <c16:uniqueId val="{00000251-81B5-40D4-8D7F-08B7B39063BB}"/>
              </c:ext>
            </c:extLst>
          </c:dPt>
          <c:dPt>
            <c:idx val="18"/>
            <c:invertIfNegative val="0"/>
            <c:bubble3D val="0"/>
            <c:extLst>
              <c:ext xmlns:c16="http://schemas.microsoft.com/office/drawing/2014/chart" uri="{C3380CC4-5D6E-409C-BE32-E72D297353CC}">
                <c16:uniqueId val="{00000252-81B5-40D4-8D7F-08B7B39063BB}"/>
              </c:ext>
            </c:extLst>
          </c:dPt>
          <c:dPt>
            <c:idx val="19"/>
            <c:invertIfNegative val="0"/>
            <c:bubble3D val="0"/>
            <c:extLst>
              <c:ext xmlns:c16="http://schemas.microsoft.com/office/drawing/2014/chart" uri="{C3380CC4-5D6E-409C-BE32-E72D297353CC}">
                <c16:uniqueId val="{00000253-81B5-40D4-8D7F-08B7B39063BB}"/>
              </c:ext>
            </c:extLst>
          </c:dPt>
          <c:dPt>
            <c:idx val="20"/>
            <c:invertIfNegative val="0"/>
            <c:bubble3D val="0"/>
            <c:extLst>
              <c:ext xmlns:c16="http://schemas.microsoft.com/office/drawing/2014/chart" uri="{C3380CC4-5D6E-409C-BE32-E72D297353CC}">
                <c16:uniqueId val="{00000254-81B5-40D4-8D7F-08B7B39063BB}"/>
              </c:ext>
            </c:extLst>
          </c:dPt>
          <c:dPt>
            <c:idx val="21"/>
            <c:invertIfNegative val="0"/>
            <c:bubble3D val="0"/>
            <c:extLst>
              <c:ext xmlns:c16="http://schemas.microsoft.com/office/drawing/2014/chart" uri="{C3380CC4-5D6E-409C-BE32-E72D297353CC}">
                <c16:uniqueId val="{00000255-81B5-40D4-8D7F-08B7B39063BB}"/>
              </c:ext>
            </c:extLst>
          </c:dPt>
          <c:dPt>
            <c:idx val="22"/>
            <c:invertIfNegative val="0"/>
            <c:bubble3D val="0"/>
            <c:extLst>
              <c:ext xmlns:c16="http://schemas.microsoft.com/office/drawing/2014/chart" uri="{C3380CC4-5D6E-409C-BE32-E72D297353CC}">
                <c16:uniqueId val="{00000256-81B5-40D4-8D7F-08B7B39063BB}"/>
              </c:ext>
            </c:extLst>
          </c:dPt>
          <c:dPt>
            <c:idx val="23"/>
            <c:invertIfNegative val="0"/>
            <c:bubble3D val="0"/>
            <c:extLst>
              <c:ext xmlns:c16="http://schemas.microsoft.com/office/drawing/2014/chart" uri="{C3380CC4-5D6E-409C-BE32-E72D297353CC}">
                <c16:uniqueId val="{00000257-81B5-40D4-8D7F-08B7B39063BB}"/>
              </c:ext>
            </c:extLst>
          </c:dPt>
          <c:dPt>
            <c:idx val="24"/>
            <c:invertIfNegative val="0"/>
            <c:bubble3D val="0"/>
            <c:extLst>
              <c:ext xmlns:c16="http://schemas.microsoft.com/office/drawing/2014/chart" uri="{C3380CC4-5D6E-409C-BE32-E72D297353CC}">
                <c16:uniqueId val="{00000258-81B5-40D4-8D7F-08B7B39063BB}"/>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Data'!$B$12:$W$12</c:f>
              <c:numCache>
                <c:formatCode>#,##0_ ;\-#,##0\ </c:formatCode>
                <c:ptCount val="22"/>
                <c:pt idx="0">
                  <c:v>0</c:v>
                </c:pt>
                <c:pt idx="1">
                  <c:v>288.88</c:v>
                </c:pt>
                <c:pt idx="2">
                  <c:v>665.11</c:v>
                </c:pt>
                <c:pt idx="3">
                  <c:v>1011.3399999999999</c:v>
                </c:pt>
                <c:pt idx="4">
                  <c:v>1343.9</c:v>
                </c:pt>
                <c:pt idx="5">
                  <c:v>1663.06</c:v>
                </c:pt>
                <c:pt idx="6">
                  <c:v>1976.1000000000001</c:v>
                </c:pt>
                <c:pt idx="7">
                  <c:v>2275.6899999999996</c:v>
                </c:pt>
                <c:pt idx="8">
                  <c:v>2568.8599999999997</c:v>
                </c:pt>
                <c:pt idx="9">
                  <c:v>2854.41</c:v>
                </c:pt>
                <c:pt idx="10">
                  <c:v>3133.92</c:v>
                </c:pt>
                <c:pt idx="11">
                  <c:v>3411.12</c:v>
                </c:pt>
                <c:pt idx="12">
                  <c:v>3667.8199999999997</c:v>
                </c:pt>
                <c:pt idx="13">
                  <c:v>3900.08</c:v>
                </c:pt>
                <c:pt idx="14">
                  <c:v>4123.63</c:v>
                </c:pt>
                <c:pt idx="15">
                  <c:v>4339.12</c:v>
                </c:pt>
                <c:pt idx="16">
                  <c:v>4548.2699999999995</c:v>
                </c:pt>
                <c:pt idx="17">
                  <c:v>4753.29</c:v>
                </c:pt>
                <c:pt idx="18">
                  <c:v>4949.6899999999996</c:v>
                </c:pt>
                <c:pt idx="19">
                  <c:v>5139.84</c:v>
                </c:pt>
                <c:pt idx="20">
                  <c:v>5280.4</c:v>
                </c:pt>
                <c:pt idx="21">
                  <c:v>5461.92</c:v>
                </c:pt>
              </c:numCache>
            </c:numRef>
          </c:val>
          <c:extLst>
            <c:ext xmlns:c16="http://schemas.microsoft.com/office/drawing/2014/chart" uri="{C3380CC4-5D6E-409C-BE32-E72D297353CC}">
              <c16:uniqueId val="{00000259-81B5-40D4-8D7F-08B7B39063BB}"/>
            </c:ext>
          </c:extLst>
        </c:ser>
        <c:ser>
          <c:idx val="12"/>
          <c:order val="10"/>
          <c:tx>
            <c:strRef>
              <c:f>'NewAndRetiredCapacity Data'!$A$13</c:f>
              <c:strCache>
                <c:ptCount val="1"/>
                <c:pt idx="0">
                  <c:v>Rooftop PV</c:v>
                </c:pt>
              </c:strCache>
            </c:strRef>
          </c:tx>
          <c:spPr>
            <a:solidFill>
              <a:srgbClr val="FFE7A7"/>
            </a:solidFill>
            <a:ln>
              <a:noFill/>
            </a:ln>
          </c:spPr>
          <c:invertIfNegative val="0"/>
          <c:dPt>
            <c:idx val="0"/>
            <c:invertIfNegative val="0"/>
            <c:bubble3D val="0"/>
            <c:spPr>
              <a:solidFill>
                <a:srgbClr val="FFE7A7"/>
              </a:solidFill>
              <a:ln w="3175" cmpd="sng">
                <a:noFill/>
                <a:prstDash val="solid"/>
              </a:ln>
            </c:spPr>
            <c:extLst>
              <c:ext xmlns:c16="http://schemas.microsoft.com/office/drawing/2014/chart" uri="{C3380CC4-5D6E-409C-BE32-E72D297353CC}">
                <c16:uniqueId val="{0000025C-81B5-40D4-8D7F-08B7B39063BB}"/>
              </c:ext>
            </c:extLst>
          </c:dPt>
          <c:dPt>
            <c:idx val="1"/>
            <c:invertIfNegative val="0"/>
            <c:bubble3D val="0"/>
            <c:spPr>
              <a:solidFill>
                <a:srgbClr val="FFE7A7"/>
              </a:solidFill>
              <a:ln w="3175" cmpd="sng">
                <a:noFill/>
                <a:prstDash val="solid"/>
              </a:ln>
            </c:spPr>
            <c:extLst>
              <c:ext xmlns:c16="http://schemas.microsoft.com/office/drawing/2014/chart" uri="{C3380CC4-5D6E-409C-BE32-E72D297353CC}">
                <c16:uniqueId val="{0000025E-81B5-40D4-8D7F-08B7B39063BB}"/>
              </c:ext>
            </c:extLst>
          </c:dPt>
          <c:dPt>
            <c:idx val="2"/>
            <c:invertIfNegative val="0"/>
            <c:bubble3D val="0"/>
            <c:spPr>
              <a:solidFill>
                <a:srgbClr val="FFE7A7"/>
              </a:solidFill>
              <a:ln w="3175" cmpd="sng">
                <a:noFill/>
                <a:prstDash val="solid"/>
              </a:ln>
            </c:spPr>
            <c:extLst>
              <c:ext xmlns:c16="http://schemas.microsoft.com/office/drawing/2014/chart" uri="{C3380CC4-5D6E-409C-BE32-E72D297353CC}">
                <c16:uniqueId val="{00000260-81B5-40D4-8D7F-08B7B39063BB}"/>
              </c:ext>
            </c:extLst>
          </c:dPt>
          <c:dPt>
            <c:idx val="3"/>
            <c:invertIfNegative val="0"/>
            <c:bubble3D val="0"/>
            <c:spPr>
              <a:solidFill>
                <a:srgbClr val="FFE7A7"/>
              </a:solidFill>
              <a:ln w="3175" cmpd="sng">
                <a:noFill/>
                <a:prstDash val="solid"/>
              </a:ln>
            </c:spPr>
            <c:extLst>
              <c:ext xmlns:c16="http://schemas.microsoft.com/office/drawing/2014/chart" uri="{C3380CC4-5D6E-409C-BE32-E72D297353CC}">
                <c16:uniqueId val="{00000262-81B5-40D4-8D7F-08B7B39063BB}"/>
              </c:ext>
            </c:extLst>
          </c:dPt>
          <c:dPt>
            <c:idx val="4"/>
            <c:invertIfNegative val="0"/>
            <c:bubble3D val="0"/>
            <c:spPr>
              <a:solidFill>
                <a:srgbClr val="FFE7A7"/>
              </a:solidFill>
              <a:ln w="3175" cmpd="sng">
                <a:noFill/>
                <a:prstDash val="solid"/>
              </a:ln>
            </c:spPr>
            <c:extLst>
              <c:ext xmlns:c16="http://schemas.microsoft.com/office/drawing/2014/chart" uri="{C3380CC4-5D6E-409C-BE32-E72D297353CC}">
                <c16:uniqueId val="{00000264-81B5-40D4-8D7F-08B7B39063BB}"/>
              </c:ext>
            </c:extLst>
          </c:dPt>
          <c:dPt>
            <c:idx val="5"/>
            <c:invertIfNegative val="0"/>
            <c:bubble3D val="0"/>
            <c:spPr>
              <a:solidFill>
                <a:srgbClr val="FFE7A7"/>
              </a:solidFill>
              <a:ln w="3175" cmpd="sng">
                <a:noFill/>
                <a:prstDash val="solid"/>
              </a:ln>
            </c:spPr>
            <c:extLst>
              <c:ext xmlns:c16="http://schemas.microsoft.com/office/drawing/2014/chart" uri="{C3380CC4-5D6E-409C-BE32-E72D297353CC}">
                <c16:uniqueId val="{00000266-81B5-40D4-8D7F-08B7B39063BB}"/>
              </c:ext>
            </c:extLst>
          </c:dPt>
          <c:dPt>
            <c:idx val="6"/>
            <c:invertIfNegative val="0"/>
            <c:bubble3D val="0"/>
            <c:spPr>
              <a:solidFill>
                <a:srgbClr val="FFE7A7"/>
              </a:solidFill>
              <a:ln w="3175" cmpd="sng">
                <a:noFill/>
                <a:prstDash val="solid"/>
              </a:ln>
            </c:spPr>
            <c:extLst>
              <c:ext xmlns:c16="http://schemas.microsoft.com/office/drawing/2014/chart" uri="{C3380CC4-5D6E-409C-BE32-E72D297353CC}">
                <c16:uniqueId val="{00000268-81B5-40D4-8D7F-08B7B39063BB}"/>
              </c:ext>
            </c:extLst>
          </c:dPt>
          <c:dPt>
            <c:idx val="7"/>
            <c:invertIfNegative val="0"/>
            <c:bubble3D val="0"/>
            <c:spPr>
              <a:solidFill>
                <a:srgbClr val="FFE7A7"/>
              </a:solidFill>
              <a:ln w="3175" cmpd="sng">
                <a:noFill/>
                <a:prstDash val="solid"/>
              </a:ln>
            </c:spPr>
            <c:extLst>
              <c:ext xmlns:c16="http://schemas.microsoft.com/office/drawing/2014/chart" uri="{C3380CC4-5D6E-409C-BE32-E72D297353CC}">
                <c16:uniqueId val="{0000026A-81B5-40D4-8D7F-08B7B39063BB}"/>
              </c:ext>
            </c:extLst>
          </c:dPt>
          <c:dPt>
            <c:idx val="8"/>
            <c:invertIfNegative val="0"/>
            <c:bubble3D val="0"/>
            <c:spPr>
              <a:solidFill>
                <a:srgbClr val="FFE7A7"/>
              </a:solidFill>
              <a:ln w="3175" cmpd="sng">
                <a:noFill/>
                <a:prstDash val="solid"/>
              </a:ln>
            </c:spPr>
            <c:extLst>
              <c:ext xmlns:c16="http://schemas.microsoft.com/office/drawing/2014/chart" uri="{C3380CC4-5D6E-409C-BE32-E72D297353CC}">
                <c16:uniqueId val="{0000026C-81B5-40D4-8D7F-08B7B39063BB}"/>
              </c:ext>
            </c:extLst>
          </c:dPt>
          <c:dPt>
            <c:idx val="9"/>
            <c:invertIfNegative val="0"/>
            <c:bubble3D val="0"/>
            <c:spPr>
              <a:solidFill>
                <a:srgbClr val="FFE7A7"/>
              </a:solidFill>
              <a:ln w="3175" cmpd="sng">
                <a:noFill/>
                <a:prstDash val="solid"/>
              </a:ln>
            </c:spPr>
            <c:extLst>
              <c:ext xmlns:c16="http://schemas.microsoft.com/office/drawing/2014/chart" uri="{C3380CC4-5D6E-409C-BE32-E72D297353CC}">
                <c16:uniqueId val="{0000026E-81B5-40D4-8D7F-08B7B39063BB}"/>
              </c:ext>
            </c:extLst>
          </c:dPt>
          <c:dPt>
            <c:idx val="10"/>
            <c:invertIfNegative val="0"/>
            <c:bubble3D val="0"/>
            <c:spPr>
              <a:solidFill>
                <a:srgbClr val="FFE7A7"/>
              </a:solidFill>
              <a:ln w="3175" cmpd="sng">
                <a:noFill/>
                <a:prstDash val="solid"/>
              </a:ln>
            </c:spPr>
            <c:extLst>
              <c:ext xmlns:c16="http://schemas.microsoft.com/office/drawing/2014/chart" uri="{C3380CC4-5D6E-409C-BE32-E72D297353CC}">
                <c16:uniqueId val="{00000270-81B5-40D4-8D7F-08B7B39063BB}"/>
              </c:ext>
            </c:extLst>
          </c:dPt>
          <c:dPt>
            <c:idx val="11"/>
            <c:invertIfNegative val="0"/>
            <c:bubble3D val="0"/>
            <c:spPr>
              <a:solidFill>
                <a:srgbClr val="FFE7A7"/>
              </a:solidFill>
              <a:ln w="3175" cmpd="sng">
                <a:noFill/>
                <a:prstDash val="solid"/>
              </a:ln>
            </c:spPr>
            <c:extLst>
              <c:ext xmlns:c16="http://schemas.microsoft.com/office/drawing/2014/chart" uri="{C3380CC4-5D6E-409C-BE32-E72D297353CC}">
                <c16:uniqueId val="{00000272-81B5-40D4-8D7F-08B7B39063BB}"/>
              </c:ext>
            </c:extLst>
          </c:dPt>
          <c:dPt>
            <c:idx val="12"/>
            <c:invertIfNegative val="0"/>
            <c:bubble3D val="0"/>
            <c:spPr>
              <a:solidFill>
                <a:srgbClr val="FFE7A7"/>
              </a:solidFill>
              <a:ln w="3175" cmpd="sng">
                <a:noFill/>
                <a:prstDash val="solid"/>
              </a:ln>
            </c:spPr>
            <c:extLst>
              <c:ext xmlns:c16="http://schemas.microsoft.com/office/drawing/2014/chart" uri="{C3380CC4-5D6E-409C-BE32-E72D297353CC}">
                <c16:uniqueId val="{00000274-81B5-40D4-8D7F-08B7B39063BB}"/>
              </c:ext>
            </c:extLst>
          </c:dPt>
          <c:dPt>
            <c:idx val="13"/>
            <c:invertIfNegative val="0"/>
            <c:bubble3D val="0"/>
            <c:spPr>
              <a:solidFill>
                <a:srgbClr val="FFE7A7"/>
              </a:solidFill>
              <a:ln w="3175" cmpd="sng">
                <a:noFill/>
                <a:prstDash val="solid"/>
              </a:ln>
            </c:spPr>
            <c:extLst>
              <c:ext xmlns:c16="http://schemas.microsoft.com/office/drawing/2014/chart" uri="{C3380CC4-5D6E-409C-BE32-E72D297353CC}">
                <c16:uniqueId val="{00000276-81B5-40D4-8D7F-08B7B39063BB}"/>
              </c:ext>
            </c:extLst>
          </c:dPt>
          <c:dPt>
            <c:idx val="14"/>
            <c:invertIfNegative val="0"/>
            <c:bubble3D val="0"/>
            <c:spPr>
              <a:solidFill>
                <a:srgbClr val="FFE7A7"/>
              </a:solidFill>
              <a:ln w="3175" cmpd="sng">
                <a:noFill/>
                <a:prstDash val="solid"/>
              </a:ln>
            </c:spPr>
            <c:extLst>
              <c:ext xmlns:c16="http://schemas.microsoft.com/office/drawing/2014/chart" uri="{C3380CC4-5D6E-409C-BE32-E72D297353CC}">
                <c16:uniqueId val="{00000278-81B5-40D4-8D7F-08B7B39063BB}"/>
              </c:ext>
            </c:extLst>
          </c:dPt>
          <c:dPt>
            <c:idx val="15"/>
            <c:invertIfNegative val="0"/>
            <c:bubble3D val="0"/>
            <c:spPr>
              <a:solidFill>
                <a:srgbClr val="FFE7A7"/>
              </a:solidFill>
              <a:ln w="3175" cmpd="sng">
                <a:noFill/>
                <a:prstDash val="solid"/>
              </a:ln>
            </c:spPr>
            <c:extLst>
              <c:ext xmlns:c16="http://schemas.microsoft.com/office/drawing/2014/chart" uri="{C3380CC4-5D6E-409C-BE32-E72D297353CC}">
                <c16:uniqueId val="{0000027A-81B5-40D4-8D7F-08B7B39063BB}"/>
              </c:ext>
            </c:extLst>
          </c:dPt>
          <c:dPt>
            <c:idx val="16"/>
            <c:invertIfNegative val="0"/>
            <c:bubble3D val="0"/>
            <c:spPr>
              <a:solidFill>
                <a:srgbClr val="FFE7A7"/>
              </a:solidFill>
              <a:ln w="3175" cmpd="sng">
                <a:noFill/>
                <a:prstDash val="solid"/>
              </a:ln>
            </c:spPr>
            <c:extLst>
              <c:ext xmlns:c16="http://schemas.microsoft.com/office/drawing/2014/chart" uri="{C3380CC4-5D6E-409C-BE32-E72D297353CC}">
                <c16:uniqueId val="{0000027C-81B5-40D4-8D7F-08B7B39063BB}"/>
              </c:ext>
            </c:extLst>
          </c:dPt>
          <c:dPt>
            <c:idx val="17"/>
            <c:invertIfNegative val="0"/>
            <c:bubble3D val="0"/>
            <c:spPr>
              <a:solidFill>
                <a:srgbClr val="FFE7A7"/>
              </a:solidFill>
              <a:ln w="3175" cmpd="sng">
                <a:noFill/>
                <a:prstDash val="solid"/>
              </a:ln>
            </c:spPr>
            <c:extLst>
              <c:ext xmlns:c16="http://schemas.microsoft.com/office/drawing/2014/chart" uri="{C3380CC4-5D6E-409C-BE32-E72D297353CC}">
                <c16:uniqueId val="{0000027E-81B5-40D4-8D7F-08B7B39063BB}"/>
              </c:ext>
            </c:extLst>
          </c:dPt>
          <c:dPt>
            <c:idx val="18"/>
            <c:invertIfNegative val="0"/>
            <c:bubble3D val="0"/>
            <c:spPr>
              <a:solidFill>
                <a:srgbClr val="FFE7A7"/>
              </a:solidFill>
              <a:ln w="3175" cmpd="sng">
                <a:noFill/>
                <a:prstDash val="solid"/>
              </a:ln>
            </c:spPr>
            <c:extLst>
              <c:ext xmlns:c16="http://schemas.microsoft.com/office/drawing/2014/chart" uri="{C3380CC4-5D6E-409C-BE32-E72D297353CC}">
                <c16:uniqueId val="{00000280-81B5-40D4-8D7F-08B7B39063BB}"/>
              </c:ext>
            </c:extLst>
          </c:dPt>
          <c:dPt>
            <c:idx val="19"/>
            <c:invertIfNegative val="0"/>
            <c:bubble3D val="0"/>
            <c:spPr>
              <a:solidFill>
                <a:srgbClr val="FFE7A7"/>
              </a:solidFill>
              <a:ln w="3175" cmpd="sng">
                <a:noFill/>
                <a:prstDash val="solid"/>
              </a:ln>
            </c:spPr>
            <c:extLst>
              <c:ext xmlns:c16="http://schemas.microsoft.com/office/drawing/2014/chart" uri="{C3380CC4-5D6E-409C-BE32-E72D297353CC}">
                <c16:uniqueId val="{00000282-81B5-40D4-8D7F-08B7B39063BB}"/>
              </c:ext>
            </c:extLst>
          </c:dPt>
          <c:dPt>
            <c:idx val="20"/>
            <c:invertIfNegative val="0"/>
            <c:bubble3D val="0"/>
            <c:spPr>
              <a:solidFill>
                <a:srgbClr val="FFE7A7"/>
              </a:solidFill>
              <a:ln w="3175" cmpd="sng">
                <a:noFill/>
                <a:prstDash val="solid"/>
              </a:ln>
            </c:spPr>
            <c:extLst>
              <c:ext xmlns:c16="http://schemas.microsoft.com/office/drawing/2014/chart" uri="{C3380CC4-5D6E-409C-BE32-E72D297353CC}">
                <c16:uniqueId val="{00000284-81B5-40D4-8D7F-08B7B39063BB}"/>
              </c:ext>
            </c:extLst>
          </c:dPt>
          <c:dPt>
            <c:idx val="21"/>
            <c:invertIfNegative val="0"/>
            <c:bubble3D val="0"/>
            <c:spPr>
              <a:solidFill>
                <a:srgbClr val="FFE7A7"/>
              </a:solidFill>
              <a:ln w="3175" cmpd="sng">
                <a:noFill/>
                <a:prstDash val="solid"/>
              </a:ln>
            </c:spPr>
            <c:extLst>
              <c:ext xmlns:c16="http://schemas.microsoft.com/office/drawing/2014/chart" uri="{C3380CC4-5D6E-409C-BE32-E72D297353CC}">
                <c16:uniqueId val="{00000286-81B5-40D4-8D7F-08B7B39063BB}"/>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Data'!$B$13:$W$13</c:f>
              <c:numCache>
                <c:formatCode>#,##0_ ;\-#,##0\ </c:formatCode>
                <c:ptCount val="22"/>
                <c:pt idx="0">
                  <c:v>0</c:v>
                </c:pt>
                <c:pt idx="1">
                  <c:v>940</c:v>
                </c:pt>
                <c:pt idx="2">
                  <c:v>1862</c:v>
                </c:pt>
                <c:pt idx="3">
                  <c:v>2758</c:v>
                </c:pt>
                <c:pt idx="4">
                  <c:v>3634</c:v>
                </c:pt>
                <c:pt idx="5">
                  <c:v>4493</c:v>
                </c:pt>
                <c:pt idx="6">
                  <c:v>5327</c:v>
                </c:pt>
                <c:pt idx="7">
                  <c:v>6135</c:v>
                </c:pt>
                <c:pt idx="8">
                  <c:v>6924</c:v>
                </c:pt>
                <c:pt idx="9">
                  <c:v>7686</c:v>
                </c:pt>
                <c:pt idx="10">
                  <c:v>8415</c:v>
                </c:pt>
                <c:pt idx="11">
                  <c:v>9115</c:v>
                </c:pt>
                <c:pt idx="12">
                  <c:v>9768</c:v>
                </c:pt>
                <c:pt idx="13">
                  <c:v>10377</c:v>
                </c:pt>
                <c:pt idx="14">
                  <c:v>10921</c:v>
                </c:pt>
                <c:pt idx="15">
                  <c:v>11420</c:v>
                </c:pt>
                <c:pt idx="16">
                  <c:v>11890</c:v>
                </c:pt>
                <c:pt idx="17">
                  <c:v>12331</c:v>
                </c:pt>
                <c:pt idx="18">
                  <c:v>12734</c:v>
                </c:pt>
                <c:pt idx="19">
                  <c:v>13062</c:v>
                </c:pt>
                <c:pt idx="20">
                  <c:v>13400</c:v>
                </c:pt>
                <c:pt idx="21">
                  <c:v>13694</c:v>
                </c:pt>
              </c:numCache>
            </c:numRef>
          </c:val>
          <c:extLst>
            <c:ext xmlns:c16="http://schemas.microsoft.com/office/drawing/2014/chart" uri="{C3380CC4-5D6E-409C-BE32-E72D297353CC}">
              <c16:uniqueId val="{00000287-81B5-40D4-8D7F-08B7B39063BB}"/>
            </c:ext>
          </c:extLst>
        </c:ser>
        <c:dLbls>
          <c:showLegendKey val="0"/>
          <c:showVal val="0"/>
          <c:showCatName val="0"/>
          <c:showSerName val="0"/>
          <c:showPercent val="0"/>
          <c:showBubbleSize val="0"/>
        </c:dLbls>
        <c:gapWidth val="150"/>
        <c:overlap val="100"/>
        <c:axId val="790774792"/>
        <c:axId val="217006776"/>
        <c:extLst/>
      </c:barChart>
      <c:catAx>
        <c:axId val="7907747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sz="900" b="1"/>
                  <a:t>Year</a:t>
                </a:r>
              </a:p>
            </c:rich>
          </c:tx>
          <c:layout>
            <c:manualLayout>
              <c:xMode val="edge"/>
              <c:yMode val="edge"/>
              <c:x val="0.47444615998323514"/>
              <c:y val="0.76911129272482814"/>
            </c:manualLayout>
          </c:layout>
          <c:overlay val="0"/>
          <c:spPr>
            <a:noFill/>
            <a:ln>
              <a:noFill/>
            </a:ln>
            <a:effectLst/>
          </c:spPr>
        </c:title>
        <c:numFmt formatCode="#,##0"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217006776"/>
        <c:crosses val="autoZero"/>
        <c:auto val="1"/>
        <c:lblAlgn val="ctr"/>
        <c:lblOffset val="100"/>
        <c:noMultiLvlLbl val="0"/>
      </c:catAx>
      <c:valAx>
        <c:axId val="217006776"/>
        <c:scaling>
          <c:orientation val="minMax"/>
        </c:scaling>
        <c:delete val="0"/>
        <c:axPos val="l"/>
        <c:majorGridlines>
          <c:spPr>
            <a:ln w="6350"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sz="900" b="1"/>
                  <a:t>Installed capacity (MW)</a:t>
                </a:r>
              </a:p>
            </c:rich>
          </c:tx>
          <c:layout>
            <c:manualLayout>
              <c:xMode val="edge"/>
              <c:yMode val="edge"/>
              <c:x val="1.9746836230313414E-2"/>
              <c:y val="0.19704163874881597"/>
            </c:manualLayout>
          </c:layout>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790774792"/>
        <c:crosses val="autoZero"/>
        <c:crossBetween val="between"/>
      </c:valAx>
    </c:plotArea>
    <c:legend>
      <c:legendPos val="b"/>
      <c:layout>
        <c:manualLayout>
          <c:xMode val="edge"/>
          <c:yMode val="edge"/>
          <c:x val="0.18732249658749447"/>
          <c:y val="0.80852191077053737"/>
          <c:w val="0.68014288900533126"/>
          <c:h val="0.17080466276210157"/>
        </c:manualLayout>
      </c:layout>
      <c:overlay val="0"/>
      <c:spPr>
        <a:noFill/>
        <a:ln>
          <a:noFill/>
        </a:ln>
        <a:effectLst/>
        <a:extLst>
          <a:ext uri="{91240B29-F687-4F45-9708-019B960494DF}">
            <a14:hiddenLine xmlns:a14="http://schemas.microsoft.com/office/drawing/2010/main">
              <a:noFill/>
              <a:round/>
            </a14:hiddenLine>
          </a:ext>
        </a:ex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legend>
    <c:plotVisOnly val="1"/>
    <c:dispBlanksAs val="zero"/>
    <c:showDLblsOverMax val="0"/>
  </c:chart>
  <c:spPr>
    <a:noFill/>
    <a:ln w="9525" cap="flat" cmpd="sng" algn="ctr">
      <a:noFill/>
      <a:round/>
    </a:ln>
    <a:effectLst/>
  </c:spPr>
  <c:txPr>
    <a:bodyPr/>
    <a:lstStyle/>
    <a:p>
      <a:pPr>
        <a:defRPr>
          <a:solidFill>
            <a:schemeClr val="tx1"/>
          </a:solidFill>
        </a:defRPr>
      </a:pPr>
      <a:endParaRPr lang="en-US"/>
    </a:p>
  </c:txPr>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chartsheets/sheet1.xml><?xml version="1.0" encoding="utf-8"?>
<chartsheet xmlns="http://schemas.openxmlformats.org/spreadsheetml/2006/main" xmlns:r="http://schemas.openxmlformats.org/officeDocument/2006/relationships">
  <sheetPr codeName="Chart2"/>
  <sheetViews>
    <sheetView zoomScale="130" workbookViewId="0"/>
  </sheetViews>
  <pageMargins left="2.6181102362204722" right="2.6181102362204722" top="1.734251968503937" bottom="1.734251968503937" header="0.3" footer="0.3"/>
  <pageSetup paperSize="9" orientation="landscape" r:id="rId1"/>
  <drawing r:id="rId2"/>
</chartsheet>
</file>

<file path=xl/chartsheets/sheet2.xml><?xml version="1.0" encoding="utf-8"?>
<chartsheet xmlns="http://schemas.openxmlformats.org/spreadsheetml/2006/main" xmlns:r="http://schemas.openxmlformats.org/officeDocument/2006/relationships">
  <sheetPr codeName="Chart3"/>
  <sheetViews>
    <sheetView zoomScale="145" workbookViewId="0"/>
  </sheetViews>
  <pageMargins left="2.6181102362204722" right="2.6181102362204722" top="1.734251968503937" bottom="1.734251968503937" header="0.3" footer="0.3"/>
  <pageSetup paperSize="9" orientation="landscape" r:id="rId1"/>
  <drawing r:id="rId2"/>
</chartsheet>
</file>

<file path=xl/chartsheets/sheet3.xml><?xml version="1.0" encoding="utf-8"?>
<chartsheet xmlns="http://schemas.openxmlformats.org/spreadsheetml/2006/main" xmlns:r="http://schemas.openxmlformats.org/officeDocument/2006/relationships">
  <sheetPr codeName="Chart1"/>
  <sheetViews>
    <sheetView zoomScale="130" workbookViewId="0"/>
  </sheetViews>
  <pageMargins left="2.6181102362204722" right="2.6181102362204722" top="1.734251968503937" bottom="1.734251968503937" header="0.3" footer="0.3"/>
  <pageSetup paperSize="9" orientation="landscape" verticalDpi="1200"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absoluteAnchor>
    <xdr:pos x="0" y="0"/>
    <xdr:ext cx="5788269" cy="4278923"/>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5800397" cy="4289534"/>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5788269" cy="4278923"/>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NewAEMOtheme">
  <a:themeElements>
    <a:clrScheme name="AEMO">
      <a:dk1>
        <a:srgbClr val="222324"/>
      </a:dk1>
      <a:lt1>
        <a:sysClr val="window" lastClr="FFFFFF"/>
      </a:lt1>
      <a:dk2>
        <a:srgbClr val="000000"/>
      </a:dk2>
      <a:lt2>
        <a:srgbClr val="E0E8EA"/>
      </a:lt2>
      <a:accent1>
        <a:srgbClr val="C41230"/>
      </a:accent1>
      <a:accent2>
        <a:srgbClr val="360F3C"/>
      </a:accent2>
      <a:accent3>
        <a:srgbClr val="F37421"/>
      </a:accent3>
      <a:accent4>
        <a:srgbClr val="FFC222"/>
      </a:accent4>
      <a:accent5>
        <a:srgbClr val="82859C"/>
      </a:accent5>
      <a:accent6>
        <a:srgbClr val="B3E0EE"/>
      </a:accent6>
      <a:hlink>
        <a:srgbClr val="C41230"/>
      </a:hlink>
      <a:folHlink>
        <a:srgbClr val="C41230"/>
      </a:folHlink>
    </a:clrScheme>
    <a:fontScheme name="AEMO">
      <a:majorFont>
        <a:latin typeface="Tw Cen MT"/>
        <a:ea typeface=""/>
        <a:cs typeface=""/>
      </a:majorFont>
      <a:minorFont>
        <a:latin typeface="Tw Cen MT"/>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2"/>
        </a:solidFill>
        <a:ln>
          <a:noFill/>
        </a:ln>
      </a:spPr>
      <a:bodyPr rtlCol="0" anchor="ct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2:C27"/>
  <sheetViews>
    <sheetView tabSelected="1" zoomScaleNormal="100" workbookViewId="0"/>
  </sheetViews>
  <sheetFormatPr defaultColWidth="9.140625" defaultRowHeight="12.75" x14ac:dyDescent="0.2"/>
  <cols>
    <col min="1" max="1" width="3.140625" style="10" customWidth="1"/>
    <col min="2" max="2" width="30" style="10" customWidth="1"/>
    <col min="3" max="3" width="52.42578125" style="10" customWidth="1"/>
    <col min="4" max="16384" width="9.140625" style="10"/>
  </cols>
  <sheetData>
    <row r="2" spans="2:3" ht="25.5" x14ac:dyDescent="0.2">
      <c r="B2" s="11" t="s">
        <v>72</v>
      </c>
      <c r="C2" s="5"/>
    </row>
    <row r="3" spans="2:3" x14ac:dyDescent="0.2">
      <c r="B3" s="91"/>
      <c r="C3" s="91"/>
    </row>
    <row r="4" spans="2:3" ht="49.5" customHeight="1" x14ac:dyDescent="0.2">
      <c r="B4" s="92" t="s">
        <v>23</v>
      </c>
      <c r="C4" s="92"/>
    </row>
    <row r="5" spans="2:3" x14ac:dyDescent="0.2">
      <c r="B5" s="9"/>
      <c r="C5" s="9"/>
    </row>
    <row r="6" spans="2:3" ht="18" customHeight="1" x14ac:dyDescent="0.2">
      <c r="B6" s="12" t="s">
        <v>98</v>
      </c>
      <c r="C6" s="82"/>
    </row>
    <row r="7" spans="2:3" ht="16.5" customHeight="1" x14ac:dyDescent="0.2">
      <c r="B7" s="12"/>
      <c r="C7" s="82"/>
    </row>
    <row r="8" spans="2:3" ht="18" customHeight="1" x14ac:dyDescent="0.25">
      <c r="B8" s="102" t="s">
        <v>99</v>
      </c>
      <c r="C8" s="15" t="s">
        <v>100</v>
      </c>
    </row>
    <row r="9" spans="2:3" ht="18" customHeight="1" x14ac:dyDescent="0.2">
      <c r="B9" s="103" t="s">
        <v>101</v>
      </c>
      <c r="C9" s="17" t="s">
        <v>102</v>
      </c>
    </row>
    <row r="10" spans="2:3" ht="48" customHeight="1" x14ac:dyDescent="0.2">
      <c r="B10" s="104" t="s">
        <v>103</v>
      </c>
      <c r="C10" s="20" t="s">
        <v>104</v>
      </c>
    </row>
    <row r="11" spans="2:3" x14ac:dyDescent="0.2">
      <c r="B11" s="105"/>
      <c r="C11" s="13"/>
    </row>
    <row r="12" spans="2:3" ht="18" customHeight="1" x14ac:dyDescent="0.2">
      <c r="B12" s="81"/>
      <c r="C12" s="81"/>
    </row>
    <row r="13" spans="2:3" ht="18" customHeight="1" x14ac:dyDescent="0.2">
      <c r="B13" s="12" t="s">
        <v>43</v>
      </c>
      <c r="C13" s="81"/>
    </row>
    <row r="14" spans="2:3" ht="45" customHeight="1" x14ac:dyDescent="0.2">
      <c r="B14" s="92" t="s">
        <v>76</v>
      </c>
      <c r="C14" s="92"/>
    </row>
    <row r="15" spans="2:3" ht="15" x14ac:dyDescent="0.2">
      <c r="C15" s="6"/>
    </row>
    <row r="16" spans="2:3" ht="18.75" x14ac:dyDescent="0.2">
      <c r="B16" s="12" t="s">
        <v>24</v>
      </c>
      <c r="C16" s="6"/>
    </row>
    <row r="17" spans="1:3" ht="11.25" customHeight="1" x14ac:dyDescent="0.2">
      <c r="B17" s="12"/>
      <c r="C17" s="6"/>
    </row>
    <row r="18" spans="1:3" ht="15.75" x14ac:dyDescent="0.25">
      <c r="A18" s="13"/>
      <c r="B18" s="14" t="s">
        <v>25</v>
      </c>
      <c r="C18" s="15" t="s">
        <v>26</v>
      </c>
    </row>
    <row r="19" spans="1:3" ht="34.5" customHeight="1" x14ac:dyDescent="0.2">
      <c r="A19" s="13"/>
      <c r="B19" s="16" t="s">
        <v>77</v>
      </c>
      <c r="C19" s="17" t="s">
        <v>78</v>
      </c>
    </row>
    <row r="20" spans="1:3" ht="37.5" customHeight="1" x14ac:dyDescent="0.2">
      <c r="A20" s="13"/>
      <c r="B20" s="19" t="s">
        <v>105</v>
      </c>
      <c r="C20" s="83" t="s">
        <v>73</v>
      </c>
    </row>
    <row r="21" spans="1:3" ht="33.75" customHeight="1" x14ac:dyDescent="0.2">
      <c r="A21" s="13"/>
      <c r="B21" s="18" t="s">
        <v>27</v>
      </c>
      <c r="C21" s="89" t="s">
        <v>51</v>
      </c>
    </row>
    <row r="22" spans="1:3" ht="33.75" customHeight="1" x14ac:dyDescent="0.2">
      <c r="A22" s="13"/>
      <c r="B22" s="19" t="s">
        <v>28</v>
      </c>
      <c r="C22" s="93"/>
    </row>
    <row r="23" spans="1:3" ht="33.75" customHeight="1" x14ac:dyDescent="0.2">
      <c r="A23" s="13"/>
      <c r="B23" s="19" t="s">
        <v>29</v>
      </c>
      <c r="C23" s="90" t="s">
        <v>71</v>
      </c>
    </row>
    <row r="24" spans="1:3" ht="33.75" customHeight="1" x14ac:dyDescent="0.2">
      <c r="A24" s="13"/>
      <c r="B24" s="19" t="s">
        <v>30</v>
      </c>
      <c r="C24" s="90"/>
    </row>
    <row r="25" spans="1:3" ht="33.75" customHeight="1" x14ac:dyDescent="0.2">
      <c r="A25" s="13"/>
      <c r="B25" s="18" t="s">
        <v>31</v>
      </c>
      <c r="C25" s="89" t="s">
        <v>52</v>
      </c>
    </row>
    <row r="26" spans="1:3" ht="33.75" customHeight="1" x14ac:dyDescent="0.2">
      <c r="A26" s="13"/>
      <c r="B26" s="19" t="s">
        <v>32</v>
      </c>
      <c r="C26" s="90"/>
    </row>
    <row r="27" spans="1:3" ht="33.75" customHeight="1" x14ac:dyDescent="0.2">
      <c r="A27" s="13"/>
      <c r="B27" s="19" t="s">
        <v>33</v>
      </c>
      <c r="C27" s="20" t="s">
        <v>53</v>
      </c>
    </row>
  </sheetData>
  <mergeCells count="6">
    <mergeCell ref="C21:C22"/>
    <mergeCell ref="C23:C24"/>
    <mergeCell ref="C25:C26"/>
    <mergeCell ref="B3:C3"/>
    <mergeCell ref="B4:C4"/>
    <mergeCell ref="B14:C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T24"/>
  <sheetViews>
    <sheetView zoomScale="90" zoomScaleNormal="90" workbookViewId="0"/>
  </sheetViews>
  <sheetFormatPr defaultRowHeight="14.25" x14ac:dyDescent="0.2"/>
  <cols>
    <col min="1" max="1" width="2.28515625" style="61" customWidth="1"/>
    <col min="2" max="2" width="3.5703125" style="61" customWidth="1"/>
    <col min="3" max="6" width="22.7109375" style="61" customWidth="1"/>
    <col min="7" max="9" width="2.140625" style="61" customWidth="1"/>
    <col min="10" max="13" width="22.7109375" style="61" customWidth="1"/>
    <col min="14" max="16" width="2.140625" style="61" customWidth="1"/>
    <col min="17" max="20" width="22.7109375" style="61" customWidth="1"/>
    <col min="21" max="21" width="2.5703125" style="61" customWidth="1"/>
    <col min="22" max="16384" width="9.140625" style="61"/>
  </cols>
  <sheetData>
    <row r="1" spans="2:20" ht="15" thickBot="1" x14ac:dyDescent="0.25"/>
    <row r="2" spans="2:20" x14ac:dyDescent="0.2">
      <c r="B2" s="73"/>
      <c r="C2" s="74"/>
      <c r="D2" s="74"/>
      <c r="E2" s="74"/>
      <c r="F2" s="74"/>
      <c r="G2" s="75"/>
      <c r="I2" s="62"/>
      <c r="J2" s="62"/>
      <c r="K2" s="62"/>
      <c r="L2" s="62"/>
      <c r="M2" s="62"/>
      <c r="N2" s="62"/>
    </row>
    <row r="3" spans="2:20" ht="18.75" customHeight="1" x14ac:dyDescent="0.25">
      <c r="B3" s="76"/>
      <c r="C3" s="63" t="s">
        <v>79</v>
      </c>
      <c r="D3" s="64"/>
      <c r="E3" s="62"/>
      <c r="F3" s="62"/>
      <c r="G3" s="77"/>
      <c r="I3" s="62"/>
      <c r="J3" s="63" t="s">
        <v>80</v>
      </c>
      <c r="K3" s="64"/>
      <c r="N3" s="62"/>
      <c r="Q3" s="63" t="s">
        <v>81</v>
      </c>
      <c r="R3" s="64"/>
    </row>
    <row r="4" spans="2:20" ht="26.25" x14ac:dyDescent="0.25">
      <c r="B4" s="76"/>
      <c r="C4" s="65"/>
      <c r="D4" s="66" t="s">
        <v>82</v>
      </c>
      <c r="E4" s="66" t="s">
        <v>83</v>
      </c>
      <c r="F4" s="67" t="s">
        <v>74</v>
      </c>
      <c r="G4" s="77"/>
      <c r="I4" s="62"/>
      <c r="J4" s="65"/>
      <c r="K4" s="66" t="s">
        <v>84</v>
      </c>
      <c r="L4" s="66" t="s">
        <v>85</v>
      </c>
      <c r="M4" s="67" t="s">
        <v>74</v>
      </c>
      <c r="N4" s="62"/>
      <c r="Q4" s="68"/>
      <c r="R4" s="66" t="s">
        <v>86</v>
      </c>
      <c r="S4" s="66" t="s">
        <v>87</v>
      </c>
      <c r="T4" s="67" t="s">
        <v>74</v>
      </c>
    </row>
    <row r="5" spans="2:20" ht="18.75" customHeight="1" x14ac:dyDescent="0.2">
      <c r="B5" s="76"/>
      <c r="C5" s="69" t="s">
        <v>46</v>
      </c>
      <c r="D5" s="70">
        <v>41916.916936302674</v>
      </c>
      <c r="E5" s="70">
        <v>39961.171508822546</v>
      </c>
      <c r="F5" s="70">
        <v>1955.7454274801275</v>
      </c>
      <c r="G5" s="77"/>
      <c r="I5" s="62"/>
      <c r="J5" s="69" t="s">
        <v>46</v>
      </c>
      <c r="K5" s="70">
        <v>43176.829879668308</v>
      </c>
      <c r="L5" s="70">
        <v>41738.953859835477</v>
      </c>
      <c r="M5" s="70">
        <v>1437.8760198328309</v>
      </c>
      <c r="N5" s="62"/>
      <c r="Q5" s="69" t="s">
        <v>46</v>
      </c>
      <c r="R5" s="70">
        <v>34757.909560715358</v>
      </c>
      <c r="S5" s="70">
        <v>32876.768527767286</v>
      </c>
      <c r="T5" s="70">
        <f>R5-S5</f>
        <v>1881.1410329480714</v>
      </c>
    </row>
    <row r="6" spans="2:20" ht="18.75" customHeight="1" x14ac:dyDescent="0.2">
      <c r="B6" s="76"/>
      <c r="C6" s="69" t="s">
        <v>47</v>
      </c>
      <c r="D6" s="70">
        <v>33920.684891933444</v>
      </c>
      <c r="E6" s="70">
        <v>33899.236952430125</v>
      </c>
      <c r="F6" s="70">
        <v>21.447939503319503</v>
      </c>
      <c r="G6" s="77"/>
      <c r="I6" s="62"/>
      <c r="J6" s="69" t="s">
        <v>47</v>
      </c>
      <c r="K6" s="70">
        <v>35760.208656527386</v>
      </c>
      <c r="L6" s="70">
        <v>35490.113604422251</v>
      </c>
      <c r="M6" s="70">
        <v>270.09505210513453</v>
      </c>
      <c r="N6" s="62"/>
      <c r="Q6" s="69" t="s">
        <v>47</v>
      </c>
      <c r="R6" s="70">
        <v>31879.247558175241</v>
      </c>
      <c r="S6" s="70">
        <v>31494.012745047821</v>
      </c>
      <c r="T6" s="70">
        <f t="shared" ref="T6:T10" si="0">R6-S6</f>
        <v>385.23481312741933</v>
      </c>
    </row>
    <row r="7" spans="2:20" ht="18.75" customHeight="1" x14ac:dyDescent="0.2">
      <c r="B7" s="76"/>
      <c r="C7" s="69" t="s">
        <v>48</v>
      </c>
      <c r="D7" s="70">
        <v>13647.120628245948</v>
      </c>
      <c r="E7" s="70">
        <v>13457.961111861057</v>
      </c>
      <c r="F7" s="70">
        <v>189.15951638489059</v>
      </c>
      <c r="G7" s="77"/>
      <c r="I7" s="62"/>
      <c r="J7" s="69" t="s">
        <v>48</v>
      </c>
      <c r="K7" s="70">
        <v>25498.004789199185</v>
      </c>
      <c r="L7" s="70">
        <v>24823.280490778085</v>
      </c>
      <c r="M7" s="70">
        <v>674.72429842110068</v>
      </c>
      <c r="N7" s="62"/>
      <c r="Q7" s="69" t="s">
        <v>48</v>
      </c>
      <c r="R7" s="70">
        <v>7469.9293274226138</v>
      </c>
      <c r="S7" s="70">
        <v>6813.3785094962204</v>
      </c>
      <c r="T7" s="70">
        <f t="shared" si="0"/>
        <v>656.55081792639339</v>
      </c>
    </row>
    <row r="8" spans="2:20" ht="18.75" customHeight="1" x14ac:dyDescent="0.2">
      <c r="B8" s="76"/>
      <c r="C8" s="69" t="s">
        <v>49</v>
      </c>
      <c r="D8" s="70">
        <v>482.37560886662567</v>
      </c>
      <c r="E8" s="70">
        <v>259.11852081983278</v>
      </c>
      <c r="F8" s="70">
        <v>223.25708804679289</v>
      </c>
      <c r="G8" s="77"/>
      <c r="I8" s="62"/>
      <c r="J8" s="69" t="s">
        <v>49</v>
      </c>
      <c r="K8" s="70">
        <v>1336.0438082055946</v>
      </c>
      <c r="L8" s="70">
        <v>1021.902430177951</v>
      </c>
      <c r="M8" s="70">
        <v>314.14137802764355</v>
      </c>
      <c r="N8" s="62"/>
      <c r="Q8" s="69" t="s">
        <v>49</v>
      </c>
      <c r="R8" s="70">
        <v>156.11488308195149</v>
      </c>
      <c r="S8" s="70">
        <v>103.68994256141953</v>
      </c>
      <c r="T8" s="70">
        <f t="shared" si="0"/>
        <v>52.424940520531962</v>
      </c>
    </row>
    <row r="9" spans="2:20" ht="18.75" customHeight="1" x14ac:dyDescent="0.2">
      <c r="B9" s="76"/>
      <c r="C9" s="69" t="s">
        <v>50</v>
      </c>
      <c r="D9" s="70">
        <v>0</v>
      </c>
      <c r="E9" s="70">
        <v>1198.0852865656811</v>
      </c>
      <c r="F9" s="70">
        <v>-1198.0852865656811</v>
      </c>
      <c r="G9" s="77"/>
      <c r="I9" s="62"/>
      <c r="J9" s="69" t="s">
        <v>50</v>
      </c>
      <c r="K9" s="70">
        <v>0</v>
      </c>
      <c r="L9" s="70">
        <v>1198.0852865656811</v>
      </c>
      <c r="M9" s="70">
        <v>-1198.0852865656811</v>
      </c>
      <c r="N9" s="62"/>
      <c r="Q9" s="69" t="s">
        <v>50</v>
      </c>
      <c r="R9" s="70">
        <v>0</v>
      </c>
      <c r="S9" s="70">
        <v>1198.0852865656811</v>
      </c>
      <c r="T9" s="70">
        <f t="shared" si="0"/>
        <v>-1198.0852865656811</v>
      </c>
    </row>
    <row r="10" spans="2:20" ht="18.75" customHeight="1" x14ac:dyDescent="0.2">
      <c r="B10" s="76"/>
      <c r="C10" s="71" t="s">
        <v>19</v>
      </c>
      <c r="D10" s="72">
        <v>90274.939204871393</v>
      </c>
      <c r="E10" s="72">
        <v>89083.41452002195</v>
      </c>
      <c r="F10" s="72">
        <v>1191.5246848494426</v>
      </c>
      <c r="G10" s="77"/>
      <c r="I10" s="62"/>
      <c r="J10" s="71" t="s">
        <v>19</v>
      </c>
      <c r="K10" s="72">
        <v>106146.24184886776</v>
      </c>
      <c r="L10" s="72">
        <v>104647.49038704675</v>
      </c>
      <c r="M10" s="72">
        <v>1498.7514618210116</v>
      </c>
      <c r="N10" s="62"/>
      <c r="Q10" s="71" t="s">
        <v>19</v>
      </c>
      <c r="R10" s="72">
        <v>74612.667719498902</v>
      </c>
      <c r="S10" s="72">
        <v>72835.401401542156</v>
      </c>
      <c r="T10" s="72">
        <f t="shared" si="0"/>
        <v>1777.2663179567462</v>
      </c>
    </row>
    <row r="11" spans="2:20" x14ac:dyDescent="0.2">
      <c r="B11" s="76"/>
      <c r="C11" s="62"/>
      <c r="D11" s="62"/>
      <c r="E11" s="62"/>
      <c r="F11" s="62"/>
      <c r="G11" s="77"/>
      <c r="I11" s="62"/>
      <c r="N11" s="62"/>
    </row>
    <row r="12" spans="2:20" ht="18.75" customHeight="1" thickBot="1" x14ac:dyDescent="0.25">
      <c r="B12" s="78"/>
      <c r="C12" s="86" t="s">
        <v>88</v>
      </c>
      <c r="D12" s="87">
        <f>SUM(D7:D9)</f>
        <v>14129.496237112573</v>
      </c>
      <c r="E12" s="87">
        <f>SUM(E7:E9)</f>
        <v>14915.164919246572</v>
      </c>
      <c r="F12" s="79"/>
      <c r="G12" s="80"/>
      <c r="I12" s="62"/>
      <c r="J12" s="85" t="s">
        <v>88</v>
      </c>
      <c r="K12" s="84">
        <f>SUM(K7:K9)</f>
        <v>26834.048597404781</v>
      </c>
      <c r="L12" s="84">
        <f>SUM(L7:L9)</f>
        <v>27043.268207521716</v>
      </c>
      <c r="N12" s="62"/>
      <c r="Q12" s="85" t="s">
        <v>88</v>
      </c>
      <c r="R12" s="84">
        <f>SUM(R7:R9)</f>
        <v>7626.0442105045649</v>
      </c>
      <c r="S12" s="84">
        <f>SUM(S7:S9)</f>
        <v>8115.1537386233213</v>
      </c>
    </row>
    <row r="13" spans="2:20" ht="18.75" customHeight="1" x14ac:dyDescent="0.2">
      <c r="C13" s="69"/>
      <c r="D13" s="70"/>
      <c r="E13" s="70"/>
      <c r="F13" s="70"/>
      <c r="G13" s="62"/>
      <c r="I13" s="62"/>
      <c r="J13" s="69"/>
      <c r="K13" s="70"/>
      <c r="L13" s="70"/>
      <c r="N13" s="62"/>
      <c r="Q13" s="69"/>
      <c r="R13" s="70"/>
      <c r="S13" s="70"/>
    </row>
    <row r="14" spans="2:20" ht="18.75" customHeight="1" x14ac:dyDescent="0.2"/>
    <row r="15" spans="2:20" ht="18.75" customHeight="1" x14ac:dyDescent="0.25">
      <c r="C15" s="63" t="s">
        <v>89</v>
      </c>
      <c r="D15" s="64"/>
      <c r="J15" s="63" t="s">
        <v>90</v>
      </c>
      <c r="K15" s="64"/>
      <c r="P15" s="63"/>
      <c r="Q15" s="63" t="s">
        <v>91</v>
      </c>
      <c r="T15" s="63"/>
    </row>
    <row r="16" spans="2:20" ht="39" x14ac:dyDescent="0.25">
      <c r="C16" s="65"/>
      <c r="D16" s="66" t="s">
        <v>92</v>
      </c>
      <c r="E16" s="66" t="s">
        <v>93</v>
      </c>
      <c r="F16" s="67" t="s">
        <v>74</v>
      </c>
      <c r="J16" s="65"/>
      <c r="K16" s="66" t="s">
        <v>94</v>
      </c>
      <c r="L16" s="66" t="s">
        <v>95</v>
      </c>
      <c r="M16" s="67" t="s">
        <v>74</v>
      </c>
      <c r="P16" s="65"/>
      <c r="Q16" s="66"/>
      <c r="R16" s="66" t="s">
        <v>96</v>
      </c>
      <c r="S16" s="66" t="s">
        <v>97</v>
      </c>
      <c r="T16" s="88" t="s">
        <v>74</v>
      </c>
    </row>
    <row r="17" spans="3:20" ht="18.75" customHeight="1" x14ac:dyDescent="0.2">
      <c r="C17" s="69" t="s">
        <v>46</v>
      </c>
      <c r="D17" s="70">
        <v>41129.068367881271</v>
      </c>
      <c r="E17" s="70">
        <v>39483.692500440178</v>
      </c>
      <c r="F17" s="70">
        <v>1645.3758674410929</v>
      </c>
      <c r="J17" s="69" t="s">
        <v>46</v>
      </c>
      <c r="K17" s="70">
        <v>42806.617149024001</v>
      </c>
      <c r="L17" s="70">
        <v>41899.658348325582</v>
      </c>
      <c r="M17" s="70">
        <v>906.95880069841951</v>
      </c>
      <c r="P17" s="69"/>
      <c r="Q17" s="70" t="s">
        <v>46</v>
      </c>
      <c r="R17" s="70">
        <v>40777.839190312872</v>
      </c>
      <c r="S17" s="70">
        <v>39142.285437276907</v>
      </c>
      <c r="T17" s="70">
        <v>1635.5537530359652</v>
      </c>
    </row>
    <row r="18" spans="3:20" ht="18.75" customHeight="1" x14ac:dyDescent="0.2">
      <c r="C18" s="69" t="s">
        <v>47</v>
      </c>
      <c r="D18" s="70">
        <v>34069.113406172262</v>
      </c>
      <c r="E18" s="70">
        <v>33832.037733368037</v>
      </c>
      <c r="F18" s="70">
        <v>237.07567280422518</v>
      </c>
      <c r="J18" s="69" t="s">
        <v>47</v>
      </c>
      <c r="K18" s="70">
        <v>32811.256896692023</v>
      </c>
      <c r="L18" s="70">
        <v>32478.794938746654</v>
      </c>
      <c r="M18" s="70">
        <v>332.46195794536834</v>
      </c>
      <c r="P18" s="69"/>
      <c r="Q18" s="70" t="s">
        <v>47</v>
      </c>
      <c r="R18" s="70">
        <v>33550.659467371901</v>
      </c>
      <c r="S18" s="70">
        <v>33156.007060544202</v>
      </c>
      <c r="T18" s="70">
        <v>394.65240682769945</v>
      </c>
    </row>
    <row r="19" spans="3:20" ht="18.75" customHeight="1" x14ac:dyDescent="0.2">
      <c r="C19" s="69" t="s">
        <v>48</v>
      </c>
      <c r="D19" s="70">
        <v>14306.206083922347</v>
      </c>
      <c r="E19" s="70">
        <v>14009.286175294425</v>
      </c>
      <c r="F19" s="70">
        <v>296.91990862792227</v>
      </c>
      <c r="J19" s="69" t="s">
        <v>48</v>
      </c>
      <c r="K19" s="70">
        <v>9724.3583089290314</v>
      </c>
      <c r="L19" s="70">
        <v>9236.0421884114585</v>
      </c>
      <c r="M19" s="70">
        <v>488.31612051757293</v>
      </c>
      <c r="P19" s="69"/>
      <c r="Q19" s="70" t="s">
        <v>48</v>
      </c>
      <c r="R19" s="70">
        <v>12085.4530990489</v>
      </c>
      <c r="S19" s="70">
        <v>11178.450977064695</v>
      </c>
      <c r="T19" s="70">
        <v>907.00212198420559</v>
      </c>
    </row>
    <row r="20" spans="3:20" ht="18.75" customHeight="1" x14ac:dyDescent="0.2">
      <c r="C20" s="69" t="s">
        <v>49</v>
      </c>
      <c r="D20" s="70">
        <v>510.83656847194226</v>
      </c>
      <c r="E20" s="70">
        <v>243.14726214592395</v>
      </c>
      <c r="F20" s="70">
        <v>267.68930632601831</v>
      </c>
      <c r="J20" s="69" t="s">
        <v>49</v>
      </c>
      <c r="K20" s="70">
        <v>162.52368768906334</v>
      </c>
      <c r="L20" s="70">
        <v>148.27811526915679</v>
      </c>
      <c r="M20" s="70">
        <v>14.245572419906551</v>
      </c>
      <c r="P20" s="69"/>
      <c r="Q20" s="70" t="s">
        <v>49</v>
      </c>
      <c r="R20" s="70">
        <v>417.09090399830336</v>
      </c>
      <c r="S20" s="70">
        <v>170.91702070329706</v>
      </c>
      <c r="T20" s="70">
        <v>246.17388329500631</v>
      </c>
    </row>
    <row r="21" spans="3:20" ht="18.75" customHeight="1" x14ac:dyDescent="0.2">
      <c r="C21" s="69" t="s">
        <v>50</v>
      </c>
      <c r="D21" s="70">
        <v>0</v>
      </c>
      <c r="E21" s="70">
        <v>1198.0852865656811</v>
      </c>
      <c r="F21" s="70">
        <v>-1198.0852865656811</v>
      </c>
      <c r="J21" s="69" t="s">
        <v>50</v>
      </c>
      <c r="K21" s="70">
        <v>0</v>
      </c>
      <c r="L21" s="70">
        <v>1198.0852865656811</v>
      </c>
      <c r="M21" s="70">
        <v>-1198.0852865656811</v>
      </c>
      <c r="P21" s="69"/>
      <c r="Q21" s="70" t="s">
        <v>50</v>
      </c>
      <c r="R21" s="70">
        <v>0</v>
      </c>
      <c r="S21" s="70">
        <v>1198.0852865656811</v>
      </c>
      <c r="T21" s="70">
        <v>-1198.0852865656811</v>
      </c>
    </row>
    <row r="22" spans="3:20" ht="18.75" customHeight="1" x14ac:dyDescent="0.2">
      <c r="C22" s="71" t="s">
        <v>19</v>
      </c>
      <c r="D22" s="72">
        <v>90323.065565970523</v>
      </c>
      <c r="E22" s="72">
        <v>89074.090097336957</v>
      </c>
      <c r="F22" s="72">
        <v>1248.9754686335655</v>
      </c>
      <c r="J22" s="71" t="s">
        <v>19</v>
      </c>
      <c r="K22" s="72">
        <v>85812.597181856821</v>
      </c>
      <c r="L22" s="72">
        <v>85268.700016841234</v>
      </c>
      <c r="M22" s="72">
        <v>543.89716501558723</v>
      </c>
      <c r="P22" s="71"/>
      <c r="Q22" s="72" t="s">
        <v>19</v>
      </c>
      <c r="R22" s="72">
        <v>87149.294998866375</v>
      </c>
      <c r="S22" s="72">
        <v>85163.998120289165</v>
      </c>
      <c r="T22" s="72">
        <v>1985.29687857721</v>
      </c>
    </row>
    <row r="24" spans="3:20" x14ac:dyDescent="0.2">
      <c r="C24" s="85" t="s">
        <v>88</v>
      </c>
      <c r="D24" s="84">
        <f>SUM(D19:D21)</f>
        <v>14817.04265239429</v>
      </c>
      <c r="E24" s="84">
        <f>SUM(E19:E21)</f>
        <v>15450.51872400603</v>
      </c>
      <c r="J24" s="85" t="s">
        <v>88</v>
      </c>
      <c r="K24" s="84">
        <f>SUM(K19:K21)</f>
        <v>9886.8819966180945</v>
      </c>
      <c r="L24" s="84">
        <f>SUM(L19:L21)</f>
        <v>10582.405590246297</v>
      </c>
      <c r="P24" s="69"/>
      <c r="Q24" s="84" t="s">
        <v>88</v>
      </c>
      <c r="R24" s="84">
        <f>SUM(R19:R21)</f>
        <v>12502.544003047204</v>
      </c>
      <c r="S24" s="84">
        <f>SUM(S19:S21)</f>
        <v>12547.453284333673</v>
      </c>
      <c r="T24" s="69"/>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C9"/>
  <sheetViews>
    <sheetView zoomScale="106" zoomScaleNormal="106" workbookViewId="0"/>
  </sheetViews>
  <sheetFormatPr defaultColWidth="9.140625" defaultRowHeight="16.5" customHeight="1" x14ac:dyDescent="0.2"/>
  <cols>
    <col min="1" max="1" width="34.42578125" style="4" customWidth="1"/>
    <col min="2" max="2" width="17.28515625" style="4" bestFit="1" customWidth="1"/>
    <col min="3" max="6" width="12.28515625" style="4" customWidth="1"/>
    <col min="7" max="16384" width="9.140625" style="4"/>
  </cols>
  <sheetData>
    <row r="1" spans="1:3" ht="16.5" customHeight="1" x14ac:dyDescent="0.25">
      <c r="A1" s="21" t="s">
        <v>106</v>
      </c>
      <c r="B1" s="22"/>
    </row>
    <row r="2" spans="1:3" ht="16.5" customHeight="1" x14ac:dyDescent="0.25">
      <c r="A2" s="23"/>
      <c r="B2" s="24" t="s">
        <v>74</v>
      </c>
      <c r="C2" s="25"/>
    </row>
    <row r="3" spans="1:3" ht="16.5" customHeight="1" x14ac:dyDescent="0.2">
      <c r="A3" s="26" t="s">
        <v>46</v>
      </c>
      <c r="B3" s="27">
        <v>1955.7454274801275</v>
      </c>
      <c r="C3" s="25"/>
    </row>
    <row r="4" spans="1:3" ht="16.5" customHeight="1" x14ac:dyDescent="0.2">
      <c r="A4" s="26" t="s">
        <v>47</v>
      </c>
      <c r="B4" s="27">
        <v>21.447939503319503</v>
      </c>
      <c r="C4" s="25"/>
    </row>
    <row r="5" spans="1:3" ht="16.5" customHeight="1" x14ac:dyDescent="0.2">
      <c r="A5" s="26" t="s">
        <v>48</v>
      </c>
      <c r="B5" s="27">
        <v>189.15951638489059</v>
      </c>
      <c r="C5" s="25"/>
    </row>
    <row r="6" spans="1:3" ht="16.5" customHeight="1" x14ac:dyDescent="0.2">
      <c r="A6" s="26" t="s">
        <v>49</v>
      </c>
      <c r="B6" s="27">
        <v>223.25708804679289</v>
      </c>
      <c r="C6" s="25"/>
    </row>
    <row r="7" spans="1:3" ht="16.5" customHeight="1" x14ac:dyDescent="0.2">
      <c r="A7" s="26" t="s">
        <v>50</v>
      </c>
      <c r="B7" s="27">
        <v>-1198.0852865656811</v>
      </c>
      <c r="C7" s="25"/>
    </row>
    <row r="8" spans="1:3" ht="16.5" customHeight="1" x14ac:dyDescent="0.2">
      <c r="A8" s="28" t="s">
        <v>19</v>
      </c>
      <c r="B8" s="29">
        <v>1191.5246848494426</v>
      </c>
      <c r="C8" s="25"/>
    </row>
    <row r="9" spans="1:3" ht="16.5" customHeight="1" x14ac:dyDescent="0.2">
      <c r="A9" s="25"/>
      <c r="B9" s="25"/>
      <c r="C9" s="2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R73"/>
  <sheetViews>
    <sheetView zoomScaleNormal="100" workbookViewId="0"/>
  </sheetViews>
  <sheetFormatPr defaultColWidth="9.140625" defaultRowHeight="16.5" customHeight="1" x14ac:dyDescent="0.2"/>
  <cols>
    <col min="1" max="1" width="24.28515625" style="37" customWidth="1"/>
    <col min="2" max="2" width="27.85546875" style="37" customWidth="1"/>
    <col min="3" max="24" width="10.42578125" style="37" customWidth="1"/>
    <col min="25" max="16384" width="9.140625" style="37"/>
  </cols>
  <sheetData>
    <row r="1" spans="1:44" s="31" customFormat="1" ht="16.5" customHeight="1" x14ac:dyDescent="0.25">
      <c r="A1" s="30" t="s">
        <v>22</v>
      </c>
      <c r="F1" s="32"/>
    </row>
    <row r="2" spans="1:44" ht="16.5" customHeight="1" x14ac:dyDescent="0.2">
      <c r="A2" s="33" t="s">
        <v>34</v>
      </c>
      <c r="B2" s="34" t="s">
        <v>20</v>
      </c>
      <c r="C2" s="35" t="s">
        <v>0</v>
      </c>
      <c r="D2" s="36" t="s">
        <v>1</v>
      </c>
      <c r="E2" s="35" t="s">
        <v>2</v>
      </c>
      <c r="F2" s="36" t="s">
        <v>3</v>
      </c>
      <c r="G2" s="35" t="s">
        <v>4</v>
      </c>
      <c r="H2" s="36" t="s">
        <v>5</v>
      </c>
      <c r="I2" s="35" t="s">
        <v>6</v>
      </c>
      <c r="J2" s="36" t="s">
        <v>7</v>
      </c>
      <c r="K2" s="35" t="s">
        <v>8</v>
      </c>
      <c r="L2" s="36" t="s">
        <v>9</v>
      </c>
      <c r="M2" s="35" t="s">
        <v>10</v>
      </c>
      <c r="N2" s="36" t="s">
        <v>11</v>
      </c>
      <c r="O2" s="35" t="s">
        <v>12</v>
      </c>
      <c r="P2" s="36" t="s">
        <v>13</v>
      </c>
      <c r="Q2" s="35" t="s">
        <v>14</v>
      </c>
      <c r="R2" s="36" t="s">
        <v>15</v>
      </c>
      <c r="S2" s="35" t="s">
        <v>16</v>
      </c>
      <c r="T2" s="36" t="s">
        <v>45</v>
      </c>
      <c r="U2" s="35" t="s">
        <v>61</v>
      </c>
      <c r="V2" s="36" t="s">
        <v>62</v>
      </c>
      <c r="W2" s="35" t="s">
        <v>63</v>
      </c>
      <c r="X2" s="36" t="s">
        <v>64</v>
      </c>
    </row>
    <row r="3" spans="1:44" s="41" customFormat="1" ht="16.5" customHeight="1" x14ac:dyDescent="0.2">
      <c r="A3" s="94" t="s">
        <v>42</v>
      </c>
      <c r="B3" s="38" t="s">
        <v>54</v>
      </c>
      <c r="C3" s="39">
        <v>18219</v>
      </c>
      <c r="D3" s="40">
        <v>18219</v>
      </c>
      <c r="E3" s="39">
        <v>18219</v>
      </c>
      <c r="F3" s="40">
        <v>18219</v>
      </c>
      <c r="G3" s="39">
        <v>16419</v>
      </c>
      <c r="H3" s="40">
        <v>16419</v>
      </c>
      <c r="I3" s="39">
        <v>16419</v>
      </c>
      <c r="J3" s="40">
        <v>16419</v>
      </c>
      <c r="K3" s="39">
        <v>16419</v>
      </c>
      <c r="L3" s="40">
        <v>16419</v>
      </c>
      <c r="M3" s="39">
        <v>15099</v>
      </c>
      <c r="N3" s="40">
        <v>13419</v>
      </c>
      <c r="O3" s="39">
        <v>13419</v>
      </c>
      <c r="P3" s="40">
        <v>13419</v>
      </c>
      <c r="Q3" s="39">
        <v>13419</v>
      </c>
      <c r="R3" s="40">
        <v>13419</v>
      </c>
      <c r="S3" s="39">
        <v>10539</v>
      </c>
      <c r="T3" s="40">
        <v>7899</v>
      </c>
      <c r="U3" s="39">
        <v>6499</v>
      </c>
      <c r="V3" s="40">
        <v>6499</v>
      </c>
      <c r="W3" s="39">
        <v>5799</v>
      </c>
      <c r="X3" s="40">
        <v>5799</v>
      </c>
    </row>
    <row r="4" spans="1:44" s="41" customFormat="1" ht="16.5" customHeight="1" x14ac:dyDescent="0.2">
      <c r="A4" s="94"/>
      <c r="B4" s="38" t="s">
        <v>55</v>
      </c>
      <c r="C4" s="39">
        <v>4808</v>
      </c>
      <c r="D4" s="40">
        <v>4808</v>
      </c>
      <c r="E4" s="39">
        <v>4808</v>
      </c>
      <c r="F4" s="40">
        <v>4808</v>
      </c>
      <c r="G4" s="39">
        <v>4808</v>
      </c>
      <c r="H4" s="40">
        <v>4808</v>
      </c>
      <c r="I4" s="39">
        <v>4808</v>
      </c>
      <c r="J4" s="40">
        <v>4808</v>
      </c>
      <c r="K4" s="39">
        <v>4808</v>
      </c>
      <c r="L4" s="40">
        <v>4808</v>
      </c>
      <c r="M4" s="39">
        <v>4808</v>
      </c>
      <c r="N4" s="40">
        <v>4808</v>
      </c>
      <c r="O4" s="39">
        <v>4808</v>
      </c>
      <c r="P4" s="40">
        <v>4808</v>
      </c>
      <c r="Q4" s="39">
        <v>3280</v>
      </c>
      <c r="R4" s="40">
        <v>3280</v>
      </c>
      <c r="S4" s="39">
        <v>3280</v>
      </c>
      <c r="T4" s="40">
        <v>3280</v>
      </c>
      <c r="U4" s="39">
        <v>3280</v>
      </c>
      <c r="V4" s="40">
        <v>3280</v>
      </c>
      <c r="W4" s="39">
        <v>3280</v>
      </c>
      <c r="X4" s="40">
        <v>3280</v>
      </c>
    </row>
    <row r="5" spans="1:44" s="41" customFormat="1" ht="16.5" customHeight="1" x14ac:dyDescent="0.2">
      <c r="A5" s="94"/>
      <c r="B5" s="38" t="s">
        <v>17</v>
      </c>
      <c r="C5" s="39">
        <v>5364</v>
      </c>
      <c r="D5" s="40">
        <v>5364</v>
      </c>
      <c r="E5" s="39">
        <v>5364</v>
      </c>
      <c r="F5" s="40">
        <v>5364</v>
      </c>
      <c r="G5" s="39">
        <v>5364</v>
      </c>
      <c r="H5" s="40">
        <v>5364</v>
      </c>
      <c r="I5" s="39">
        <v>5364</v>
      </c>
      <c r="J5" s="40">
        <v>5364</v>
      </c>
      <c r="K5" s="39">
        <v>5364</v>
      </c>
      <c r="L5" s="40">
        <v>5364</v>
      </c>
      <c r="M5" s="39">
        <v>5364</v>
      </c>
      <c r="N5" s="40">
        <v>5364</v>
      </c>
      <c r="O5" s="39">
        <v>5364</v>
      </c>
      <c r="P5" s="40">
        <v>5364</v>
      </c>
      <c r="Q5" s="39">
        <v>5364</v>
      </c>
      <c r="R5" s="40">
        <v>5364</v>
      </c>
      <c r="S5" s="39">
        <v>5364</v>
      </c>
      <c r="T5" s="40">
        <v>5364</v>
      </c>
      <c r="U5" s="39">
        <v>5364</v>
      </c>
      <c r="V5" s="40">
        <v>5364</v>
      </c>
      <c r="W5" s="39">
        <v>5364</v>
      </c>
      <c r="X5" s="40">
        <v>5364</v>
      </c>
    </row>
    <row r="6" spans="1:44" s="41" customFormat="1" ht="16.5" customHeight="1" x14ac:dyDescent="0.2">
      <c r="A6" s="94"/>
      <c r="B6" s="38" t="s">
        <v>44</v>
      </c>
      <c r="C6" s="39">
        <v>4111</v>
      </c>
      <c r="D6" s="40">
        <v>4111</v>
      </c>
      <c r="E6" s="39">
        <v>4111</v>
      </c>
      <c r="F6" s="40">
        <v>4111</v>
      </c>
      <c r="G6" s="39">
        <v>4111</v>
      </c>
      <c r="H6" s="40">
        <v>4111</v>
      </c>
      <c r="I6" s="39">
        <v>2649</v>
      </c>
      <c r="J6" s="40">
        <v>2649</v>
      </c>
      <c r="K6" s="39">
        <v>2649</v>
      </c>
      <c r="L6" s="40">
        <v>2649</v>
      </c>
      <c r="M6" s="39">
        <v>2649</v>
      </c>
      <c r="N6" s="40">
        <v>2649</v>
      </c>
      <c r="O6" s="39">
        <v>2649</v>
      </c>
      <c r="P6" s="40">
        <v>2139</v>
      </c>
      <c r="Q6" s="39">
        <v>2139</v>
      </c>
      <c r="R6" s="40">
        <v>2139</v>
      </c>
      <c r="S6" s="39">
        <v>2139</v>
      </c>
      <c r="T6" s="40">
        <v>2139</v>
      </c>
      <c r="U6" s="39">
        <v>2139</v>
      </c>
      <c r="V6" s="40">
        <v>2139</v>
      </c>
      <c r="W6" s="39">
        <v>2139</v>
      </c>
      <c r="X6" s="40">
        <v>2139</v>
      </c>
    </row>
    <row r="7" spans="1:44" s="41" customFormat="1" ht="16.5" customHeight="1" x14ac:dyDescent="0.2">
      <c r="A7" s="94"/>
      <c r="B7" s="38" t="s">
        <v>56</v>
      </c>
      <c r="C7" s="39">
        <v>6967.6</v>
      </c>
      <c r="D7" s="40">
        <v>6943.6</v>
      </c>
      <c r="E7" s="39">
        <v>6943.6</v>
      </c>
      <c r="F7" s="40">
        <v>6669.6</v>
      </c>
      <c r="G7" s="39">
        <v>6970.6935720000001</v>
      </c>
      <c r="H7" s="40">
        <v>6970.6935720000001</v>
      </c>
      <c r="I7" s="39">
        <v>6970.6935720000001</v>
      </c>
      <c r="J7" s="40">
        <v>6970.6935720000001</v>
      </c>
      <c r="K7" s="39">
        <v>6970.6935720000001</v>
      </c>
      <c r="L7" s="40">
        <v>6970.6935720000001</v>
      </c>
      <c r="M7" s="39">
        <v>6970.6935720000001</v>
      </c>
      <c r="N7" s="40">
        <v>6970.6935720000001</v>
      </c>
      <c r="O7" s="39">
        <v>6970.6935720000001</v>
      </c>
      <c r="P7" s="40">
        <v>6970.6935720000001</v>
      </c>
      <c r="Q7" s="39">
        <v>6970.6935720000001</v>
      </c>
      <c r="R7" s="40">
        <v>6970.6935720000001</v>
      </c>
      <c r="S7" s="39">
        <v>6970.6935720000001</v>
      </c>
      <c r="T7" s="40">
        <v>6970.6935720000001</v>
      </c>
      <c r="U7" s="39">
        <v>6970.6935720000001</v>
      </c>
      <c r="V7" s="40">
        <v>6970.6935720000001</v>
      </c>
      <c r="W7" s="39">
        <v>6970.6935720000001</v>
      </c>
      <c r="X7" s="40">
        <v>6970.6935720000001</v>
      </c>
    </row>
    <row r="8" spans="1:44" s="41" customFormat="1" ht="16.5" customHeight="1" x14ac:dyDescent="0.2">
      <c r="A8" s="94"/>
      <c r="B8" s="38" t="s">
        <v>18</v>
      </c>
      <c r="C8" s="39">
        <v>5824</v>
      </c>
      <c r="D8" s="40">
        <v>7718</v>
      </c>
      <c r="E8" s="39">
        <v>8118</v>
      </c>
      <c r="F8" s="40">
        <v>8518</v>
      </c>
      <c r="G8" s="39">
        <v>8918</v>
      </c>
      <c r="H8" s="40">
        <v>9811</v>
      </c>
      <c r="I8" s="39">
        <v>10211</v>
      </c>
      <c r="J8" s="40">
        <v>10211</v>
      </c>
      <c r="K8" s="39">
        <v>10302</v>
      </c>
      <c r="L8" s="40">
        <v>10465</v>
      </c>
      <c r="M8" s="39">
        <v>10770</v>
      </c>
      <c r="N8" s="40">
        <v>10943</v>
      </c>
      <c r="O8" s="39">
        <v>10943</v>
      </c>
      <c r="P8" s="40">
        <v>10943</v>
      </c>
      <c r="Q8" s="39">
        <v>11135</v>
      </c>
      <c r="R8" s="40">
        <v>11595</v>
      </c>
      <c r="S8" s="39">
        <v>12242</v>
      </c>
      <c r="T8" s="40">
        <v>13563</v>
      </c>
      <c r="U8" s="39">
        <v>14682</v>
      </c>
      <c r="V8" s="40">
        <v>14682</v>
      </c>
      <c r="W8" s="39">
        <v>14796</v>
      </c>
      <c r="X8" s="40">
        <v>14897</v>
      </c>
    </row>
    <row r="9" spans="1:44" s="41" customFormat="1" ht="16.5" customHeight="1" x14ac:dyDescent="0.2">
      <c r="A9" s="94"/>
      <c r="B9" s="38" t="s">
        <v>57</v>
      </c>
      <c r="C9" s="39">
        <v>2212</v>
      </c>
      <c r="D9" s="40">
        <v>2839</v>
      </c>
      <c r="E9" s="39">
        <v>2839</v>
      </c>
      <c r="F9" s="40">
        <v>2886</v>
      </c>
      <c r="G9" s="39">
        <v>3729</v>
      </c>
      <c r="H9" s="40">
        <v>4313</v>
      </c>
      <c r="I9" s="39">
        <v>5440</v>
      </c>
      <c r="J9" s="40">
        <v>6728</v>
      </c>
      <c r="K9" s="39">
        <v>7465</v>
      </c>
      <c r="L9" s="40">
        <v>8133</v>
      </c>
      <c r="M9" s="39">
        <v>8925</v>
      </c>
      <c r="N9" s="40">
        <v>9686</v>
      </c>
      <c r="O9" s="39">
        <v>9686</v>
      </c>
      <c r="P9" s="40">
        <v>9997</v>
      </c>
      <c r="Q9" s="39">
        <v>12807</v>
      </c>
      <c r="R9" s="40">
        <v>12807</v>
      </c>
      <c r="S9" s="39">
        <v>16730</v>
      </c>
      <c r="T9" s="40">
        <v>21472</v>
      </c>
      <c r="U9" s="39">
        <v>25288</v>
      </c>
      <c r="V9" s="40">
        <v>26222</v>
      </c>
      <c r="W9" s="39">
        <v>27836</v>
      </c>
      <c r="X9" s="40">
        <v>28377</v>
      </c>
    </row>
    <row r="10" spans="1:44" s="41" customFormat="1" ht="16.5" customHeight="1" x14ac:dyDescent="0.2">
      <c r="A10" s="94"/>
      <c r="B10" s="38" t="s">
        <v>58</v>
      </c>
      <c r="C10" s="39">
        <v>2681</v>
      </c>
      <c r="D10" s="40">
        <v>2701</v>
      </c>
      <c r="E10" s="39">
        <v>2801</v>
      </c>
      <c r="F10" s="40">
        <v>2801</v>
      </c>
      <c r="G10" s="39">
        <v>2801</v>
      </c>
      <c r="H10" s="40">
        <v>2801</v>
      </c>
      <c r="I10" s="39">
        <v>3272</v>
      </c>
      <c r="J10" s="40">
        <v>3452</v>
      </c>
      <c r="K10" s="39">
        <v>3452</v>
      </c>
      <c r="L10" s="40">
        <v>3452</v>
      </c>
      <c r="M10" s="39">
        <v>3772</v>
      </c>
      <c r="N10" s="40">
        <v>4543</v>
      </c>
      <c r="O10" s="39">
        <v>4543</v>
      </c>
      <c r="P10" s="40">
        <v>4733</v>
      </c>
      <c r="Q10" s="39">
        <v>6110</v>
      </c>
      <c r="R10" s="40">
        <v>6274</v>
      </c>
      <c r="S10" s="39">
        <v>9078</v>
      </c>
      <c r="T10" s="40">
        <v>12052</v>
      </c>
      <c r="U10" s="39">
        <v>14939</v>
      </c>
      <c r="V10" s="40">
        <v>15839</v>
      </c>
      <c r="W10" s="39">
        <v>17069</v>
      </c>
      <c r="X10" s="40">
        <v>17563</v>
      </c>
    </row>
    <row r="11" spans="1:44" s="41" customFormat="1" ht="16.5" customHeight="1" x14ac:dyDescent="0.2">
      <c r="A11" s="94"/>
      <c r="B11" s="38" t="s">
        <v>59</v>
      </c>
      <c r="C11" s="39">
        <v>0</v>
      </c>
      <c r="D11" s="40">
        <v>0</v>
      </c>
      <c r="E11" s="39">
        <v>0</v>
      </c>
      <c r="F11" s="40">
        <v>0</v>
      </c>
      <c r="G11" s="39">
        <v>0</v>
      </c>
      <c r="H11" s="40">
        <v>0</v>
      </c>
      <c r="I11" s="39">
        <v>0</v>
      </c>
      <c r="J11" s="40">
        <v>0</v>
      </c>
      <c r="K11" s="39">
        <v>0</v>
      </c>
      <c r="L11" s="40">
        <v>0</v>
      </c>
      <c r="M11" s="39">
        <v>0</v>
      </c>
      <c r="N11" s="40">
        <v>0</v>
      </c>
      <c r="O11" s="39">
        <v>0</v>
      </c>
      <c r="P11" s="40">
        <v>0</v>
      </c>
      <c r="Q11" s="39">
        <v>0</v>
      </c>
      <c r="R11" s="40">
        <v>0</v>
      </c>
      <c r="S11" s="39">
        <v>200</v>
      </c>
      <c r="T11" s="40">
        <v>200</v>
      </c>
      <c r="U11" s="39">
        <v>300</v>
      </c>
      <c r="V11" s="40">
        <v>300</v>
      </c>
      <c r="W11" s="39">
        <v>300</v>
      </c>
      <c r="X11" s="40">
        <v>300</v>
      </c>
    </row>
    <row r="12" spans="1:44" s="41" customFormat="1" ht="16.5" customHeight="1" x14ac:dyDescent="0.2">
      <c r="A12" s="94"/>
      <c r="B12" s="38" t="s">
        <v>60</v>
      </c>
      <c r="C12" s="39">
        <v>312.26</v>
      </c>
      <c r="D12" s="40">
        <v>601.14</v>
      </c>
      <c r="E12" s="39">
        <v>977.37</v>
      </c>
      <c r="F12" s="40">
        <v>1323.6</v>
      </c>
      <c r="G12" s="39">
        <v>1656.16</v>
      </c>
      <c r="H12" s="40">
        <v>1975.32</v>
      </c>
      <c r="I12" s="39">
        <v>2288.36</v>
      </c>
      <c r="J12" s="40">
        <v>2587.9499999999998</v>
      </c>
      <c r="K12" s="39">
        <v>2881.12</v>
      </c>
      <c r="L12" s="40">
        <v>3166.67</v>
      </c>
      <c r="M12" s="39">
        <v>3446.18</v>
      </c>
      <c r="N12" s="40">
        <v>3723.38</v>
      </c>
      <c r="O12" s="39">
        <v>3980.08</v>
      </c>
      <c r="P12" s="40">
        <v>4212.34</v>
      </c>
      <c r="Q12" s="39">
        <v>4435.8900000000003</v>
      </c>
      <c r="R12" s="40">
        <v>4651.38</v>
      </c>
      <c r="S12" s="39">
        <v>4860.53</v>
      </c>
      <c r="T12" s="40">
        <v>5065.55</v>
      </c>
      <c r="U12" s="39">
        <v>5261.95</v>
      </c>
      <c r="V12" s="40">
        <v>5452.1</v>
      </c>
      <c r="W12" s="39">
        <v>5592.66</v>
      </c>
      <c r="X12" s="40">
        <v>5774.18</v>
      </c>
    </row>
    <row r="13" spans="1:44" s="41" customFormat="1" ht="16.5" customHeight="1" x14ac:dyDescent="0.2">
      <c r="A13" s="94"/>
      <c r="B13" s="38" t="s">
        <v>41</v>
      </c>
      <c r="C13" s="39">
        <v>7324</v>
      </c>
      <c r="D13" s="40">
        <v>8264</v>
      </c>
      <c r="E13" s="39">
        <v>9186</v>
      </c>
      <c r="F13" s="40">
        <v>10082</v>
      </c>
      <c r="G13" s="39">
        <v>10958</v>
      </c>
      <c r="H13" s="40">
        <v>11817</v>
      </c>
      <c r="I13" s="39">
        <v>12651</v>
      </c>
      <c r="J13" s="40">
        <v>13459</v>
      </c>
      <c r="K13" s="39">
        <v>14248</v>
      </c>
      <c r="L13" s="40">
        <v>15010</v>
      </c>
      <c r="M13" s="39">
        <v>15739</v>
      </c>
      <c r="N13" s="40">
        <v>16439</v>
      </c>
      <c r="O13" s="39">
        <v>17092</v>
      </c>
      <c r="P13" s="40">
        <v>17701</v>
      </c>
      <c r="Q13" s="39">
        <v>18245</v>
      </c>
      <c r="R13" s="40">
        <v>18744</v>
      </c>
      <c r="S13" s="39">
        <v>19214</v>
      </c>
      <c r="T13" s="40">
        <v>19655</v>
      </c>
      <c r="U13" s="39">
        <v>20058</v>
      </c>
      <c r="V13" s="40">
        <v>20386</v>
      </c>
      <c r="W13" s="39">
        <v>20724</v>
      </c>
      <c r="X13" s="40">
        <v>21018</v>
      </c>
    </row>
    <row r="14" spans="1:44" s="41" customFormat="1" ht="16.5" customHeight="1" x14ac:dyDescent="0.2">
      <c r="A14" s="94"/>
      <c r="B14" s="42" t="s">
        <v>19</v>
      </c>
      <c r="C14" s="43">
        <f>SUM(C3:C13)</f>
        <v>57822.86</v>
      </c>
      <c r="D14" s="44">
        <f t="shared" ref="D14:X14" si="0">SUM(D3:D13)</f>
        <v>61568.74</v>
      </c>
      <c r="E14" s="43">
        <f t="shared" si="0"/>
        <v>63366.97</v>
      </c>
      <c r="F14" s="44">
        <f t="shared" si="0"/>
        <v>64782.2</v>
      </c>
      <c r="G14" s="43">
        <f t="shared" si="0"/>
        <v>65734.853572000007</v>
      </c>
      <c r="H14" s="44">
        <f t="shared" si="0"/>
        <v>68390.013571999996</v>
      </c>
      <c r="I14" s="43">
        <f t="shared" si="0"/>
        <v>70073.053572000004</v>
      </c>
      <c r="J14" s="44">
        <f t="shared" si="0"/>
        <v>72648.643572000001</v>
      </c>
      <c r="K14" s="43">
        <f t="shared" si="0"/>
        <v>74558.813572000014</v>
      </c>
      <c r="L14" s="44">
        <f t="shared" si="0"/>
        <v>76437.363572000002</v>
      </c>
      <c r="M14" s="43">
        <f t="shared" si="0"/>
        <v>77542.873572000011</v>
      </c>
      <c r="N14" s="44">
        <f t="shared" si="0"/>
        <v>78545.073571999994</v>
      </c>
      <c r="O14" s="43">
        <f t="shared" si="0"/>
        <v>79454.773572000006</v>
      </c>
      <c r="P14" s="44">
        <f t="shared" si="0"/>
        <v>80287.033572</v>
      </c>
      <c r="Q14" s="43">
        <f t="shared" si="0"/>
        <v>83905.583572000003</v>
      </c>
      <c r="R14" s="44">
        <f t="shared" si="0"/>
        <v>85244.073572000008</v>
      </c>
      <c r="S14" s="43">
        <f t="shared" si="0"/>
        <v>90617.223572000003</v>
      </c>
      <c r="T14" s="44">
        <f t="shared" si="0"/>
        <v>97660.243572000007</v>
      </c>
      <c r="U14" s="43">
        <f t="shared" si="0"/>
        <v>104781.643572</v>
      </c>
      <c r="V14" s="44">
        <f t="shared" si="0"/>
        <v>107133.79357200001</v>
      </c>
      <c r="W14" s="43">
        <f t="shared" si="0"/>
        <v>109870.35357200001</v>
      </c>
      <c r="X14" s="44">
        <f t="shared" si="0"/>
        <v>111481.87357200001</v>
      </c>
    </row>
    <row r="15" spans="1:44" s="41" customFormat="1" ht="16.5" customHeight="1" x14ac:dyDescent="0.2">
      <c r="B15" s="45"/>
      <c r="C15" s="45"/>
      <c r="D15" s="45"/>
      <c r="E15" s="45"/>
      <c r="F15" s="45"/>
      <c r="G15" s="45"/>
      <c r="H15" s="45"/>
      <c r="I15" s="45"/>
      <c r="J15" s="45"/>
      <c r="K15" s="45"/>
      <c r="L15" s="45"/>
      <c r="M15" s="45"/>
      <c r="N15" s="45"/>
      <c r="O15" s="45"/>
      <c r="P15" s="45"/>
      <c r="Q15" s="45"/>
      <c r="R15" s="45"/>
      <c r="S15" s="45"/>
      <c r="T15" s="45"/>
      <c r="U15" s="45"/>
      <c r="AP15" s="45"/>
      <c r="AQ15" s="45"/>
      <c r="AR15" s="45"/>
    </row>
    <row r="16" spans="1:44" s="41" customFormat="1" ht="16.5" customHeight="1" x14ac:dyDescent="0.2">
      <c r="AP16" s="45"/>
      <c r="AQ16" s="45"/>
      <c r="AR16" s="45"/>
    </row>
    <row r="17" spans="1:44" ht="16.5" customHeight="1" x14ac:dyDescent="0.2">
      <c r="C17" s="46"/>
      <c r="D17" s="46"/>
      <c r="E17" s="46"/>
      <c r="F17" s="46"/>
      <c r="G17" s="46"/>
      <c r="H17" s="46"/>
      <c r="I17" s="46"/>
      <c r="J17" s="46"/>
      <c r="K17" s="46"/>
      <c r="L17" s="46"/>
      <c r="M17" s="46"/>
      <c r="N17" s="46"/>
      <c r="O17" s="46"/>
      <c r="P17" s="46"/>
      <c r="Q17" s="46"/>
      <c r="R17" s="46"/>
      <c r="S17" s="46"/>
      <c r="T17" s="46"/>
      <c r="U17" s="46"/>
      <c r="V17" s="46"/>
      <c r="W17" s="46"/>
      <c r="X17" s="46"/>
      <c r="AP17" s="46"/>
      <c r="AQ17" s="46"/>
      <c r="AR17" s="46"/>
    </row>
    <row r="18" spans="1:44" ht="16.5" customHeight="1" x14ac:dyDescent="0.2">
      <c r="A18" s="33" t="s">
        <v>34</v>
      </c>
      <c r="B18" s="34" t="s">
        <v>20</v>
      </c>
      <c r="C18" s="35" t="s">
        <v>0</v>
      </c>
      <c r="D18" s="36" t="s">
        <v>1</v>
      </c>
      <c r="E18" s="35" t="s">
        <v>2</v>
      </c>
      <c r="F18" s="36" t="s">
        <v>3</v>
      </c>
      <c r="G18" s="35" t="s">
        <v>4</v>
      </c>
      <c r="H18" s="36" t="s">
        <v>5</v>
      </c>
      <c r="I18" s="35" t="s">
        <v>6</v>
      </c>
      <c r="J18" s="36" t="s">
        <v>7</v>
      </c>
      <c r="K18" s="35" t="s">
        <v>8</v>
      </c>
      <c r="L18" s="36" t="s">
        <v>9</v>
      </c>
      <c r="M18" s="35" t="s">
        <v>10</v>
      </c>
      <c r="N18" s="36" t="s">
        <v>11</v>
      </c>
      <c r="O18" s="35" t="s">
        <v>12</v>
      </c>
      <c r="P18" s="36" t="s">
        <v>13</v>
      </c>
      <c r="Q18" s="35" t="s">
        <v>14</v>
      </c>
      <c r="R18" s="36" t="s">
        <v>15</v>
      </c>
      <c r="S18" s="35" t="s">
        <v>16</v>
      </c>
      <c r="T18" s="36" t="s">
        <v>45</v>
      </c>
      <c r="U18" s="35" t="s">
        <v>61</v>
      </c>
      <c r="V18" s="36" t="s">
        <v>62</v>
      </c>
      <c r="W18" s="35" t="s">
        <v>63</v>
      </c>
      <c r="X18" s="36" t="s">
        <v>64</v>
      </c>
    </row>
    <row r="19" spans="1:44" ht="16.5" customHeight="1" x14ac:dyDescent="0.2">
      <c r="A19" s="94" t="s">
        <v>35</v>
      </c>
      <c r="B19" s="38" t="s">
        <v>54</v>
      </c>
      <c r="C19" s="39">
        <v>10040</v>
      </c>
      <c r="D19" s="40">
        <v>10040</v>
      </c>
      <c r="E19" s="39">
        <v>10040</v>
      </c>
      <c r="F19" s="40">
        <v>10040</v>
      </c>
      <c r="G19" s="39">
        <v>8240</v>
      </c>
      <c r="H19" s="40">
        <v>8240</v>
      </c>
      <c r="I19" s="39">
        <v>8240</v>
      </c>
      <c r="J19" s="40">
        <v>8240</v>
      </c>
      <c r="K19" s="39">
        <v>8240</v>
      </c>
      <c r="L19" s="40">
        <v>8240</v>
      </c>
      <c r="M19" s="39">
        <v>6920</v>
      </c>
      <c r="N19" s="40">
        <v>6920</v>
      </c>
      <c r="O19" s="39">
        <v>6920</v>
      </c>
      <c r="P19" s="40">
        <v>6920</v>
      </c>
      <c r="Q19" s="39">
        <v>6920</v>
      </c>
      <c r="R19" s="40">
        <v>6920</v>
      </c>
      <c r="S19" s="39">
        <v>4040</v>
      </c>
      <c r="T19" s="40">
        <v>1400</v>
      </c>
      <c r="U19" s="39">
        <v>1400</v>
      </c>
      <c r="V19" s="40">
        <v>1400</v>
      </c>
      <c r="W19" s="39">
        <v>1400</v>
      </c>
      <c r="X19" s="40">
        <v>1400</v>
      </c>
    </row>
    <row r="20" spans="1:44" ht="16.5" customHeight="1" x14ac:dyDescent="0.2">
      <c r="A20" s="94"/>
      <c r="B20" s="38" t="s">
        <v>55</v>
      </c>
      <c r="C20" s="39">
        <v>0</v>
      </c>
      <c r="D20" s="40">
        <v>0</v>
      </c>
      <c r="E20" s="39">
        <v>0</v>
      </c>
      <c r="F20" s="40">
        <v>0</v>
      </c>
      <c r="G20" s="39">
        <v>0</v>
      </c>
      <c r="H20" s="40">
        <v>0</v>
      </c>
      <c r="I20" s="39">
        <v>0</v>
      </c>
      <c r="J20" s="40">
        <v>0</v>
      </c>
      <c r="K20" s="39">
        <v>0</v>
      </c>
      <c r="L20" s="40">
        <v>0</v>
      </c>
      <c r="M20" s="39">
        <v>0</v>
      </c>
      <c r="N20" s="40">
        <v>0</v>
      </c>
      <c r="O20" s="39">
        <v>0</v>
      </c>
      <c r="P20" s="40">
        <v>0</v>
      </c>
      <c r="Q20" s="39">
        <v>0</v>
      </c>
      <c r="R20" s="40">
        <v>0</v>
      </c>
      <c r="S20" s="39">
        <v>0</v>
      </c>
      <c r="T20" s="40">
        <v>0</v>
      </c>
      <c r="U20" s="39">
        <v>0</v>
      </c>
      <c r="V20" s="40">
        <v>0</v>
      </c>
      <c r="W20" s="39">
        <v>0</v>
      </c>
      <c r="X20" s="40">
        <v>0</v>
      </c>
    </row>
    <row r="21" spans="1:44" ht="16.5" customHeight="1" x14ac:dyDescent="0.2">
      <c r="A21" s="94"/>
      <c r="B21" s="38" t="s">
        <v>17</v>
      </c>
      <c r="C21" s="39">
        <v>822</v>
      </c>
      <c r="D21" s="40">
        <v>822</v>
      </c>
      <c r="E21" s="39">
        <v>822</v>
      </c>
      <c r="F21" s="40">
        <v>822</v>
      </c>
      <c r="G21" s="39">
        <v>822</v>
      </c>
      <c r="H21" s="40">
        <v>822</v>
      </c>
      <c r="I21" s="39">
        <v>822</v>
      </c>
      <c r="J21" s="40">
        <v>822</v>
      </c>
      <c r="K21" s="39">
        <v>822</v>
      </c>
      <c r="L21" s="40">
        <v>822</v>
      </c>
      <c r="M21" s="39">
        <v>822</v>
      </c>
      <c r="N21" s="40">
        <v>822</v>
      </c>
      <c r="O21" s="39">
        <v>822</v>
      </c>
      <c r="P21" s="40">
        <v>822</v>
      </c>
      <c r="Q21" s="39">
        <v>822</v>
      </c>
      <c r="R21" s="40">
        <v>822</v>
      </c>
      <c r="S21" s="39">
        <v>822</v>
      </c>
      <c r="T21" s="40">
        <v>822</v>
      </c>
      <c r="U21" s="39">
        <v>822</v>
      </c>
      <c r="V21" s="40">
        <v>822</v>
      </c>
      <c r="W21" s="39">
        <v>822</v>
      </c>
      <c r="X21" s="40">
        <v>822</v>
      </c>
    </row>
    <row r="22" spans="1:44" ht="16.5" customHeight="1" x14ac:dyDescent="0.2">
      <c r="A22" s="94"/>
      <c r="B22" s="38" t="s">
        <v>44</v>
      </c>
      <c r="C22" s="39">
        <v>618</v>
      </c>
      <c r="D22" s="40">
        <v>618</v>
      </c>
      <c r="E22" s="39">
        <v>618</v>
      </c>
      <c r="F22" s="40">
        <v>618</v>
      </c>
      <c r="G22" s="39">
        <v>618</v>
      </c>
      <c r="H22" s="40">
        <v>618</v>
      </c>
      <c r="I22" s="39">
        <v>618</v>
      </c>
      <c r="J22" s="40">
        <v>618</v>
      </c>
      <c r="K22" s="39">
        <v>618</v>
      </c>
      <c r="L22" s="40">
        <v>618</v>
      </c>
      <c r="M22" s="39">
        <v>618</v>
      </c>
      <c r="N22" s="40">
        <v>618</v>
      </c>
      <c r="O22" s="39">
        <v>618</v>
      </c>
      <c r="P22" s="40">
        <v>618</v>
      </c>
      <c r="Q22" s="39">
        <v>618</v>
      </c>
      <c r="R22" s="40">
        <v>618</v>
      </c>
      <c r="S22" s="39">
        <v>618</v>
      </c>
      <c r="T22" s="40">
        <v>618</v>
      </c>
      <c r="U22" s="39">
        <v>618</v>
      </c>
      <c r="V22" s="40">
        <v>618</v>
      </c>
      <c r="W22" s="39">
        <v>618</v>
      </c>
      <c r="X22" s="40">
        <v>618</v>
      </c>
    </row>
    <row r="23" spans="1:44" ht="16.5" customHeight="1" x14ac:dyDescent="0.2">
      <c r="A23" s="94"/>
      <c r="B23" s="38" t="s">
        <v>56</v>
      </c>
      <c r="C23" s="39">
        <v>1438</v>
      </c>
      <c r="D23" s="40">
        <v>1438</v>
      </c>
      <c r="E23" s="39">
        <v>1438</v>
      </c>
      <c r="F23" s="40">
        <v>1438</v>
      </c>
      <c r="G23" s="39">
        <v>1739</v>
      </c>
      <c r="H23" s="40">
        <v>1739</v>
      </c>
      <c r="I23" s="39">
        <v>1739</v>
      </c>
      <c r="J23" s="40">
        <v>1739</v>
      </c>
      <c r="K23" s="39">
        <v>1739</v>
      </c>
      <c r="L23" s="40">
        <v>1739</v>
      </c>
      <c r="M23" s="39">
        <v>1739</v>
      </c>
      <c r="N23" s="40">
        <v>1739</v>
      </c>
      <c r="O23" s="39">
        <v>1739</v>
      </c>
      <c r="P23" s="40">
        <v>1739</v>
      </c>
      <c r="Q23" s="39">
        <v>1739</v>
      </c>
      <c r="R23" s="40">
        <v>1739</v>
      </c>
      <c r="S23" s="39">
        <v>1739</v>
      </c>
      <c r="T23" s="40">
        <v>1739</v>
      </c>
      <c r="U23" s="39">
        <v>1739</v>
      </c>
      <c r="V23" s="40">
        <v>1739</v>
      </c>
      <c r="W23" s="39">
        <v>1739</v>
      </c>
      <c r="X23" s="40">
        <v>1739</v>
      </c>
    </row>
    <row r="24" spans="1:44" ht="16.5" customHeight="1" x14ac:dyDescent="0.2">
      <c r="A24" s="94"/>
      <c r="B24" s="38" t="s">
        <v>18</v>
      </c>
      <c r="C24" s="39">
        <v>1301</v>
      </c>
      <c r="D24" s="40">
        <v>1500</v>
      </c>
      <c r="E24" s="39">
        <v>1500</v>
      </c>
      <c r="F24" s="40">
        <v>1500</v>
      </c>
      <c r="G24" s="39">
        <v>1500</v>
      </c>
      <c r="H24" s="40">
        <v>1500</v>
      </c>
      <c r="I24" s="39">
        <v>1500</v>
      </c>
      <c r="J24" s="40">
        <v>1500</v>
      </c>
      <c r="K24" s="39">
        <v>1500</v>
      </c>
      <c r="L24" s="40">
        <v>1500</v>
      </c>
      <c r="M24" s="39">
        <v>1500</v>
      </c>
      <c r="N24" s="40">
        <v>1500</v>
      </c>
      <c r="O24" s="39">
        <v>1500</v>
      </c>
      <c r="P24" s="40">
        <v>1500</v>
      </c>
      <c r="Q24" s="39">
        <v>1500</v>
      </c>
      <c r="R24" s="40">
        <v>1951</v>
      </c>
      <c r="S24" s="39">
        <v>2075</v>
      </c>
      <c r="T24" s="40">
        <v>3356</v>
      </c>
      <c r="U24" s="39">
        <v>3810</v>
      </c>
      <c r="V24" s="40">
        <v>3810</v>
      </c>
      <c r="W24" s="39">
        <v>3810</v>
      </c>
      <c r="X24" s="40">
        <v>3810</v>
      </c>
    </row>
    <row r="25" spans="1:44" ht="16.5" customHeight="1" x14ac:dyDescent="0.2">
      <c r="A25" s="94"/>
      <c r="B25" s="38" t="s">
        <v>57</v>
      </c>
      <c r="C25" s="39">
        <v>346</v>
      </c>
      <c r="D25" s="40">
        <v>677</v>
      </c>
      <c r="E25" s="39">
        <v>677</v>
      </c>
      <c r="F25" s="40">
        <v>677</v>
      </c>
      <c r="G25" s="39">
        <v>1285</v>
      </c>
      <c r="H25" s="40">
        <v>1285</v>
      </c>
      <c r="I25" s="39">
        <v>1285</v>
      </c>
      <c r="J25" s="40">
        <v>1285</v>
      </c>
      <c r="K25" s="39">
        <v>1285</v>
      </c>
      <c r="L25" s="40">
        <v>1285</v>
      </c>
      <c r="M25" s="39">
        <v>1285</v>
      </c>
      <c r="N25" s="40">
        <v>1285</v>
      </c>
      <c r="O25" s="39">
        <v>1285</v>
      </c>
      <c r="P25" s="40">
        <v>1596</v>
      </c>
      <c r="Q25" s="39">
        <v>3406</v>
      </c>
      <c r="R25" s="40">
        <v>3406</v>
      </c>
      <c r="S25" s="39">
        <v>7216</v>
      </c>
      <c r="T25" s="40">
        <v>11420</v>
      </c>
      <c r="U25" s="39">
        <v>11689</v>
      </c>
      <c r="V25" s="40">
        <v>11689</v>
      </c>
      <c r="W25" s="39">
        <v>12758</v>
      </c>
      <c r="X25" s="40">
        <v>12830</v>
      </c>
    </row>
    <row r="26" spans="1:44" ht="16.5" customHeight="1" x14ac:dyDescent="0.2">
      <c r="A26" s="94"/>
      <c r="B26" s="38" t="s">
        <v>58</v>
      </c>
      <c r="C26" s="39">
        <v>2040</v>
      </c>
      <c r="D26" s="40">
        <v>2040</v>
      </c>
      <c r="E26" s="39">
        <v>2040</v>
      </c>
      <c r="F26" s="40">
        <v>2040</v>
      </c>
      <c r="G26" s="39">
        <v>2040</v>
      </c>
      <c r="H26" s="40">
        <v>2040</v>
      </c>
      <c r="I26" s="39">
        <v>2040</v>
      </c>
      <c r="J26" s="40">
        <v>2040</v>
      </c>
      <c r="K26" s="39">
        <v>2040</v>
      </c>
      <c r="L26" s="40">
        <v>2040</v>
      </c>
      <c r="M26" s="39">
        <v>2208</v>
      </c>
      <c r="N26" s="40">
        <v>2320</v>
      </c>
      <c r="O26" s="39">
        <v>2320</v>
      </c>
      <c r="P26" s="40">
        <v>2510</v>
      </c>
      <c r="Q26" s="39">
        <v>2948</v>
      </c>
      <c r="R26" s="40">
        <v>2948</v>
      </c>
      <c r="S26" s="39">
        <v>5496</v>
      </c>
      <c r="T26" s="40">
        <v>7947</v>
      </c>
      <c r="U26" s="39">
        <v>7974</v>
      </c>
      <c r="V26" s="40">
        <v>8167</v>
      </c>
      <c r="W26" s="39">
        <v>8781</v>
      </c>
      <c r="X26" s="40">
        <v>8930</v>
      </c>
    </row>
    <row r="27" spans="1:44" ht="16.5" customHeight="1" x14ac:dyDescent="0.2">
      <c r="A27" s="94"/>
      <c r="B27" s="38" t="s">
        <v>59</v>
      </c>
      <c r="C27" s="39">
        <v>0</v>
      </c>
      <c r="D27" s="40">
        <v>0</v>
      </c>
      <c r="E27" s="39">
        <v>0</v>
      </c>
      <c r="F27" s="40">
        <v>0</v>
      </c>
      <c r="G27" s="39">
        <v>0</v>
      </c>
      <c r="H27" s="40">
        <v>0</v>
      </c>
      <c r="I27" s="39">
        <v>0</v>
      </c>
      <c r="J27" s="40">
        <v>0</v>
      </c>
      <c r="K27" s="39">
        <v>0</v>
      </c>
      <c r="L27" s="40">
        <v>0</v>
      </c>
      <c r="M27" s="39">
        <v>0</v>
      </c>
      <c r="N27" s="40">
        <v>0</v>
      </c>
      <c r="O27" s="39">
        <v>0</v>
      </c>
      <c r="P27" s="40">
        <v>0</v>
      </c>
      <c r="Q27" s="39">
        <v>0</v>
      </c>
      <c r="R27" s="40">
        <v>0</v>
      </c>
      <c r="S27" s="39">
        <v>100</v>
      </c>
      <c r="T27" s="40">
        <v>100</v>
      </c>
      <c r="U27" s="39">
        <v>100</v>
      </c>
      <c r="V27" s="40">
        <v>100</v>
      </c>
      <c r="W27" s="39">
        <v>100</v>
      </c>
      <c r="X27" s="40">
        <v>100</v>
      </c>
    </row>
    <row r="28" spans="1:44" ht="16.5" customHeight="1" x14ac:dyDescent="0.2">
      <c r="A28" s="94"/>
      <c r="B28" s="38" t="s">
        <v>60</v>
      </c>
      <c r="C28" s="39">
        <v>132.4</v>
      </c>
      <c r="D28" s="40">
        <v>251.09</v>
      </c>
      <c r="E28" s="39">
        <v>408.31</v>
      </c>
      <c r="F28" s="40">
        <v>564.98</v>
      </c>
      <c r="G28" s="39">
        <v>720.25</v>
      </c>
      <c r="H28" s="40">
        <v>876.43</v>
      </c>
      <c r="I28" s="39">
        <v>1030.74</v>
      </c>
      <c r="J28" s="40">
        <v>1179.27</v>
      </c>
      <c r="K28" s="39">
        <v>1324.4</v>
      </c>
      <c r="L28" s="40">
        <v>1465.4</v>
      </c>
      <c r="M28" s="39">
        <v>1602.21</v>
      </c>
      <c r="N28" s="40">
        <v>1736.65</v>
      </c>
      <c r="O28" s="39">
        <v>1851.52</v>
      </c>
      <c r="P28" s="40">
        <v>1943.84</v>
      </c>
      <c r="Q28" s="39">
        <v>2031.79</v>
      </c>
      <c r="R28" s="40">
        <v>2121.0100000000002</v>
      </c>
      <c r="S28" s="39">
        <v>2209.36</v>
      </c>
      <c r="T28" s="40">
        <v>2299.16</v>
      </c>
      <c r="U28" s="39">
        <v>2387.54</v>
      </c>
      <c r="V28" s="40">
        <v>2474.54</v>
      </c>
      <c r="W28" s="39">
        <v>2518.3200000000002</v>
      </c>
      <c r="X28" s="40">
        <v>2606.6</v>
      </c>
    </row>
    <row r="29" spans="1:44" ht="16.5" customHeight="1" x14ac:dyDescent="0.2">
      <c r="A29" s="94"/>
      <c r="B29" s="38" t="s">
        <v>41</v>
      </c>
      <c r="C29" s="39">
        <v>2129</v>
      </c>
      <c r="D29" s="40">
        <v>2488</v>
      </c>
      <c r="E29" s="39">
        <v>2848</v>
      </c>
      <c r="F29" s="40">
        <v>3206</v>
      </c>
      <c r="G29" s="39">
        <v>3567</v>
      </c>
      <c r="H29" s="40">
        <v>3923</v>
      </c>
      <c r="I29" s="39">
        <v>4267</v>
      </c>
      <c r="J29" s="40">
        <v>4603</v>
      </c>
      <c r="K29" s="39">
        <v>4936</v>
      </c>
      <c r="L29" s="40">
        <v>5263</v>
      </c>
      <c r="M29" s="39">
        <v>5577</v>
      </c>
      <c r="N29" s="40">
        <v>5872</v>
      </c>
      <c r="O29" s="39">
        <v>6142</v>
      </c>
      <c r="P29" s="40">
        <v>6401</v>
      </c>
      <c r="Q29" s="39">
        <v>6628</v>
      </c>
      <c r="R29" s="40">
        <v>6829</v>
      </c>
      <c r="S29" s="39">
        <v>7022</v>
      </c>
      <c r="T29" s="40">
        <v>7208</v>
      </c>
      <c r="U29" s="39">
        <v>7382</v>
      </c>
      <c r="V29" s="40">
        <v>7508</v>
      </c>
      <c r="W29" s="39">
        <v>7658</v>
      </c>
      <c r="X29" s="40">
        <v>7783</v>
      </c>
    </row>
    <row r="30" spans="1:44" ht="16.5" customHeight="1" x14ac:dyDescent="0.2">
      <c r="A30" s="95" t="s">
        <v>36</v>
      </c>
      <c r="B30" s="47" t="s">
        <v>54</v>
      </c>
      <c r="C30" s="48">
        <v>8179</v>
      </c>
      <c r="D30" s="49">
        <v>8179</v>
      </c>
      <c r="E30" s="48">
        <v>8179</v>
      </c>
      <c r="F30" s="49">
        <v>8179</v>
      </c>
      <c r="G30" s="48">
        <v>8179</v>
      </c>
      <c r="H30" s="49">
        <v>8179</v>
      </c>
      <c r="I30" s="48">
        <v>8179</v>
      </c>
      <c r="J30" s="49">
        <v>8179</v>
      </c>
      <c r="K30" s="48">
        <v>8179</v>
      </c>
      <c r="L30" s="49">
        <v>8179</v>
      </c>
      <c r="M30" s="48">
        <v>8179</v>
      </c>
      <c r="N30" s="49">
        <v>6499</v>
      </c>
      <c r="O30" s="48">
        <v>6499</v>
      </c>
      <c r="P30" s="49">
        <v>6499</v>
      </c>
      <c r="Q30" s="48">
        <v>6499</v>
      </c>
      <c r="R30" s="49">
        <v>6499</v>
      </c>
      <c r="S30" s="48">
        <v>6499</v>
      </c>
      <c r="T30" s="49">
        <v>6499</v>
      </c>
      <c r="U30" s="48">
        <v>5099</v>
      </c>
      <c r="V30" s="49">
        <v>5099</v>
      </c>
      <c r="W30" s="48">
        <v>4399</v>
      </c>
      <c r="X30" s="49">
        <v>4399</v>
      </c>
    </row>
    <row r="31" spans="1:44" ht="16.5" customHeight="1" x14ac:dyDescent="0.2">
      <c r="A31" s="95"/>
      <c r="B31" s="47" t="s">
        <v>55</v>
      </c>
      <c r="C31" s="48">
        <v>0</v>
      </c>
      <c r="D31" s="49">
        <v>0</v>
      </c>
      <c r="E31" s="48">
        <v>0</v>
      </c>
      <c r="F31" s="49">
        <v>0</v>
      </c>
      <c r="G31" s="48">
        <v>0</v>
      </c>
      <c r="H31" s="49">
        <v>0</v>
      </c>
      <c r="I31" s="48">
        <v>0</v>
      </c>
      <c r="J31" s="49">
        <v>0</v>
      </c>
      <c r="K31" s="48">
        <v>0</v>
      </c>
      <c r="L31" s="49">
        <v>0</v>
      </c>
      <c r="M31" s="48">
        <v>0</v>
      </c>
      <c r="N31" s="49">
        <v>0</v>
      </c>
      <c r="O31" s="48">
        <v>0</v>
      </c>
      <c r="P31" s="49">
        <v>0</v>
      </c>
      <c r="Q31" s="48">
        <v>0</v>
      </c>
      <c r="R31" s="49">
        <v>0</v>
      </c>
      <c r="S31" s="48">
        <v>0</v>
      </c>
      <c r="T31" s="49">
        <v>0</v>
      </c>
      <c r="U31" s="48">
        <v>0</v>
      </c>
      <c r="V31" s="49">
        <v>0</v>
      </c>
      <c r="W31" s="48">
        <v>0</v>
      </c>
      <c r="X31" s="49">
        <v>0</v>
      </c>
    </row>
    <row r="32" spans="1:44" ht="16.5" customHeight="1" x14ac:dyDescent="0.2">
      <c r="A32" s="95"/>
      <c r="B32" s="47" t="s">
        <v>17</v>
      </c>
      <c r="C32" s="48">
        <v>152</v>
      </c>
      <c r="D32" s="49">
        <v>152</v>
      </c>
      <c r="E32" s="48">
        <v>152</v>
      </c>
      <c r="F32" s="49">
        <v>152</v>
      </c>
      <c r="G32" s="48">
        <v>152</v>
      </c>
      <c r="H32" s="49">
        <v>152</v>
      </c>
      <c r="I32" s="48">
        <v>152</v>
      </c>
      <c r="J32" s="49">
        <v>152</v>
      </c>
      <c r="K32" s="48">
        <v>152</v>
      </c>
      <c r="L32" s="49">
        <v>152</v>
      </c>
      <c r="M32" s="48">
        <v>152</v>
      </c>
      <c r="N32" s="49">
        <v>152</v>
      </c>
      <c r="O32" s="48">
        <v>152</v>
      </c>
      <c r="P32" s="49">
        <v>152</v>
      </c>
      <c r="Q32" s="48">
        <v>152</v>
      </c>
      <c r="R32" s="49">
        <v>152</v>
      </c>
      <c r="S32" s="48">
        <v>152</v>
      </c>
      <c r="T32" s="49">
        <v>152</v>
      </c>
      <c r="U32" s="48">
        <v>152</v>
      </c>
      <c r="V32" s="49">
        <v>152</v>
      </c>
      <c r="W32" s="48">
        <v>152</v>
      </c>
      <c r="X32" s="49">
        <v>152</v>
      </c>
    </row>
    <row r="33" spans="1:24" ht="16.5" customHeight="1" x14ac:dyDescent="0.2">
      <c r="A33" s="95"/>
      <c r="B33" s="47" t="s">
        <v>44</v>
      </c>
      <c r="C33" s="48">
        <v>1521</v>
      </c>
      <c r="D33" s="49">
        <v>1521</v>
      </c>
      <c r="E33" s="48">
        <v>1521</v>
      </c>
      <c r="F33" s="49">
        <v>1521</v>
      </c>
      <c r="G33" s="48">
        <v>1521</v>
      </c>
      <c r="H33" s="49">
        <v>1521</v>
      </c>
      <c r="I33" s="48">
        <v>1521</v>
      </c>
      <c r="J33" s="49">
        <v>1521</v>
      </c>
      <c r="K33" s="48">
        <v>1521</v>
      </c>
      <c r="L33" s="49">
        <v>1521</v>
      </c>
      <c r="M33" s="48">
        <v>1521</v>
      </c>
      <c r="N33" s="49">
        <v>1521</v>
      </c>
      <c r="O33" s="48">
        <v>1521</v>
      </c>
      <c r="P33" s="49">
        <v>1521</v>
      </c>
      <c r="Q33" s="48">
        <v>1521</v>
      </c>
      <c r="R33" s="49">
        <v>1521</v>
      </c>
      <c r="S33" s="48">
        <v>1521</v>
      </c>
      <c r="T33" s="49">
        <v>1521</v>
      </c>
      <c r="U33" s="48">
        <v>1521</v>
      </c>
      <c r="V33" s="49">
        <v>1521</v>
      </c>
      <c r="W33" s="48">
        <v>1521</v>
      </c>
      <c r="X33" s="49">
        <v>1521</v>
      </c>
    </row>
    <row r="34" spans="1:24" ht="16.5" customHeight="1" x14ac:dyDescent="0.2">
      <c r="A34" s="95"/>
      <c r="B34" s="47" t="s">
        <v>56</v>
      </c>
      <c r="C34" s="48">
        <v>1932</v>
      </c>
      <c r="D34" s="49">
        <v>1932</v>
      </c>
      <c r="E34" s="48">
        <v>1932</v>
      </c>
      <c r="F34" s="49">
        <v>1898</v>
      </c>
      <c r="G34" s="48">
        <v>1898</v>
      </c>
      <c r="H34" s="49">
        <v>1898</v>
      </c>
      <c r="I34" s="48">
        <v>1898</v>
      </c>
      <c r="J34" s="49">
        <v>1898</v>
      </c>
      <c r="K34" s="48">
        <v>1898</v>
      </c>
      <c r="L34" s="49">
        <v>1898</v>
      </c>
      <c r="M34" s="48">
        <v>1898</v>
      </c>
      <c r="N34" s="49">
        <v>1898</v>
      </c>
      <c r="O34" s="48">
        <v>1898</v>
      </c>
      <c r="P34" s="49">
        <v>1898</v>
      </c>
      <c r="Q34" s="48">
        <v>1898</v>
      </c>
      <c r="R34" s="49">
        <v>1898</v>
      </c>
      <c r="S34" s="48">
        <v>1898</v>
      </c>
      <c r="T34" s="49">
        <v>1898</v>
      </c>
      <c r="U34" s="48">
        <v>1898</v>
      </c>
      <c r="V34" s="49">
        <v>1898</v>
      </c>
      <c r="W34" s="48">
        <v>1898</v>
      </c>
      <c r="X34" s="49">
        <v>1898</v>
      </c>
    </row>
    <row r="35" spans="1:24" ht="16.5" customHeight="1" x14ac:dyDescent="0.2">
      <c r="A35" s="95"/>
      <c r="B35" s="47" t="s">
        <v>18</v>
      </c>
      <c r="C35" s="48">
        <v>223</v>
      </c>
      <c r="D35" s="49">
        <v>676</v>
      </c>
      <c r="E35" s="48">
        <v>676</v>
      </c>
      <c r="F35" s="49">
        <v>676</v>
      </c>
      <c r="G35" s="48">
        <v>676</v>
      </c>
      <c r="H35" s="49">
        <v>676</v>
      </c>
      <c r="I35" s="48">
        <v>676</v>
      </c>
      <c r="J35" s="49">
        <v>676</v>
      </c>
      <c r="K35" s="48">
        <v>766</v>
      </c>
      <c r="L35" s="49">
        <v>930</v>
      </c>
      <c r="M35" s="48">
        <v>1161</v>
      </c>
      <c r="N35" s="49">
        <v>1296</v>
      </c>
      <c r="O35" s="48">
        <v>1296</v>
      </c>
      <c r="P35" s="49">
        <v>1296</v>
      </c>
      <c r="Q35" s="48">
        <v>1296</v>
      </c>
      <c r="R35" s="49">
        <v>1296</v>
      </c>
      <c r="S35" s="48">
        <v>1296</v>
      </c>
      <c r="T35" s="49">
        <v>1296</v>
      </c>
      <c r="U35" s="48">
        <v>1361</v>
      </c>
      <c r="V35" s="49">
        <v>1361</v>
      </c>
      <c r="W35" s="48">
        <v>1361</v>
      </c>
      <c r="X35" s="49">
        <v>1361</v>
      </c>
    </row>
    <row r="36" spans="1:24" ht="16.5" customHeight="1" x14ac:dyDescent="0.2">
      <c r="A36" s="95"/>
      <c r="B36" s="47" t="s">
        <v>57</v>
      </c>
      <c r="C36" s="48">
        <v>1222</v>
      </c>
      <c r="D36" s="49">
        <v>1222</v>
      </c>
      <c r="E36" s="48">
        <v>1222</v>
      </c>
      <c r="F36" s="49">
        <v>1222</v>
      </c>
      <c r="G36" s="48">
        <v>1222</v>
      </c>
      <c r="H36" s="49">
        <v>1222</v>
      </c>
      <c r="I36" s="48">
        <v>1690</v>
      </c>
      <c r="J36" s="49">
        <v>2729</v>
      </c>
      <c r="K36" s="48">
        <v>3465</v>
      </c>
      <c r="L36" s="49">
        <v>4134</v>
      </c>
      <c r="M36" s="48">
        <v>4926</v>
      </c>
      <c r="N36" s="49">
        <v>5687</v>
      </c>
      <c r="O36" s="48">
        <v>5687</v>
      </c>
      <c r="P36" s="49">
        <v>5687</v>
      </c>
      <c r="Q36" s="48">
        <v>5687</v>
      </c>
      <c r="R36" s="49">
        <v>5687</v>
      </c>
      <c r="S36" s="48">
        <v>5687</v>
      </c>
      <c r="T36" s="49">
        <v>5687</v>
      </c>
      <c r="U36" s="48">
        <v>7822</v>
      </c>
      <c r="V36" s="49">
        <v>8574</v>
      </c>
      <c r="W36" s="48">
        <v>9085</v>
      </c>
      <c r="X36" s="49">
        <v>9554</v>
      </c>
    </row>
    <row r="37" spans="1:24" ht="16.5" customHeight="1" x14ac:dyDescent="0.2">
      <c r="A37" s="95"/>
      <c r="B37" s="47" t="s">
        <v>58</v>
      </c>
      <c r="C37" s="48">
        <v>501</v>
      </c>
      <c r="D37" s="49">
        <v>501</v>
      </c>
      <c r="E37" s="48">
        <v>601</v>
      </c>
      <c r="F37" s="49">
        <v>601</v>
      </c>
      <c r="G37" s="48">
        <v>601</v>
      </c>
      <c r="H37" s="49">
        <v>601</v>
      </c>
      <c r="I37" s="48">
        <v>601</v>
      </c>
      <c r="J37" s="49">
        <v>601</v>
      </c>
      <c r="K37" s="48">
        <v>601</v>
      </c>
      <c r="L37" s="49">
        <v>601</v>
      </c>
      <c r="M37" s="48">
        <v>601</v>
      </c>
      <c r="N37" s="49">
        <v>1259</v>
      </c>
      <c r="O37" s="48">
        <v>1259</v>
      </c>
      <c r="P37" s="49">
        <v>1259</v>
      </c>
      <c r="Q37" s="48">
        <v>1296</v>
      </c>
      <c r="R37" s="49">
        <v>1459</v>
      </c>
      <c r="S37" s="48">
        <v>1616</v>
      </c>
      <c r="T37" s="49">
        <v>1856</v>
      </c>
      <c r="U37" s="48">
        <v>4016</v>
      </c>
      <c r="V37" s="49">
        <v>4576</v>
      </c>
      <c r="W37" s="48">
        <v>5091</v>
      </c>
      <c r="X37" s="49">
        <v>5393</v>
      </c>
    </row>
    <row r="38" spans="1:24" ht="16.5" customHeight="1" x14ac:dyDescent="0.2">
      <c r="A38" s="95"/>
      <c r="B38" s="47" t="s">
        <v>59</v>
      </c>
      <c r="C38" s="48">
        <v>0</v>
      </c>
      <c r="D38" s="49">
        <v>0</v>
      </c>
      <c r="E38" s="48">
        <v>0</v>
      </c>
      <c r="F38" s="49">
        <v>0</v>
      </c>
      <c r="G38" s="48">
        <v>0</v>
      </c>
      <c r="H38" s="49">
        <v>0</v>
      </c>
      <c r="I38" s="48">
        <v>0</v>
      </c>
      <c r="J38" s="49">
        <v>0</v>
      </c>
      <c r="K38" s="48">
        <v>0</v>
      </c>
      <c r="L38" s="49">
        <v>0</v>
      </c>
      <c r="M38" s="48">
        <v>0</v>
      </c>
      <c r="N38" s="49">
        <v>0</v>
      </c>
      <c r="O38" s="48">
        <v>0</v>
      </c>
      <c r="P38" s="49">
        <v>0</v>
      </c>
      <c r="Q38" s="48">
        <v>0</v>
      </c>
      <c r="R38" s="49">
        <v>0</v>
      </c>
      <c r="S38" s="48">
        <v>0</v>
      </c>
      <c r="T38" s="49">
        <v>0</v>
      </c>
      <c r="U38" s="48">
        <v>0</v>
      </c>
      <c r="V38" s="49">
        <v>0</v>
      </c>
      <c r="W38" s="48">
        <v>0</v>
      </c>
      <c r="X38" s="49">
        <v>0</v>
      </c>
    </row>
    <row r="39" spans="1:24" ht="16.5" customHeight="1" x14ac:dyDescent="0.2">
      <c r="A39" s="95"/>
      <c r="B39" s="47" t="s">
        <v>60</v>
      </c>
      <c r="C39" s="48">
        <v>71.2</v>
      </c>
      <c r="D39" s="49">
        <v>136.66</v>
      </c>
      <c r="E39" s="48">
        <v>225.27</v>
      </c>
      <c r="F39" s="49">
        <v>305.48</v>
      </c>
      <c r="G39" s="48">
        <v>380.04</v>
      </c>
      <c r="H39" s="49">
        <v>448.25</v>
      </c>
      <c r="I39" s="48">
        <v>512.38</v>
      </c>
      <c r="J39" s="49">
        <v>572.39</v>
      </c>
      <c r="K39" s="48">
        <v>630.85</v>
      </c>
      <c r="L39" s="49">
        <v>688.66</v>
      </c>
      <c r="M39" s="48">
        <v>745.92</v>
      </c>
      <c r="N39" s="49">
        <v>802.76</v>
      </c>
      <c r="O39" s="48">
        <v>859.3</v>
      </c>
      <c r="P39" s="49">
        <v>915.59</v>
      </c>
      <c r="Q39" s="48">
        <v>970.53</v>
      </c>
      <c r="R39" s="49">
        <v>1025.32</v>
      </c>
      <c r="S39" s="48">
        <v>1080.04</v>
      </c>
      <c r="T39" s="49">
        <v>1131.97</v>
      </c>
      <c r="U39" s="48">
        <v>1181.52</v>
      </c>
      <c r="V39" s="49">
        <v>1228.6400000000001</v>
      </c>
      <c r="W39" s="48">
        <v>1272.46</v>
      </c>
      <c r="X39" s="49">
        <v>1314.51</v>
      </c>
    </row>
    <row r="40" spans="1:24" ht="16.5" customHeight="1" x14ac:dyDescent="0.2">
      <c r="A40" s="95"/>
      <c r="B40" s="47" t="s">
        <v>41</v>
      </c>
      <c r="C40" s="48">
        <v>2454</v>
      </c>
      <c r="D40" s="49">
        <v>2706</v>
      </c>
      <c r="E40" s="48">
        <v>2951</v>
      </c>
      <c r="F40" s="49">
        <v>3185</v>
      </c>
      <c r="G40" s="48">
        <v>3408</v>
      </c>
      <c r="H40" s="49">
        <v>3626</v>
      </c>
      <c r="I40" s="48">
        <v>3837</v>
      </c>
      <c r="J40" s="49">
        <v>4041</v>
      </c>
      <c r="K40" s="48">
        <v>4243</v>
      </c>
      <c r="L40" s="49">
        <v>4442</v>
      </c>
      <c r="M40" s="48">
        <v>4638</v>
      </c>
      <c r="N40" s="49">
        <v>4829</v>
      </c>
      <c r="O40" s="48">
        <v>5007</v>
      </c>
      <c r="P40" s="49">
        <v>5171</v>
      </c>
      <c r="Q40" s="48">
        <v>5316</v>
      </c>
      <c r="R40" s="49">
        <v>5450</v>
      </c>
      <c r="S40" s="48">
        <v>5577</v>
      </c>
      <c r="T40" s="49">
        <v>5691</v>
      </c>
      <c r="U40" s="48">
        <v>5786</v>
      </c>
      <c r="V40" s="49">
        <v>5865</v>
      </c>
      <c r="W40" s="48">
        <v>5935</v>
      </c>
      <c r="X40" s="49">
        <v>5999</v>
      </c>
    </row>
    <row r="41" spans="1:24" ht="16.5" customHeight="1" x14ac:dyDescent="0.2">
      <c r="A41" s="94" t="s">
        <v>38</v>
      </c>
      <c r="B41" s="38" t="s">
        <v>54</v>
      </c>
      <c r="C41" s="39">
        <v>0</v>
      </c>
      <c r="D41" s="40">
        <v>0</v>
      </c>
      <c r="E41" s="39">
        <v>0</v>
      </c>
      <c r="F41" s="40">
        <v>0</v>
      </c>
      <c r="G41" s="39">
        <v>0</v>
      </c>
      <c r="H41" s="40">
        <v>0</v>
      </c>
      <c r="I41" s="39">
        <v>0</v>
      </c>
      <c r="J41" s="40">
        <v>0</v>
      </c>
      <c r="K41" s="39">
        <v>0</v>
      </c>
      <c r="L41" s="40">
        <v>0</v>
      </c>
      <c r="M41" s="39">
        <v>0</v>
      </c>
      <c r="N41" s="40">
        <v>0</v>
      </c>
      <c r="O41" s="39">
        <v>0</v>
      </c>
      <c r="P41" s="40">
        <v>0</v>
      </c>
      <c r="Q41" s="39">
        <v>0</v>
      </c>
      <c r="R41" s="40">
        <v>0</v>
      </c>
      <c r="S41" s="39">
        <v>0</v>
      </c>
      <c r="T41" s="40">
        <v>0</v>
      </c>
      <c r="U41" s="39">
        <v>0</v>
      </c>
      <c r="V41" s="40">
        <v>0</v>
      </c>
      <c r="W41" s="39">
        <v>0</v>
      </c>
      <c r="X41" s="40">
        <v>0</v>
      </c>
    </row>
    <row r="42" spans="1:24" ht="16.5" customHeight="1" x14ac:dyDescent="0.2">
      <c r="A42" s="94"/>
      <c r="B42" s="38" t="s">
        <v>55</v>
      </c>
      <c r="C42" s="39">
        <v>0</v>
      </c>
      <c r="D42" s="40">
        <v>0</v>
      </c>
      <c r="E42" s="39">
        <v>0</v>
      </c>
      <c r="F42" s="40">
        <v>0</v>
      </c>
      <c r="G42" s="39">
        <v>0</v>
      </c>
      <c r="H42" s="40">
        <v>0</v>
      </c>
      <c r="I42" s="39">
        <v>0</v>
      </c>
      <c r="J42" s="40">
        <v>0</v>
      </c>
      <c r="K42" s="39">
        <v>0</v>
      </c>
      <c r="L42" s="40">
        <v>0</v>
      </c>
      <c r="M42" s="39">
        <v>0</v>
      </c>
      <c r="N42" s="40">
        <v>0</v>
      </c>
      <c r="O42" s="39">
        <v>0</v>
      </c>
      <c r="P42" s="40">
        <v>0</v>
      </c>
      <c r="Q42" s="39">
        <v>0</v>
      </c>
      <c r="R42" s="40">
        <v>0</v>
      </c>
      <c r="S42" s="39">
        <v>0</v>
      </c>
      <c r="T42" s="40">
        <v>0</v>
      </c>
      <c r="U42" s="39">
        <v>0</v>
      </c>
      <c r="V42" s="40">
        <v>0</v>
      </c>
      <c r="W42" s="39">
        <v>0</v>
      </c>
      <c r="X42" s="40">
        <v>0</v>
      </c>
    </row>
    <row r="43" spans="1:24" ht="16.5" customHeight="1" x14ac:dyDescent="0.2">
      <c r="A43" s="94"/>
      <c r="B43" s="38" t="s">
        <v>17</v>
      </c>
      <c r="C43" s="39">
        <v>0</v>
      </c>
      <c r="D43" s="40">
        <v>0</v>
      </c>
      <c r="E43" s="39">
        <v>0</v>
      </c>
      <c r="F43" s="40">
        <v>0</v>
      </c>
      <c r="G43" s="39">
        <v>0</v>
      </c>
      <c r="H43" s="40">
        <v>0</v>
      </c>
      <c r="I43" s="39">
        <v>0</v>
      </c>
      <c r="J43" s="40">
        <v>0</v>
      </c>
      <c r="K43" s="39">
        <v>0</v>
      </c>
      <c r="L43" s="40">
        <v>0</v>
      </c>
      <c r="M43" s="39">
        <v>0</v>
      </c>
      <c r="N43" s="40">
        <v>0</v>
      </c>
      <c r="O43" s="39">
        <v>0</v>
      </c>
      <c r="P43" s="40">
        <v>0</v>
      </c>
      <c r="Q43" s="39">
        <v>0</v>
      </c>
      <c r="R43" s="40">
        <v>0</v>
      </c>
      <c r="S43" s="39">
        <v>0</v>
      </c>
      <c r="T43" s="40">
        <v>0</v>
      </c>
      <c r="U43" s="39">
        <v>0</v>
      </c>
      <c r="V43" s="40">
        <v>0</v>
      </c>
      <c r="W43" s="39">
        <v>0</v>
      </c>
      <c r="X43" s="40">
        <v>0</v>
      </c>
    </row>
    <row r="44" spans="1:24" ht="16.5" customHeight="1" x14ac:dyDescent="0.2">
      <c r="A44" s="94"/>
      <c r="B44" s="38" t="s">
        <v>44</v>
      </c>
      <c r="C44" s="39">
        <v>1462</v>
      </c>
      <c r="D44" s="40">
        <v>1462</v>
      </c>
      <c r="E44" s="39">
        <v>1462</v>
      </c>
      <c r="F44" s="40">
        <v>1462</v>
      </c>
      <c r="G44" s="39">
        <v>1462</v>
      </c>
      <c r="H44" s="40">
        <v>1462</v>
      </c>
      <c r="I44" s="39">
        <v>0</v>
      </c>
      <c r="J44" s="40">
        <v>0</v>
      </c>
      <c r="K44" s="39">
        <v>0</v>
      </c>
      <c r="L44" s="40">
        <v>0</v>
      </c>
      <c r="M44" s="39">
        <v>0</v>
      </c>
      <c r="N44" s="40">
        <v>0</v>
      </c>
      <c r="O44" s="39">
        <v>0</v>
      </c>
      <c r="P44" s="40">
        <v>0</v>
      </c>
      <c r="Q44" s="39">
        <v>0</v>
      </c>
      <c r="R44" s="40">
        <v>0</v>
      </c>
      <c r="S44" s="39">
        <v>0</v>
      </c>
      <c r="T44" s="40">
        <v>0</v>
      </c>
      <c r="U44" s="39">
        <v>0</v>
      </c>
      <c r="V44" s="40">
        <v>0</v>
      </c>
      <c r="W44" s="39">
        <v>0</v>
      </c>
      <c r="X44" s="40">
        <v>0</v>
      </c>
    </row>
    <row r="45" spans="1:24" ht="16.5" customHeight="1" x14ac:dyDescent="0.2">
      <c r="A45" s="94"/>
      <c r="B45" s="38" t="s">
        <v>56</v>
      </c>
      <c r="C45" s="39">
        <v>1527.1</v>
      </c>
      <c r="D45" s="40">
        <v>1503.1</v>
      </c>
      <c r="E45" s="39">
        <v>1503.1</v>
      </c>
      <c r="F45" s="40">
        <v>1263.0999999999999</v>
      </c>
      <c r="G45" s="39">
        <v>1263.0999999999999</v>
      </c>
      <c r="H45" s="40">
        <v>1263.0999999999999</v>
      </c>
      <c r="I45" s="39">
        <v>1263.0999999999999</v>
      </c>
      <c r="J45" s="40">
        <v>1263.0999999999999</v>
      </c>
      <c r="K45" s="39">
        <v>1263.0999999999999</v>
      </c>
      <c r="L45" s="40">
        <v>1263.0999999999999</v>
      </c>
      <c r="M45" s="39">
        <v>1263.0999999999999</v>
      </c>
      <c r="N45" s="40">
        <v>1263.0999999999999</v>
      </c>
      <c r="O45" s="39">
        <v>1263.0999999999999</v>
      </c>
      <c r="P45" s="40">
        <v>1263.0999999999999</v>
      </c>
      <c r="Q45" s="39">
        <v>1263.0999999999999</v>
      </c>
      <c r="R45" s="40">
        <v>1263.0999999999999</v>
      </c>
      <c r="S45" s="39">
        <v>1263.0999999999999</v>
      </c>
      <c r="T45" s="40">
        <v>1263.0999999999999</v>
      </c>
      <c r="U45" s="39">
        <v>1263.0999999999999</v>
      </c>
      <c r="V45" s="40">
        <v>1263.0999999999999</v>
      </c>
      <c r="W45" s="39">
        <v>1263.0999999999999</v>
      </c>
      <c r="X45" s="40">
        <v>1263.0999999999999</v>
      </c>
    </row>
    <row r="46" spans="1:24" ht="16.5" customHeight="1" x14ac:dyDescent="0.2">
      <c r="A46" s="94"/>
      <c r="B46" s="38" t="s">
        <v>18</v>
      </c>
      <c r="C46" s="39">
        <v>2051</v>
      </c>
      <c r="D46" s="40">
        <v>2051</v>
      </c>
      <c r="E46" s="39">
        <v>2051</v>
      </c>
      <c r="F46" s="40">
        <v>2051</v>
      </c>
      <c r="G46" s="39">
        <v>2051</v>
      </c>
      <c r="H46" s="40">
        <v>2051</v>
      </c>
      <c r="I46" s="39">
        <v>2051</v>
      </c>
      <c r="J46" s="40">
        <v>2051</v>
      </c>
      <c r="K46" s="39">
        <v>2051</v>
      </c>
      <c r="L46" s="40">
        <v>2051</v>
      </c>
      <c r="M46" s="39">
        <v>2051</v>
      </c>
      <c r="N46" s="40">
        <v>2051</v>
      </c>
      <c r="O46" s="39">
        <v>2051</v>
      </c>
      <c r="P46" s="40">
        <v>2051</v>
      </c>
      <c r="Q46" s="39">
        <v>2051</v>
      </c>
      <c r="R46" s="40">
        <v>2051</v>
      </c>
      <c r="S46" s="39">
        <v>2051</v>
      </c>
      <c r="T46" s="40">
        <v>2051</v>
      </c>
      <c r="U46" s="39">
        <v>2288</v>
      </c>
      <c r="V46" s="40">
        <v>2288</v>
      </c>
      <c r="W46" s="39">
        <v>2400</v>
      </c>
      <c r="X46" s="40">
        <v>2502</v>
      </c>
    </row>
    <row r="47" spans="1:24" ht="16.5" customHeight="1" x14ac:dyDescent="0.2">
      <c r="A47" s="94"/>
      <c r="B47" s="38" t="s">
        <v>57</v>
      </c>
      <c r="C47" s="39">
        <v>220</v>
      </c>
      <c r="D47" s="40">
        <v>467</v>
      </c>
      <c r="E47" s="39">
        <v>467</v>
      </c>
      <c r="F47" s="40">
        <v>467</v>
      </c>
      <c r="G47" s="39">
        <v>542</v>
      </c>
      <c r="H47" s="40">
        <v>542</v>
      </c>
      <c r="I47" s="39">
        <v>1042</v>
      </c>
      <c r="J47" s="40">
        <v>1290</v>
      </c>
      <c r="K47" s="39">
        <v>1290</v>
      </c>
      <c r="L47" s="40">
        <v>1290</v>
      </c>
      <c r="M47" s="39">
        <v>1290</v>
      </c>
      <c r="N47" s="40">
        <v>1290</v>
      </c>
      <c r="O47" s="39">
        <v>1290</v>
      </c>
      <c r="P47" s="40">
        <v>1290</v>
      </c>
      <c r="Q47" s="39">
        <v>2290</v>
      </c>
      <c r="R47" s="40">
        <v>2290</v>
      </c>
      <c r="S47" s="39">
        <v>2290</v>
      </c>
      <c r="T47" s="40">
        <v>2668</v>
      </c>
      <c r="U47" s="39">
        <v>3053</v>
      </c>
      <c r="V47" s="40">
        <v>3235</v>
      </c>
      <c r="W47" s="39">
        <v>3269</v>
      </c>
      <c r="X47" s="40">
        <v>3269</v>
      </c>
    </row>
    <row r="48" spans="1:24" ht="16.5" customHeight="1" x14ac:dyDescent="0.2">
      <c r="A48" s="94"/>
      <c r="B48" s="38" t="s">
        <v>58</v>
      </c>
      <c r="C48" s="39">
        <v>100</v>
      </c>
      <c r="D48" s="40">
        <v>100</v>
      </c>
      <c r="E48" s="39">
        <v>100</v>
      </c>
      <c r="F48" s="40">
        <v>100</v>
      </c>
      <c r="G48" s="39">
        <v>100</v>
      </c>
      <c r="H48" s="40">
        <v>100</v>
      </c>
      <c r="I48" s="39">
        <v>571</v>
      </c>
      <c r="J48" s="40">
        <v>751</v>
      </c>
      <c r="K48" s="39">
        <v>751</v>
      </c>
      <c r="L48" s="40">
        <v>751</v>
      </c>
      <c r="M48" s="39">
        <v>904</v>
      </c>
      <c r="N48" s="40">
        <v>904</v>
      </c>
      <c r="O48" s="39">
        <v>904</v>
      </c>
      <c r="P48" s="40">
        <v>904</v>
      </c>
      <c r="Q48" s="39">
        <v>1417</v>
      </c>
      <c r="R48" s="40">
        <v>1417</v>
      </c>
      <c r="S48" s="39">
        <v>1417</v>
      </c>
      <c r="T48" s="40">
        <v>1548</v>
      </c>
      <c r="U48" s="39">
        <v>1566</v>
      </c>
      <c r="V48" s="40">
        <v>1649</v>
      </c>
      <c r="W48" s="39">
        <v>1676</v>
      </c>
      <c r="X48" s="40">
        <v>1684</v>
      </c>
    </row>
    <row r="49" spans="1:24" ht="16.5" customHeight="1" x14ac:dyDescent="0.2">
      <c r="A49" s="94"/>
      <c r="B49" s="38" t="s">
        <v>59</v>
      </c>
      <c r="C49" s="39">
        <v>0</v>
      </c>
      <c r="D49" s="40">
        <v>0</v>
      </c>
      <c r="E49" s="39">
        <v>0</v>
      </c>
      <c r="F49" s="40">
        <v>0</v>
      </c>
      <c r="G49" s="39">
        <v>0</v>
      </c>
      <c r="H49" s="40">
        <v>0</v>
      </c>
      <c r="I49" s="39">
        <v>0</v>
      </c>
      <c r="J49" s="40">
        <v>0</v>
      </c>
      <c r="K49" s="39">
        <v>0</v>
      </c>
      <c r="L49" s="40">
        <v>0</v>
      </c>
      <c r="M49" s="39">
        <v>0</v>
      </c>
      <c r="N49" s="40">
        <v>0</v>
      </c>
      <c r="O49" s="39">
        <v>0</v>
      </c>
      <c r="P49" s="40">
        <v>0</v>
      </c>
      <c r="Q49" s="39">
        <v>0</v>
      </c>
      <c r="R49" s="40">
        <v>0</v>
      </c>
      <c r="S49" s="39">
        <v>0</v>
      </c>
      <c r="T49" s="40">
        <v>0</v>
      </c>
      <c r="U49" s="39">
        <v>100</v>
      </c>
      <c r="V49" s="40">
        <v>100</v>
      </c>
      <c r="W49" s="39">
        <v>100</v>
      </c>
      <c r="X49" s="40">
        <v>100</v>
      </c>
    </row>
    <row r="50" spans="1:24" ht="16.5" customHeight="1" x14ac:dyDescent="0.2">
      <c r="A50" s="94"/>
      <c r="B50" s="38" t="s">
        <v>60</v>
      </c>
      <c r="C50" s="39">
        <v>24.23</v>
      </c>
      <c r="D50" s="40">
        <v>46.9</v>
      </c>
      <c r="E50" s="39">
        <v>77.290000000000006</v>
      </c>
      <c r="F50" s="40">
        <v>107.66</v>
      </c>
      <c r="G50" s="39">
        <v>137.99</v>
      </c>
      <c r="H50" s="40">
        <v>168.29</v>
      </c>
      <c r="I50" s="39">
        <v>199.68</v>
      </c>
      <c r="J50" s="40">
        <v>231.03</v>
      </c>
      <c r="K50" s="39">
        <v>262.33999999999997</v>
      </c>
      <c r="L50" s="40">
        <v>293.61</v>
      </c>
      <c r="M50" s="39">
        <v>324.91000000000003</v>
      </c>
      <c r="N50" s="40">
        <v>356.26</v>
      </c>
      <c r="O50" s="39">
        <v>386.57</v>
      </c>
      <c r="P50" s="40">
        <v>414.76</v>
      </c>
      <c r="Q50" s="39">
        <v>440.84</v>
      </c>
      <c r="R50" s="40">
        <v>461.52</v>
      </c>
      <c r="S50" s="39">
        <v>480.12</v>
      </c>
      <c r="T50" s="40">
        <v>498.84</v>
      </c>
      <c r="U50" s="39">
        <v>516.02</v>
      </c>
      <c r="V50" s="40">
        <v>533.27</v>
      </c>
      <c r="W50" s="39">
        <v>550.45000000000005</v>
      </c>
      <c r="X50" s="40">
        <v>567.74</v>
      </c>
    </row>
    <row r="51" spans="1:24" ht="16.5" customHeight="1" x14ac:dyDescent="0.2">
      <c r="A51" s="94"/>
      <c r="B51" s="38" t="s">
        <v>41</v>
      </c>
      <c r="C51" s="39">
        <v>965</v>
      </c>
      <c r="D51" s="40">
        <v>1037</v>
      </c>
      <c r="E51" s="39">
        <v>1110</v>
      </c>
      <c r="F51" s="40">
        <v>1183</v>
      </c>
      <c r="G51" s="39">
        <v>1255</v>
      </c>
      <c r="H51" s="40">
        <v>1330</v>
      </c>
      <c r="I51" s="39">
        <v>1404</v>
      </c>
      <c r="J51" s="40">
        <v>1477</v>
      </c>
      <c r="K51" s="39">
        <v>1551</v>
      </c>
      <c r="L51" s="40">
        <v>1624</v>
      </c>
      <c r="M51" s="39">
        <v>1697</v>
      </c>
      <c r="N51" s="40">
        <v>1769</v>
      </c>
      <c r="O51" s="39">
        <v>1839</v>
      </c>
      <c r="P51" s="40">
        <v>1906</v>
      </c>
      <c r="Q51" s="39">
        <v>1969</v>
      </c>
      <c r="R51" s="40">
        <v>2029</v>
      </c>
      <c r="S51" s="39">
        <v>2086</v>
      </c>
      <c r="T51" s="40">
        <v>2140</v>
      </c>
      <c r="U51" s="39">
        <v>2193</v>
      </c>
      <c r="V51" s="40">
        <v>2242</v>
      </c>
      <c r="W51" s="39">
        <v>2289</v>
      </c>
      <c r="X51" s="40">
        <v>2329</v>
      </c>
    </row>
    <row r="52" spans="1:24" ht="16.5" customHeight="1" x14ac:dyDescent="0.2">
      <c r="A52" s="95" t="s">
        <v>37</v>
      </c>
      <c r="B52" s="47" t="s">
        <v>54</v>
      </c>
      <c r="C52" s="48">
        <v>0</v>
      </c>
      <c r="D52" s="49">
        <v>0</v>
      </c>
      <c r="E52" s="48">
        <v>0</v>
      </c>
      <c r="F52" s="49">
        <v>0</v>
      </c>
      <c r="G52" s="48">
        <v>0</v>
      </c>
      <c r="H52" s="49">
        <v>0</v>
      </c>
      <c r="I52" s="48">
        <v>0</v>
      </c>
      <c r="J52" s="49">
        <v>0</v>
      </c>
      <c r="K52" s="48">
        <v>0</v>
      </c>
      <c r="L52" s="49">
        <v>0</v>
      </c>
      <c r="M52" s="48">
        <v>0</v>
      </c>
      <c r="N52" s="49">
        <v>0</v>
      </c>
      <c r="O52" s="48">
        <v>0</v>
      </c>
      <c r="P52" s="49">
        <v>0</v>
      </c>
      <c r="Q52" s="48">
        <v>0</v>
      </c>
      <c r="R52" s="49">
        <v>0</v>
      </c>
      <c r="S52" s="48">
        <v>0</v>
      </c>
      <c r="T52" s="49">
        <v>0</v>
      </c>
      <c r="U52" s="48">
        <v>0</v>
      </c>
      <c r="V52" s="49">
        <v>0</v>
      </c>
      <c r="W52" s="48">
        <v>0</v>
      </c>
      <c r="X52" s="49">
        <v>0</v>
      </c>
    </row>
    <row r="53" spans="1:24" ht="16.5" customHeight="1" x14ac:dyDescent="0.2">
      <c r="A53" s="95"/>
      <c r="B53" s="47" t="s">
        <v>55</v>
      </c>
      <c r="C53" s="48">
        <v>4808</v>
      </c>
      <c r="D53" s="49">
        <v>4808</v>
      </c>
      <c r="E53" s="48">
        <v>4808</v>
      </c>
      <c r="F53" s="49">
        <v>4808</v>
      </c>
      <c r="G53" s="48">
        <v>4808</v>
      </c>
      <c r="H53" s="49">
        <v>4808</v>
      </c>
      <c r="I53" s="48">
        <v>4808</v>
      </c>
      <c r="J53" s="49">
        <v>4808</v>
      </c>
      <c r="K53" s="48">
        <v>4808</v>
      </c>
      <c r="L53" s="49">
        <v>4808</v>
      </c>
      <c r="M53" s="48">
        <v>4808</v>
      </c>
      <c r="N53" s="49">
        <v>4808</v>
      </c>
      <c r="O53" s="48">
        <v>4808</v>
      </c>
      <c r="P53" s="49">
        <v>4808</v>
      </c>
      <c r="Q53" s="48">
        <v>3280</v>
      </c>
      <c r="R53" s="49">
        <v>3280</v>
      </c>
      <c r="S53" s="48">
        <v>3280</v>
      </c>
      <c r="T53" s="49">
        <v>3280</v>
      </c>
      <c r="U53" s="48">
        <v>3280</v>
      </c>
      <c r="V53" s="49">
        <v>3280</v>
      </c>
      <c r="W53" s="48">
        <v>3280</v>
      </c>
      <c r="X53" s="49">
        <v>3280</v>
      </c>
    </row>
    <row r="54" spans="1:24" ht="16.5" customHeight="1" x14ac:dyDescent="0.2">
      <c r="A54" s="95"/>
      <c r="B54" s="47" t="s">
        <v>17</v>
      </c>
      <c r="C54" s="48">
        <v>2219</v>
      </c>
      <c r="D54" s="49">
        <v>2219</v>
      </c>
      <c r="E54" s="48">
        <v>2219</v>
      </c>
      <c r="F54" s="49">
        <v>2219</v>
      </c>
      <c r="G54" s="48">
        <v>2219</v>
      </c>
      <c r="H54" s="49">
        <v>2219</v>
      </c>
      <c r="I54" s="48">
        <v>2219</v>
      </c>
      <c r="J54" s="49">
        <v>2219</v>
      </c>
      <c r="K54" s="48">
        <v>2219</v>
      </c>
      <c r="L54" s="49">
        <v>2219</v>
      </c>
      <c r="M54" s="48">
        <v>2219</v>
      </c>
      <c r="N54" s="49">
        <v>2219</v>
      </c>
      <c r="O54" s="48">
        <v>2219</v>
      </c>
      <c r="P54" s="49">
        <v>2219</v>
      </c>
      <c r="Q54" s="48">
        <v>2219</v>
      </c>
      <c r="R54" s="49">
        <v>2219</v>
      </c>
      <c r="S54" s="48">
        <v>2219</v>
      </c>
      <c r="T54" s="49">
        <v>2219</v>
      </c>
      <c r="U54" s="48">
        <v>2219</v>
      </c>
      <c r="V54" s="49">
        <v>2219</v>
      </c>
      <c r="W54" s="48">
        <v>2219</v>
      </c>
      <c r="X54" s="49">
        <v>2219</v>
      </c>
    </row>
    <row r="55" spans="1:24" ht="16.5" customHeight="1" x14ac:dyDescent="0.2">
      <c r="A55" s="95"/>
      <c r="B55" s="47" t="s">
        <v>44</v>
      </c>
      <c r="C55" s="48">
        <v>510</v>
      </c>
      <c r="D55" s="49">
        <v>510</v>
      </c>
      <c r="E55" s="48">
        <v>510</v>
      </c>
      <c r="F55" s="49">
        <v>510</v>
      </c>
      <c r="G55" s="48">
        <v>510</v>
      </c>
      <c r="H55" s="49">
        <v>510</v>
      </c>
      <c r="I55" s="48">
        <v>510</v>
      </c>
      <c r="J55" s="49">
        <v>510</v>
      </c>
      <c r="K55" s="48">
        <v>510</v>
      </c>
      <c r="L55" s="49">
        <v>510</v>
      </c>
      <c r="M55" s="48">
        <v>510</v>
      </c>
      <c r="N55" s="49">
        <v>510</v>
      </c>
      <c r="O55" s="48">
        <v>510</v>
      </c>
      <c r="P55" s="49">
        <v>0</v>
      </c>
      <c r="Q55" s="48">
        <v>0</v>
      </c>
      <c r="R55" s="49">
        <v>0</v>
      </c>
      <c r="S55" s="48">
        <v>0</v>
      </c>
      <c r="T55" s="49">
        <v>0</v>
      </c>
      <c r="U55" s="48">
        <v>0</v>
      </c>
      <c r="V55" s="49">
        <v>0</v>
      </c>
      <c r="W55" s="48">
        <v>0</v>
      </c>
      <c r="X55" s="49">
        <v>0</v>
      </c>
    </row>
    <row r="56" spans="1:24" ht="16.5" customHeight="1" x14ac:dyDescent="0.2">
      <c r="A56" s="95"/>
      <c r="B56" s="47" t="s">
        <v>56</v>
      </c>
      <c r="C56" s="48">
        <v>1908</v>
      </c>
      <c r="D56" s="49">
        <v>1908</v>
      </c>
      <c r="E56" s="48">
        <v>1908</v>
      </c>
      <c r="F56" s="49">
        <v>1908</v>
      </c>
      <c r="G56" s="48">
        <v>1908</v>
      </c>
      <c r="H56" s="49">
        <v>1908</v>
      </c>
      <c r="I56" s="48">
        <v>1908</v>
      </c>
      <c r="J56" s="49">
        <v>1908</v>
      </c>
      <c r="K56" s="48">
        <v>1908</v>
      </c>
      <c r="L56" s="49">
        <v>1908</v>
      </c>
      <c r="M56" s="48">
        <v>1908</v>
      </c>
      <c r="N56" s="49">
        <v>1908</v>
      </c>
      <c r="O56" s="48">
        <v>1908</v>
      </c>
      <c r="P56" s="49">
        <v>1908</v>
      </c>
      <c r="Q56" s="48">
        <v>1908</v>
      </c>
      <c r="R56" s="49">
        <v>1908</v>
      </c>
      <c r="S56" s="48">
        <v>1908</v>
      </c>
      <c r="T56" s="49">
        <v>1908</v>
      </c>
      <c r="U56" s="48">
        <v>1908</v>
      </c>
      <c r="V56" s="49">
        <v>1908</v>
      </c>
      <c r="W56" s="48">
        <v>1908</v>
      </c>
      <c r="X56" s="49">
        <v>1908</v>
      </c>
    </row>
    <row r="57" spans="1:24" ht="16.5" customHeight="1" x14ac:dyDescent="0.2">
      <c r="A57" s="95"/>
      <c r="B57" s="47" t="s">
        <v>18</v>
      </c>
      <c r="C57" s="48">
        <v>1941</v>
      </c>
      <c r="D57" s="49">
        <v>3183</v>
      </c>
      <c r="E57" s="48">
        <v>3583</v>
      </c>
      <c r="F57" s="49">
        <v>3983</v>
      </c>
      <c r="G57" s="48">
        <v>4383</v>
      </c>
      <c r="H57" s="49">
        <v>5276</v>
      </c>
      <c r="I57" s="48">
        <v>5676</v>
      </c>
      <c r="J57" s="49">
        <v>5676</v>
      </c>
      <c r="K57" s="48">
        <v>5676</v>
      </c>
      <c r="L57" s="49">
        <v>5676</v>
      </c>
      <c r="M57" s="48">
        <v>5676</v>
      </c>
      <c r="N57" s="49">
        <v>5676</v>
      </c>
      <c r="O57" s="48">
        <v>5676</v>
      </c>
      <c r="P57" s="49">
        <v>5676</v>
      </c>
      <c r="Q57" s="48">
        <v>5676</v>
      </c>
      <c r="R57" s="49">
        <v>5676</v>
      </c>
      <c r="S57" s="48">
        <v>6071</v>
      </c>
      <c r="T57" s="49">
        <v>6111</v>
      </c>
      <c r="U57" s="48">
        <v>6406</v>
      </c>
      <c r="V57" s="49">
        <v>6406</v>
      </c>
      <c r="W57" s="48">
        <v>6406</v>
      </c>
      <c r="X57" s="49">
        <v>6406</v>
      </c>
    </row>
    <row r="58" spans="1:24" ht="16.5" customHeight="1" x14ac:dyDescent="0.2">
      <c r="A58" s="95"/>
      <c r="B58" s="47" t="s">
        <v>57</v>
      </c>
      <c r="C58" s="48">
        <v>424</v>
      </c>
      <c r="D58" s="49">
        <v>473</v>
      </c>
      <c r="E58" s="48">
        <v>473</v>
      </c>
      <c r="F58" s="49">
        <v>520</v>
      </c>
      <c r="G58" s="48">
        <v>680</v>
      </c>
      <c r="H58" s="49">
        <v>1264</v>
      </c>
      <c r="I58" s="48">
        <v>1424</v>
      </c>
      <c r="J58" s="49">
        <v>1424</v>
      </c>
      <c r="K58" s="48">
        <v>1424</v>
      </c>
      <c r="L58" s="49">
        <v>1424</v>
      </c>
      <c r="M58" s="48">
        <v>1424</v>
      </c>
      <c r="N58" s="49">
        <v>1424</v>
      </c>
      <c r="O58" s="48">
        <v>1424</v>
      </c>
      <c r="P58" s="49">
        <v>1424</v>
      </c>
      <c r="Q58" s="48">
        <v>1424</v>
      </c>
      <c r="R58" s="49">
        <v>1424</v>
      </c>
      <c r="S58" s="48">
        <v>1538</v>
      </c>
      <c r="T58" s="49">
        <v>1698</v>
      </c>
      <c r="U58" s="48">
        <v>2724</v>
      </c>
      <c r="V58" s="49">
        <v>2724</v>
      </c>
      <c r="W58" s="48">
        <v>2724</v>
      </c>
      <c r="X58" s="49">
        <v>2724</v>
      </c>
    </row>
    <row r="59" spans="1:24" ht="16.5" customHeight="1" x14ac:dyDescent="0.2">
      <c r="A59" s="95"/>
      <c r="B59" s="47" t="s">
        <v>58</v>
      </c>
      <c r="C59" s="48">
        <v>40</v>
      </c>
      <c r="D59" s="49">
        <v>60</v>
      </c>
      <c r="E59" s="48">
        <v>60</v>
      </c>
      <c r="F59" s="49">
        <v>60</v>
      </c>
      <c r="G59" s="48">
        <v>60</v>
      </c>
      <c r="H59" s="49">
        <v>60</v>
      </c>
      <c r="I59" s="48">
        <v>60</v>
      </c>
      <c r="J59" s="49">
        <v>60</v>
      </c>
      <c r="K59" s="48">
        <v>60</v>
      </c>
      <c r="L59" s="49">
        <v>60</v>
      </c>
      <c r="M59" s="48">
        <v>60</v>
      </c>
      <c r="N59" s="49">
        <v>60</v>
      </c>
      <c r="O59" s="48">
        <v>60</v>
      </c>
      <c r="P59" s="49">
        <v>60</v>
      </c>
      <c r="Q59" s="48">
        <v>450</v>
      </c>
      <c r="R59" s="49">
        <v>450</v>
      </c>
      <c r="S59" s="48">
        <v>548</v>
      </c>
      <c r="T59" s="49">
        <v>701</v>
      </c>
      <c r="U59" s="48">
        <v>1382</v>
      </c>
      <c r="V59" s="49">
        <v>1448</v>
      </c>
      <c r="W59" s="48">
        <v>1521</v>
      </c>
      <c r="X59" s="49">
        <v>1556</v>
      </c>
    </row>
    <row r="60" spans="1:24" ht="16.5" customHeight="1" x14ac:dyDescent="0.2">
      <c r="A60" s="95"/>
      <c r="B60" s="47" t="s">
        <v>59</v>
      </c>
      <c r="C60" s="48">
        <v>0</v>
      </c>
      <c r="D60" s="49">
        <v>0</v>
      </c>
      <c r="E60" s="48">
        <v>0</v>
      </c>
      <c r="F60" s="49">
        <v>0</v>
      </c>
      <c r="G60" s="48">
        <v>0</v>
      </c>
      <c r="H60" s="49">
        <v>0</v>
      </c>
      <c r="I60" s="48">
        <v>0</v>
      </c>
      <c r="J60" s="49">
        <v>0</v>
      </c>
      <c r="K60" s="48">
        <v>0</v>
      </c>
      <c r="L60" s="49">
        <v>0</v>
      </c>
      <c r="M60" s="48">
        <v>0</v>
      </c>
      <c r="N60" s="49">
        <v>0</v>
      </c>
      <c r="O60" s="48">
        <v>0</v>
      </c>
      <c r="P60" s="49">
        <v>0</v>
      </c>
      <c r="Q60" s="48">
        <v>0</v>
      </c>
      <c r="R60" s="49">
        <v>0</v>
      </c>
      <c r="S60" s="48">
        <v>100</v>
      </c>
      <c r="T60" s="49">
        <v>100</v>
      </c>
      <c r="U60" s="48">
        <v>100</v>
      </c>
      <c r="V60" s="49">
        <v>100</v>
      </c>
      <c r="W60" s="48">
        <v>100</v>
      </c>
      <c r="X60" s="49">
        <v>100</v>
      </c>
    </row>
    <row r="61" spans="1:24" ht="16.5" customHeight="1" x14ac:dyDescent="0.2">
      <c r="A61" s="95"/>
      <c r="B61" s="47" t="s">
        <v>60</v>
      </c>
      <c r="C61" s="48">
        <v>78.650000000000006</v>
      </c>
      <c r="D61" s="49">
        <v>155.44</v>
      </c>
      <c r="E61" s="48">
        <v>249</v>
      </c>
      <c r="F61" s="49">
        <v>322.11</v>
      </c>
      <c r="G61" s="48">
        <v>388.15</v>
      </c>
      <c r="H61" s="49">
        <v>449.18</v>
      </c>
      <c r="I61" s="48">
        <v>510.13</v>
      </c>
      <c r="J61" s="49">
        <v>568.84</v>
      </c>
      <c r="K61" s="48">
        <v>626.16</v>
      </c>
      <c r="L61" s="49">
        <v>680.88</v>
      </c>
      <c r="M61" s="48">
        <v>734.48</v>
      </c>
      <c r="N61" s="49">
        <v>788.43</v>
      </c>
      <c r="O61" s="48">
        <v>842.78</v>
      </c>
      <c r="P61" s="49">
        <v>897.59</v>
      </c>
      <c r="Q61" s="48">
        <v>951.52</v>
      </c>
      <c r="R61" s="49">
        <v>1001.65</v>
      </c>
      <c r="S61" s="48">
        <v>1048.46</v>
      </c>
      <c r="T61" s="49">
        <v>1092.3599999999999</v>
      </c>
      <c r="U61" s="48">
        <v>1132.96</v>
      </c>
      <c r="V61" s="49">
        <v>1171.04</v>
      </c>
      <c r="W61" s="48">
        <v>1206.1600000000001</v>
      </c>
      <c r="X61" s="49">
        <v>1239.3800000000001</v>
      </c>
    </row>
    <row r="62" spans="1:24" ht="16.5" customHeight="1" x14ac:dyDescent="0.2">
      <c r="A62" s="95"/>
      <c r="B62" s="47" t="s">
        <v>41</v>
      </c>
      <c r="C62" s="48">
        <v>1626</v>
      </c>
      <c r="D62" s="49">
        <v>1864</v>
      </c>
      <c r="E62" s="48">
        <v>2090</v>
      </c>
      <c r="F62" s="49">
        <v>2307</v>
      </c>
      <c r="G62" s="48">
        <v>2517</v>
      </c>
      <c r="H62" s="49">
        <v>2724</v>
      </c>
      <c r="I62" s="48">
        <v>2928</v>
      </c>
      <c r="J62" s="49">
        <v>3120</v>
      </c>
      <c r="K62" s="48">
        <v>3300</v>
      </c>
      <c r="L62" s="49">
        <v>3462</v>
      </c>
      <c r="M62" s="48">
        <v>3606</v>
      </c>
      <c r="N62" s="49">
        <v>3747</v>
      </c>
      <c r="O62" s="48">
        <v>3881</v>
      </c>
      <c r="P62" s="49">
        <v>3998</v>
      </c>
      <c r="Q62" s="48">
        <v>4106</v>
      </c>
      <c r="R62" s="49">
        <v>4207</v>
      </c>
      <c r="S62" s="48">
        <v>4300</v>
      </c>
      <c r="T62" s="49">
        <v>4386</v>
      </c>
      <c r="U62" s="48">
        <v>4465</v>
      </c>
      <c r="V62" s="49">
        <v>4537</v>
      </c>
      <c r="W62" s="48">
        <v>4606</v>
      </c>
      <c r="X62" s="49">
        <v>4671</v>
      </c>
    </row>
    <row r="63" spans="1:24" ht="16.5" customHeight="1" x14ac:dyDescent="0.2">
      <c r="A63" s="94" t="s">
        <v>39</v>
      </c>
      <c r="B63" s="38" t="s">
        <v>54</v>
      </c>
      <c r="C63" s="39">
        <v>0</v>
      </c>
      <c r="D63" s="40">
        <v>0</v>
      </c>
      <c r="E63" s="39">
        <v>0</v>
      </c>
      <c r="F63" s="40">
        <v>0</v>
      </c>
      <c r="G63" s="39">
        <v>0</v>
      </c>
      <c r="H63" s="40">
        <v>0</v>
      </c>
      <c r="I63" s="39">
        <v>0</v>
      </c>
      <c r="J63" s="40">
        <v>0</v>
      </c>
      <c r="K63" s="39">
        <v>0</v>
      </c>
      <c r="L63" s="40">
        <v>0</v>
      </c>
      <c r="M63" s="39">
        <v>0</v>
      </c>
      <c r="N63" s="40">
        <v>0</v>
      </c>
      <c r="O63" s="39">
        <v>0</v>
      </c>
      <c r="P63" s="40">
        <v>0</v>
      </c>
      <c r="Q63" s="39">
        <v>0</v>
      </c>
      <c r="R63" s="40">
        <v>0</v>
      </c>
      <c r="S63" s="39">
        <v>0</v>
      </c>
      <c r="T63" s="40">
        <v>0</v>
      </c>
      <c r="U63" s="39">
        <v>0</v>
      </c>
      <c r="V63" s="40">
        <v>0</v>
      </c>
      <c r="W63" s="39">
        <v>0</v>
      </c>
      <c r="X63" s="40">
        <v>0</v>
      </c>
    </row>
    <row r="64" spans="1:24" ht="16.5" customHeight="1" x14ac:dyDescent="0.2">
      <c r="A64" s="94"/>
      <c r="B64" s="38" t="s">
        <v>55</v>
      </c>
      <c r="C64" s="39">
        <v>0</v>
      </c>
      <c r="D64" s="40">
        <v>0</v>
      </c>
      <c r="E64" s="39">
        <v>0</v>
      </c>
      <c r="F64" s="40">
        <v>0</v>
      </c>
      <c r="G64" s="39">
        <v>0</v>
      </c>
      <c r="H64" s="40">
        <v>0</v>
      </c>
      <c r="I64" s="39">
        <v>0</v>
      </c>
      <c r="J64" s="40">
        <v>0</v>
      </c>
      <c r="K64" s="39">
        <v>0</v>
      </c>
      <c r="L64" s="40">
        <v>0</v>
      </c>
      <c r="M64" s="39">
        <v>0</v>
      </c>
      <c r="N64" s="40">
        <v>0</v>
      </c>
      <c r="O64" s="39">
        <v>0</v>
      </c>
      <c r="P64" s="40">
        <v>0</v>
      </c>
      <c r="Q64" s="39">
        <v>0</v>
      </c>
      <c r="R64" s="40">
        <v>0</v>
      </c>
      <c r="S64" s="39">
        <v>0</v>
      </c>
      <c r="T64" s="40">
        <v>0</v>
      </c>
      <c r="U64" s="39">
        <v>0</v>
      </c>
      <c r="V64" s="40">
        <v>0</v>
      </c>
      <c r="W64" s="39">
        <v>0</v>
      </c>
      <c r="X64" s="40">
        <v>0</v>
      </c>
    </row>
    <row r="65" spans="1:24" ht="16.5" customHeight="1" x14ac:dyDescent="0.2">
      <c r="A65" s="94"/>
      <c r="B65" s="38" t="s">
        <v>17</v>
      </c>
      <c r="C65" s="39">
        <v>2170</v>
      </c>
      <c r="D65" s="40">
        <v>2170</v>
      </c>
      <c r="E65" s="39">
        <v>2170</v>
      </c>
      <c r="F65" s="40">
        <v>2170</v>
      </c>
      <c r="G65" s="39">
        <v>2170</v>
      </c>
      <c r="H65" s="40">
        <v>2170</v>
      </c>
      <c r="I65" s="39">
        <v>2170</v>
      </c>
      <c r="J65" s="40">
        <v>2170</v>
      </c>
      <c r="K65" s="39">
        <v>2170</v>
      </c>
      <c r="L65" s="40">
        <v>2170</v>
      </c>
      <c r="M65" s="39">
        <v>2170</v>
      </c>
      <c r="N65" s="40">
        <v>2170</v>
      </c>
      <c r="O65" s="39">
        <v>2170</v>
      </c>
      <c r="P65" s="40">
        <v>2170</v>
      </c>
      <c r="Q65" s="39">
        <v>2170</v>
      </c>
      <c r="R65" s="40">
        <v>2170</v>
      </c>
      <c r="S65" s="39">
        <v>2170</v>
      </c>
      <c r="T65" s="40">
        <v>2170</v>
      </c>
      <c r="U65" s="39">
        <v>2170</v>
      </c>
      <c r="V65" s="40">
        <v>2170</v>
      </c>
      <c r="W65" s="39">
        <v>2170</v>
      </c>
      <c r="X65" s="40">
        <v>2170</v>
      </c>
    </row>
    <row r="66" spans="1:24" ht="16.5" customHeight="1" x14ac:dyDescent="0.2">
      <c r="A66" s="94"/>
      <c r="B66" s="38" t="s">
        <v>44</v>
      </c>
      <c r="C66" s="39">
        <v>0</v>
      </c>
      <c r="D66" s="40">
        <v>0</v>
      </c>
      <c r="E66" s="39">
        <v>0</v>
      </c>
      <c r="F66" s="40">
        <v>0</v>
      </c>
      <c r="G66" s="39">
        <v>0</v>
      </c>
      <c r="H66" s="40">
        <v>0</v>
      </c>
      <c r="I66" s="39">
        <v>0</v>
      </c>
      <c r="J66" s="40">
        <v>0</v>
      </c>
      <c r="K66" s="39">
        <v>0</v>
      </c>
      <c r="L66" s="40">
        <v>0</v>
      </c>
      <c r="M66" s="39">
        <v>0</v>
      </c>
      <c r="N66" s="40">
        <v>0</v>
      </c>
      <c r="O66" s="39">
        <v>0</v>
      </c>
      <c r="P66" s="40">
        <v>0</v>
      </c>
      <c r="Q66" s="39">
        <v>0</v>
      </c>
      <c r="R66" s="40">
        <v>0</v>
      </c>
      <c r="S66" s="39">
        <v>0</v>
      </c>
      <c r="T66" s="40">
        <v>0</v>
      </c>
      <c r="U66" s="39">
        <v>0</v>
      </c>
      <c r="V66" s="40">
        <v>0</v>
      </c>
      <c r="W66" s="39">
        <v>0</v>
      </c>
      <c r="X66" s="40">
        <v>0</v>
      </c>
    </row>
    <row r="67" spans="1:24" ht="16.5" customHeight="1" x14ac:dyDescent="0.2">
      <c r="A67" s="94"/>
      <c r="B67" s="38" t="s">
        <v>56</v>
      </c>
      <c r="C67" s="39">
        <v>163</v>
      </c>
      <c r="D67" s="40">
        <v>163</v>
      </c>
      <c r="E67" s="39">
        <v>163</v>
      </c>
      <c r="F67" s="40">
        <v>163</v>
      </c>
      <c r="G67" s="39">
        <v>163</v>
      </c>
      <c r="H67" s="40">
        <v>163</v>
      </c>
      <c r="I67" s="39">
        <v>163</v>
      </c>
      <c r="J67" s="40">
        <v>163</v>
      </c>
      <c r="K67" s="39">
        <v>163</v>
      </c>
      <c r="L67" s="40">
        <v>163</v>
      </c>
      <c r="M67" s="39">
        <v>163</v>
      </c>
      <c r="N67" s="40">
        <v>163</v>
      </c>
      <c r="O67" s="39">
        <v>163</v>
      </c>
      <c r="P67" s="40">
        <v>163</v>
      </c>
      <c r="Q67" s="39">
        <v>163</v>
      </c>
      <c r="R67" s="40">
        <v>163</v>
      </c>
      <c r="S67" s="39">
        <v>163</v>
      </c>
      <c r="T67" s="40">
        <v>163</v>
      </c>
      <c r="U67" s="39">
        <v>163</v>
      </c>
      <c r="V67" s="40">
        <v>163</v>
      </c>
      <c r="W67" s="39">
        <v>163</v>
      </c>
      <c r="X67" s="40">
        <v>163</v>
      </c>
    </row>
    <row r="68" spans="1:24" ht="16.5" customHeight="1" x14ac:dyDescent="0.2">
      <c r="A68" s="94"/>
      <c r="B68" s="38" t="s">
        <v>18</v>
      </c>
      <c r="C68" s="39">
        <v>308</v>
      </c>
      <c r="D68" s="40">
        <v>308</v>
      </c>
      <c r="E68" s="39">
        <v>308</v>
      </c>
      <c r="F68" s="40">
        <v>308</v>
      </c>
      <c r="G68" s="39">
        <v>308</v>
      </c>
      <c r="H68" s="40">
        <v>308</v>
      </c>
      <c r="I68" s="39">
        <v>308</v>
      </c>
      <c r="J68" s="40">
        <v>308</v>
      </c>
      <c r="K68" s="39">
        <v>308</v>
      </c>
      <c r="L68" s="40">
        <v>308</v>
      </c>
      <c r="M68" s="39">
        <v>382</v>
      </c>
      <c r="N68" s="40">
        <v>419</v>
      </c>
      <c r="O68" s="39">
        <v>419</v>
      </c>
      <c r="P68" s="40">
        <v>419</v>
      </c>
      <c r="Q68" s="39">
        <v>612</v>
      </c>
      <c r="R68" s="40">
        <v>620</v>
      </c>
      <c r="S68" s="39">
        <v>749</v>
      </c>
      <c r="T68" s="40">
        <v>749</v>
      </c>
      <c r="U68" s="39">
        <v>817</v>
      </c>
      <c r="V68" s="40">
        <v>817</v>
      </c>
      <c r="W68" s="39">
        <v>818</v>
      </c>
      <c r="X68" s="40">
        <v>818</v>
      </c>
    </row>
    <row r="69" spans="1:24" ht="16.5" customHeight="1" x14ac:dyDescent="0.2">
      <c r="A69" s="94"/>
      <c r="B69" s="38" t="s">
        <v>57</v>
      </c>
      <c r="C69" s="39">
        <v>0</v>
      </c>
      <c r="D69" s="40">
        <v>0</v>
      </c>
      <c r="E69" s="39">
        <v>0</v>
      </c>
      <c r="F69" s="40">
        <v>0</v>
      </c>
      <c r="G69" s="39">
        <v>0</v>
      </c>
      <c r="H69" s="40">
        <v>0</v>
      </c>
      <c r="I69" s="39">
        <v>0</v>
      </c>
      <c r="J69" s="40">
        <v>0</v>
      </c>
      <c r="K69" s="39">
        <v>0</v>
      </c>
      <c r="L69" s="40">
        <v>0</v>
      </c>
      <c r="M69" s="39">
        <v>0</v>
      </c>
      <c r="N69" s="40">
        <v>0</v>
      </c>
      <c r="O69" s="39">
        <v>0</v>
      </c>
      <c r="P69" s="40">
        <v>0</v>
      </c>
      <c r="Q69" s="39">
        <v>0</v>
      </c>
      <c r="R69" s="40">
        <v>0</v>
      </c>
      <c r="S69" s="39">
        <v>0</v>
      </c>
      <c r="T69" s="40">
        <v>0</v>
      </c>
      <c r="U69" s="39">
        <v>0</v>
      </c>
      <c r="V69" s="40">
        <v>0</v>
      </c>
      <c r="W69" s="39">
        <v>0</v>
      </c>
      <c r="X69" s="40">
        <v>0</v>
      </c>
    </row>
    <row r="70" spans="1:24" ht="16.5" customHeight="1" x14ac:dyDescent="0.2">
      <c r="A70" s="94"/>
      <c r="B70" s="38" t="s">
        <v>58</v>
      </c>
      <c r="C70" s="39">
        <v>0</v>
      </c>
      <c r="D70" s="40">
        <v>0</v>
      </c>
      <c r="E70" s="39">
        <v>0</v>
      </c>
      <c r="F70" s="40">
        <v>0</v>
      </c>
      <c r="G70" s="39">
        <v>0</v>
      </c>
      <c r="H70" s="40">
        <v>0</v>
      </c>
      <c r="I70" s="39">
        <v>0</v>
      </c>
      <c r="J70" s="40">
        <v>0</v>
      </c>
      <c r="K70" s="39">
        <v>0</v>
      </c>
      <c r="L70" s="40">
        <v>0</v>
      </c>
      <c r="M70" s="39">
        <v>0</v>
      </c>
      <c r="N70" s="40">
        <v>0</v>
      </c>
      <c r="O70" s="39">
        <v>0</v>
      </c>
      <c r="P70" s="40">
        <v>0</v>
      </c>
      <c r="Q70" s="39">
        <v>0</v>
      </c>
      <c r="R70" s="40">
        <v>0</v>
      </c>
      <c r="S70" s="39">
        <v>0</v>
      </c>
      <c r="T70" s="40">
        <v>0</v>
      </c>
      <c r="U70" s="39">
        <v>0</v>
      </c>
      <c r="V70" s="40">
        <v>0</v>
      </c>
      <c r="W70" s="39">
        <v>0</v>
      </c>
      <c r="X70" s="40">
        <v>0</v>
      </c>
    </row>
    <row r="71" spans="1:24" ht="16.5" customHeight="1" x14ac:dyDescent="0.2">
      <c r="A71" s="94"/>
      <c r="B71" s="38" t="s">
        <v>59</v>
      </c>
      <c r="C71" s="39">
        <v>0</v>
      </c>
      <c r="D71" s="40">
        <v>0</v>
      </c>
      <c r="E71" s="39">
        <v>0</v>
      </c>
      <c r="F71" s="40">
        <v>0</v>
      </c>
      <c r="G71" s="39">
        <v>0</v>
      </c>
      <c r="H71" s="40">
        <v>0</v>
      </c>
      <c r="I71" s="39">
        <v>0</v>
      </c>
      <c r="J71" s="40">
        <v>0</v>
      </c>
      <c r="K71" s="39">
        <v>0</v>
      </c>
      <c r="L71" s="40">
        <v>0</v>
      </c>
      <c r="M71" s="39">
        <v>0</v>
      </c>
      <c r="N71" s="40">
        <v>0</v>
      </c>
      <c r="O71" s="39">
        <v>0</v>
      </c>
      <c r="P71" s="40">
        <v>0</v>
      </c>
      <c r="Q71" s="39">
        <v>0</v>
      </c>
      <c r="R71" s="40">
        <v>0</v>
      </c>
      <c r="S71" s="39">
        <v>0</v>
      </c>
      <c r="T71" s="40">
        <v>0</v>
      </c>
      <c r="U71" s="39">
        <v>0</v>
      </c>
      <c r="V71" s="40">
        <v>0</v>
      </c>
      <c r="W71" s="39">
        <v>0</v>
      </c>
      <c r="X71" s="40">
        <v>0</v>
      </c>
    </row>
    <row r="72" spans="1:24" ht="16.5" customHeight="1" x14ac:dyDescent="0.2">
      <c r="A72" s="94"/>
      <c r="B72" s="38" t="s">
        <v>60</v>
      </c>
      <c r="C72" s="39">
        <v>5.78</v>
      </c>
      <c r="D72" s="40">
        <v>11.05</v>
      </c>
      <c r="E72" s="39">
        <v>17.489999999999998</v>
      </c>
      <c r="F72" s="40">
        <v>23.36</v>
      </c>
      <c r="G72" s="39">
        <v>29.72</v>
      </c>
      <c r="H72" s="40">
        <v>33.159999999999997</v>
      </c>
      <c r="I72" s="39">
        <v>35.43</v>
      </c>
      <c r="J72" s="40">
        <v>36.409999999999997</v>
      </c>
      <c r="K72" s="39">
        <v>37.369999999999997</v>
      </c>
      <c r="L72" s="40">
        <v>38.119999999999997</v>
      </c>
      <c r="M72" s="39">
        <v>38.659999999999997</v>
      </c>
      <c r="N72" s="40">
        <v>39.270000000000003</v>
      </c>
      <c r="O72" s="39">
        <v>39.909999999999997</v>
      </c>
      <c r="P72" s="40">
        <v>40.549999999999997</v>
      </c>
      <c r="Q72" s="39">
        <v>41.21</v>
      </c>
      <c r="R72" s="40">
        <v>41.88</v>
      </c>
      <c r="S72" s="39">
        <v>42.55</v>
      </c>
      <c r="T72" s="40">
        <v>43.23</v>
      </c>
      <c r="U72" s="39">
        <v>43.91</v>
      </c>
      <c r="V72" s="40">
        <v>44.59</v>
      </c>
      <c r="W72" s="39">
        <v>45.27</v>
      </c>
      <c r="X72" s="40">
        <v>45.95</v>
      </c>
    </row>
    <row r="73" spans="1:24" ht="16.5" customHeight="1" x14ac:dyDescent="0.2">
      <c r="A73" s="94"/>
      <c r="B73" s="38" t="s">
        <v>41</v>
      </c>
      <c r="C73" s="39">
        <v>150</v>
      </c>
      <c r="D73" s="40">
        <v>169</v>
      </c>
      <c r="E73" s="39">
        <v>187</v>
      </c>
      <c r="F73" s="40">
        <v>201</v>
      </c>
      <c r="G73" s="39">
        <v>210</v>
      </c>
      <c r="H73" s="40">
        <v>214</v>
      </c>
      <c r="I73" s="39">
        <v>216</v>
      </c>
      <c r="J73" s="40">
        <v>218</v>
      </c>
      <c r="K73" s="39">
        <v>219</v>
      </c>
      <c r="L73" s="40">
        <v>220</v>
      </c>
      <c r="M73" s="39">
        <v>222</v>
      </c>
      <c r="N73" s="40">
        <v>223</v>
      </c>
      <c r="O73" s="39">
        <v>224</v>
      </c>
      <c r="P73" s="40">
        <v>225</v>
      </c>
      <c r="Q73" s="39">
        <v>227</v>
      </c>
      <c r="R73" s="40">
        <v>228</v>
      </c>
      <c r="S73" s="39">
        <v>229</v>
      </c>
      <c r="T73" s="40">
        <v>231</v>
      </c>
      <c r="U73" s="39">
        <v>232</v>
      </c>
      <c r="V73" s="40">
        <v>233</v>
      </c>
      <c r="W73" s="39">
        <v>235</v>
      </c>
      <c r="X73" s="40">
        <v>236</v>
      </c>
    </row>
  </sheetData>
  <mergeCells count="6">
    <mergeCell ref="A63:A73"/>
    <mergeCell ref="A3:A14"/>
    <mergeCell ref="A19:A29"/>
    <mergeCell ref="A30:A40"/>
    <mergeCell ref="A41:A51"/>
    <mergeCell ref="A52:A6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X85"/>
  <sheetViews>
    <sheetView zoomScaleNormal="100" workbookViewId="0"/>
  </sheetViews>
  <sheetFormatPr defaultColWidth="9.140625" defaultRowHeight="16.5" customHeight="1" x14ac:dyDescent="0.2"/>
  <cols>
    <col min="1" max="1" width="24.28515625" style="4" customWidth="1"/>
    <col min="2" max="2" width="19.5703125" style="4" customWidth="1"/>
    <col min="3" max="24" width="10.42578125" style="50" customWidth="1"/>
    <col min="25" max="16384" width="9.140625" style="4"/>
  </cols>
  <sheetData>
    <row r="1" spans="1:24" ht="16.5" customHeight="1" x14ac:dyDescent="0.25">
      <c r="A1" s="30" t="s">
        <v>69</v>
      </c>
    </row>
    <row r="2" spans="1:24" s="37" customFormat="1" ht="16.5" customHeight="1" x14ac:dyDescent="0.2">
      <c r="A2" s="33" t="s">
        <v>34</v>
      </c>
      <c r="B2" s="34" t="s">
        <v>20</v>
      </c>
      <c r="C2" s="51" t="s">
        <v>0</v>
      </c>
      <c r="D2" s="52" t="s">
        <v>1</v>
      </c>
      <c r="E2" s="51" t="s">
        <v>2</v>
      </c>
      <c r="F2" s="52" t="s">
        <v>3</v>
      </c>
      <c r="G2" s="51" t="s">
        <v>4</v>
      </c>
      <c r="H2" s="52" t="s">
        <v>5</v>
      </c>
      <c r="I2" s="51" t="s">
        <v>6</v>
      </c>
      <c r="J2" s="52" t="s">
        <v>7</v>
      </c>
      <c r="K2" s="51" t="s">
        <v>8</v>
      </c>
      <c r="L2" s="52" t="s">
        <v>9</v>
      </c>
      <c r="M2" s="51" t="s">
        <v>10</v>
      </c>
      <c r="N2" s="52" t="s">
        <v>11</v>
      </c>
      <c r="O2" s="51" t="s">
        <v>12</v>
      </c>
      <c r="P2" s="52" t="s">
        <v>13</v>
      </c>
      <c r="Q2" s="51" t="s">
        <v>14</v>
      </c>
      <c r="R2" s="52" t="s">
        <v>15</v>
      </c>
      <c r="S2" s="51" t="s">
        <v>16</v>
      </c>
      <c r="T2" s="52" t="s">
        <v>45</v>
      </c>
      <c r="U2" s="51" t="s">
        <v>61</v>
      </c>
      <c r="V2" s="52" t="s">
        <v>62</v>
      </c>
      <c r="W2" s="51" t="s">
        <v>63</v>
      </c>
      <c r="X2" s="52" t="s">
        <v>64</v>
      </c>
    </row>
    <row r="3" spans="1:24" ht="16.5" customHeight="1" x14ac:dyDescent="0.2">
      <c r="A3" s="96" t="s">
        <v>42</v>
      </c>
      <c r="B3" s="38" t="s">
        <v>54</v>
      </c>
      <c r="C3" s="39">
        <v>105738</v>
      </c>
      <c r="D3" s="40">
        <v>101619</v>
      </c>
      <c r="E3" s="39">
        <v>98988</v>
      </c>
      <c r="F3" s="40">
        <v>100399</v>
      </c>
      <c r="G3" s="39">
        <v>95821</v>
      </c>
      <c r="H3" s="40">
        <v>94272</v>
      </c>
      <c r="I3" s="39">
        <v>92020</v>
      </c>
      <c r="J3" s="40">
        <v>87955</v>
      </c>
      <c r="K3" s="39">
        <v>86791</v>
      </c>
      <c r="L3" s="40">
        <v>86352</v>
      </c>
      <c r="M3" s="39">
        <v>81441</v>
      </c>
      <c r="N3" s="40">
        <v>75965</v>
      </c>
      <c r="O3" s="39">
        <v>75249</v>
      </c>
      <c r="P3" s="40">
        <v>72788</v>
      </c>
      <c r="Q3" s="39">
        <v>72140</v>
      </c>
      <c r="R3" s="40">
        <v>69678</v>
      </c>
      <c r="S3" s="39">
        <v>59998</v>
      </c>
      <c r="T3" s="40">
        <v>45837</v>
      </c>
      <c r="U3" s="39">
        <v>36243</v>
      </c>
      <c r="V3" s="40">
        <v>33967</v>
      </c>
      <c r="W3" s="39">
        <v>34010</v>
      </c>
      <c r="X3" s="40">
        <v>34205</v>
      </c>
    </row>
    <row r="4" spans="1:24" ht="16.5" customHeight="1" x14ac:dyDescent="0.2">
      <c r="A4" s="97"/>
      <c r="B4" s="38" t="s">
        <v>55</v>
      </c>
      <c r="C4" s="39">
        <v>32184</v>
      </c>
      <c r="D4" s="40">
        <v>32194</v>
      </c>
      <c r="E4" s="39">
        <v>32259</v>
      </c>
      <c r="F4" s="40">
        <v>32543</v>
      </c>
      <c r="G4" s="39">
        <v>30095</v>
      </c>
      <c r="H4" s="40">
        <v>29986</v>
      </c>
      <c r="I4" s="39">
        <v>32528</v>
      </c>
      <c r="J4" s="40">
        <v>32484</v>
      </c>
      <c r="K4" s="39">
        <v>28718</v>
      </c>
      <c r="L4" s="40">
        <v>32338</v>
      </c>
      <c r="M4" s="39">
        <v>28664</v>
      </c>
      <c r="N4" s="40">
        <v>28591</v>
      </c>
      <c r="O4" s="39">
        <v>31990</v>
      </c>
      <c r="P4" s="40">
        <v>32039</v>
      </c>
      <c r="Q4" s="39">
        <v>22101</v>
      </c>
      <c r="R4" s="40">
        <v>22106</v>
      </c>
      <c r="S4" s="39">
        <v>21974</v>
      </c>
      <c r="T4" s="40">
        <v>21915</v>
      </c>
      <c r="U4" s="39">
        <v>18215</v>
      </c>
      <c r="V4" s="40">
        <v>21830</v>
      </c>
      <c r="W4" s="39">
        <v>18175</v>
      </c>
      <c r="X4" s="40">
        <v>18147</v>
      </c>
    </row>
    <row r="5" spans="1:24" ht="16.5" customHeight="1" x14ac:dyDescent="0.2">
      <c r="A5" s="97"/>
      <c r="B5" s="38" t="s">
        <v>17</v>
      </c>
      <c r="C5" s="39">
        <v>15797</v>
      </c>
      <c r="D5" s="40">
        <v>15840</v>
      </c>
      <c r="E5" s="39">
        <v>15797</v>
      </c>
      <c r="F5" s="40">
        <v>15797</v>
      </c>
      <c r="G5" s="39">
        <v>15797</v>
      </c>
      <c r="H5" s="40">
        <v>15840</v>
      </c>
      <c r="I5" s="39">
        <v>15729</v>
      </c>
      <c r="J5" s="40">
        <v>15797</v>
      </c>
      <c r="K5" s="39">
        <v>15797</v>
      </c>
      <c r="L5" s="40">
        <v>15840</v>
      </c>
      <c r="M5" s="39">
        <v>15797</v>
      </c>
      <c r="N5" s="40">
        <v>15797</v>
      </c>
      <c r="O5" s="39">
        <v>15797</v>
      </c>
      <c r="P5" s="40">
        <v>15840</v>
      </c>
      <c r="Q5" s="39">
        <v>15797</v>
      </c>
      <c r="R5" s="40">
        <v>15797</v>
      </c>
      <c r="S5" s="39">
        <v>15797</v>
      </c>
      <c r="T5" s="40">
        <v>15840</v>
      </c>
      <c r="U5" s="39">
        <v>15797</v>
      </c>
      <c r="V5" s="40">
        <v>15797</v>
      </c>
      <c r="W5" s="39">
        <v>15797</v>
      </c>
      <c r="X5" s="40">
        <v>15840</v>
      </c>
    </row>
    <row r="6" spans="1:24" ht="16.5" customHeight="1" x14ac:dyDescent="0.2">
      <c r="A6" s="97"/>
      <c r="B6" s="38" t="s">
        <v>44</v>
      </c>
      <c r="C6" s="39">
        <v>13800.060150085539</v>
      </c>
      <c r="D6" s="40">
        <v>11154.498066558774</v>
      </c>
      <c r="E6" s="39">
        <v>11043.53735193391</v>
      </c>
      <c r="F6" s="40">
        <v>8017.7977742113053</v>
      </c>
      <c r="G6" s="39">
        <v>9916.8009725656266</v>
      </c>
      <c r="H6" s="40">
        <v>9221.6103518368182</v>
      </c>
      <c r="I6" s="39">
        <v>4204.9259994813356</v>
      </c>
      <c r="J6" s="40">
        <v>5468.0382958914888</v>
      </c>
      <c r="K6" s="39">
        <v>7159.8509749945215</v>
      </c>
      <c r="L6" s="40">
        <v>3597.042443656147</v>
      </c>
      <c r="M6" s="39">
        <v>5707.0274276132304</v>
      </c>
      <c r="N6" s="40">
        <v>8213.3440155580338</v>
      </c>
      <c r="O6" s="39">
        <v>6164.9132412230374</v>
      </c>
      <c r="P6" s="40">
        <v>7873.9435186465471</v>
      </c>
      <c r="Q6" s="39">
        <v>8590.3841393075709</v>
      </c>
      <c r="R6" s="40">
        <v>8895.0285185558314</v>
      </c>
      <c r="S6" s="39">
        <v>8080.3524460128428</v>
      </c>
      <c r="T6" s="40">
        <v>7697.8685479848127</v>
      </c>
      <c r="U6" s="39">
        <v>9337.2680989939417</v>
      </c>
      <c r="V6" s="40">
        <v>9093.8348092239921</v>
      </c>
      <c r="W6" s="39">
        <v>9430.7372322968113</v>
      </c>
      <c r="X6" s="40">
        <v>9208.9274891292953</v>
      </c>
    </row>
    <row r="7" spans="1:24" ht="16.5" customHeight="1" x14ac:dyDescent="0.2">
      <c r="A7" s="97"/>
      <c r="B7" s="38" t="s">
        <v>56</v>
      </c>
      <c r="C7" s="39">
        <v>1558.1939499382204</v>
      </c>
      <c r="D7" s="40">
        <v>550.04870888542018</v>
      </c>
      <c r="E7" s="39">
        <v>477.51132997202001</v>
      </c>
      <c r="F7" s="40">
        <v>150.43703577585003</v>
      </c>
      <c r="G7" s="39">
        <v>366.98010665394003</v>
      </c>
      <c r="H7" s="40">
        <v>289.29340920657995</v>
      </c>
      <c r="I7" s="39">
        <v>268.92647500065999</v>
      </c>
      <c r="J7" s="40">
        <v>525.41535069733004</v>
      </c>
      <c r="K7" s="39">
        <v>928.7405577062201</v>
      </c>
      <c r="L7" s="40">
        <v>258.83662805402003</v>
      </c>
      <c r="M7" s="39">
        <v>553.06816134357007</v>
      </c>
      <c r="N7" s="40">
        <v>1409.2035100353703</v>
      </c>
      <c r="O7" s="39">
        <v>791.83617982635019</v>
      </c>
      <c r="P7" s="40">
        <v>1547.4953450110395</v>
      </c>
      <c r="Q7" s="39">
        <v>2081.924639147961</v>
      </c>
      <c r="R7" s="40">
        <v>2282.2662993079916</v>
      </c>
      <c r="S7" s="39">
        <v>2894.2152285396774</v>
      </c>
      <c r="T7" s="40">
        <v>3451.02955353364</v>
      </c>
      <c r="U7" s="39">
        <v>5220.1359135985495</v>
      </c>
      <c r="V7" s="40">
        <v>4320.88250634017</v>
      </c>
      <c r="W7" s="39">
        <v>4979.0393388889097</v>
      </c>
      <c r="X7" s="40">
        <v>4780.5461025162367</v>
      </c>
    </row>
    <row r="8" spans="1:24" ht="16.5" customHeight="1" x14ac:dyDescent="0.2">
      <c r="A8" s="97"/>
      <c r="B8" s="38" t="s">
        <v>18</v>
      </c>
      <c r="C8" s="39">
        <v>18209</v>
      </c>
      <c r="D8" s="40">
        <v>24357</v>
      </c>
      <c r="E8" s="39">
        <v>26237</v>
      </c>
      <c r="F8" s="40">
        <v>27350</v>
      </c>
      <c r="G8" s="39">
        <v>28868</v>
      </c>
      <c r="H8" s="40">
        <v>30757</v>
      </c>
      <c r="I8" s="39">
        <v>32291</v>
      </c>
      <c r="J8" s="40">
        <v>32109</v>
      </c>
      <c r="K8" s="39">
        <v>33024</v>
      </c>
      <c r="L8" s="40">
        <v>32753</v>
      </c>
      <c r="M8" s="39">
        <v>34746</v>
      </c>
      <c r="N8" s="40">
        <v>35153</v>
      </c>
      <c r="O8" s="39">
        <v>34084</v>
      </c>
      <c r="P8" s="40">
        <v>34175</v>
      </c>
      <c r="Q8" s="39">
        <v>35267</v>
      </c>
      <c r="R8" s="40">
        <v>37299</v>
      </c>
      <c r="S8" s="39">
        <v>39435</v>
      </c>
      <c r="T8" s="40">
        <v>42790</v>
      </c>
      <c r="U8" s="39">
        <v>46012</v>
      </c>
      <c r="V8" s="40">
        <v>45463</v>
      </c>
      <c r="W8" s="39">
        <v>46244</v>
      </c>
      <c r="X8" s="40">
        <v>47390</v>
      </c>
    </row>
    <row r="9" spans="1:24" ht="16.5" customHeight="1" x14ac:dyDescent="0.2">
      <c r="A9" s="97"/>
      <c r="B9" s="38" t="s">
        <v>57</v>
      </c>
      <c r="C9" s="39">
        <v>4830</v>
      </c>
      <c r="D9" s="40">
        <v>7341</v>
      </c>
      <c r="E9" s="39">
        <v>7313</v>
      </c>
      <c r="F9" s="40">
        <v>7432</v>
      </c>
      <c r="G9" s="39">
        <v>9670</v>
      </c>
      <c r="H9" s="40">
        <v>11137</v>
      </c>
      <c r="I9" s="39">
        <v>14248</v>
      </c>
      <c r="J9" s="40">
        <v>17841</v>
      </c>
      <c r="K9" s="39">
        <v>19931</v>
      </c>
      <c r="L9" s="40">
        <v>21867</v>
      </c>
      <c r="M9" s="39">
        <v>23802</v>
      </c>
      <c r="N9" s="40">
        <v>25826</v>
      </c>
      <c r="O9" s="39">
        <v>25845</v>
      </c>
      <c r="P9" s="40">
        <v>26705</v>
      </c>
      <c r="Q9" s="39">
        <v>33828</v>
      </c>
      <c r="R9" s="40">
        <v>33856</v>
      </c>
      <c r="S9" s="39">
        <v>44268</v>
      </c>
      <c r="T9" s="40">
        <v>56226</v>
      </c>
      <c r="U9" s="39">
        <v>65840</v>
      </c>
      <c r="V9" s="40">
        <v>68417</v>
      </c>
      <c r="W9" s="39">
        <v>72423</v>
      </c>
      <c r="X9" s="40">
        <v>73832</v>
      </c>
    </row>
    <row r="10" spans="1:24" ht="16.5" customHeight="1" x14ac:dyDescent="0.2">
      <c r="A10" s="97"/>
      <c r="B10" s="38" t="s">
        <v>65</v>
      </c>
      <c r="C10" s="39">
        <v>-129.01440122222223</v>
      </c>
      <c r="D10" s="40">
        <v>-256.91228711111108</v>
      </c>
      <c r="E10" s="39">
        <v>-368.96941133333331</v>
      </c>
      <c r="F10" s="40">
        <v>-551.53501022222224</v>
      </c>
      <c r="G10" s="39">
        <v>-826.77618899999993</v>
      </c>
      <c r="H10" s="40">
        <v>-995.09877455555556</v>
      </c>
      <c r="I10" s="39">
        <v>-1171.0105284444444</v>
      </c>
      <c r="J10" s="40">
        <v>-1334.3037888888891</v>
      </c>
      <c r="K10" s="39">
        <v>-1491.1105201111109</v>
      </c>
      <c r="L10" s="40">
        <v>-1668.3025743333333</v>
      </c>
      <c r="M10" s="39">
        <v>-1901.2247523333333</v>
      </c>
      <c r="N10" s="40">
        <v>-2057.8971815555556</v>
      </c>
      <c r="O10" s="39">
        <v>-2127.2995745555554</v>
      </c>
      <c r="P10" s="40">
        <v>-2276.6763728888886</v>
      </c>
      <c r="Q10" s="39">
        <v>-2406.9428368888889</v>
      </c>
      <c r="R10" s="40">
        <v>-2539.5098000000003</v>
      </c>
      <c r="S10" s="39">
        <v>-2670.519708888889</v>
      </c>
      <c r="T10" s="40">
        <v>-2800.6001422222221</v>
      </c>
      <c r="U10" s="39">
        <v>-2922.0976577777774</v>
      </c>
      <c r="V10" s="40">
        <v>-3044.5564644444444</v>
      </c>
      <c r="W10" s="39">
        <v>-3135.9474977777782</v>
      </c>
      <c r="X10" s="40">
        <v>-3258.1208988888889</v>
      </c>
    </row>
    <row r="11" spans="1:24" ht="16.5" customHeight="1" x14ac:dyDescent="0.2">
      <c r="A11" s="97"/>
      <c r="B11" s="38" t="s">
        <v>66</v>
      </c>
      <c r="C11" s="39">
        <v>1079</v>
      </c>
      <c r="D11" s="40">
        <v>114</v>
      </c>
      <c r="E11" s="39">
        <v>82</v>
      </c>
      <c r="F11" s="40">
        <v>171</v>
      </c>
      <c r="G11" s="39">
        <v>644</v>
      </c>
      <c r="H11" s="40">
        <v>663</v>
      </c>
      <c r="I11" s="39">
        <v>1426</v>
      </c>
      <c r="J11" s="40">
        <v>2166</v>
      </c>
      <c r="K11" s="39">
        <v>2446</v>
      </c>
      <c r="L11" s="40">
        <v>2202</v>
      </c>
      <c r="M11" s="39">
        <v>3011</v>
      </c>
      <c r="N11" s="40">
        <v>4689</v>
      </c>
      <c r="O11" s="39">
        <v>4736</v>
      </c>
      <c r="P11" s="40">
        <v>5227</v>
      </c>
      <c r="Q11" s="39">
        <v>7936</v>
      </c>
      <c r="R11" s="40">
        <v>8300</v>
      </c>
      <c r="S11" s="39">
        <v>13628</v>
      </c>
      <c r="T11" s="40">
        <v>19425</v>
      </c>
      <c r="U11" s="39">
        <v>25290</v>
      </c>
      <c r="V11" s="40">
        <v>27326</v>
      </c>
      <c r="W11" s="39">
        <v>29728</v>
      </c>
      <c r="X11" s="40">
        <v>30999</v>
      </c>
    </row>
    <row r="12" spans="1:24" ht="16.5" customHeight="1" x14ac:dyDescent="0.2">
      <c r="A12" s="97"/>
      <c r="B12" s="38" t="s">
        <v>59</v>
      </c>
      <c r="C12" s="39">
        <v>0</v>
      </c>
      <c r="D12" s="40">
        <v>0</v>
      </c>
      <c r="E12" s="39">
        <v>0</v>
      </c>
      <c r="F12" s="40">
        <v>0</v>
      </c>
      <c r="G12" s="39">
        <v>0</v>
      </c>
      <c r="H12" s="40">
        <v>0</v>
      </c>
      <c r="I12" s="39">
        <v>0</v>
      </c>
      <c r="J12" s="40">
        <v>0</v>
      </c>
      <c r="K12" s="39">
        <v>0</v>
      </c>
      <c r="L12" s="40">
        <v>0</v>
      </c>
      <c r="M12" s="39">
        <v>0</v>
      </c>
      <c r="N12" s="40">
        <v>0</v>
      </c>
      <c r="O12" s="39">
        <v>0</v>
      </c>
      <c r="P12" s="40">
        <v>0</v>
      </c>
      <c r="Q12" s="39">
        <v>0</v>
      </c>
      <c r="R12" s="40">
        <v>0</v>
      </c>
      <c r="S12" s="39">
        <v>876</v>
      </c>
      <c r="T12" s="40">
        <v>878</v>
      </c>
      <c r="U12" s="39">
        <v>1314</v>
      </c>
      <c r="V12" s="40">
        <v>1314</v>
      </c>
      <c r="W12" s="39">
        <v>1314</v>
      </c>
      <c r="X12" s="40">
        <v>1318</v>
      </c>
    </row>
    <row r="13" spans="1:24" ht="16.5" customHeight="1" x14ac:dyDescent="0.2">
      <c r="A13" s="97"/>
      <c r="B13" s="38" t="s">
        <v>67</v>
      </c>
      <c r="C13" s="39">
        <v>-1348.75</v>
      </c>
      <c r="D13" s="40">
        <v>-142.5</v>
      </c>
      <c r="E13" s="39">
        <v>-102.5</v>
      </c>
      <c r="F13" s="40">
        <v>-213.75</v>
      </c>
      <c r="G13" s="39">
        <v>-805</v>
      </c>
      <c r="H13" s="40">
        <v>-828.75</v>
      </c>
      <c r="I13" s="39">
        <v>-1782.5</v>
      </c>
      <c r="J13" s="40">
        <v>-2707.5</v>
      </c>
      <c r="K13" s="39">
        <v>-3057.5</v>
      </c>
      <c r="L13" s="40">
        <v>-2752.5</v>
      </c>
      <c r="M13" s="39">
        <v>-3763.75</v>
      </c>
      <c r="N13" s="40">
        <v>-5861.25</v>
      </c>
      <c r="O13" s="39">
        <v>-5920</v>
      </c>
      <c r="P13" s="40">
        <v>-6533.75</v>
      </c>
      <c r="Q13" s="39">
        <v>-9920</v>
      </c>
      <c r="R13" s="40">
        <v>-10375</v>
      </c>
      <c r="S13" s="39">
        <v>-17035</v>
      </c>
      <c r="T13" s="40">
        <v>-24281.25</v>
      </c>
      <c r="U13" s="39">
        <v>-31612.5</v>
      </c>
      <c r="V13" s="40">
        <v>-34157.5</v>
      </c>
      <c r="W13" s="39">
        <v>-37160</v>
      </c>
      <c r="X13" s="40">
        <v>-38748.75</v>
      </c>
    </row>
    <row r="14" spans="1:24" ht="16.5" customHeight="1" x14ac:dyDescent="0.2">
      <c r="A14" s="97"/>
      <c r="B14" s="38" t="s">
        <v>68</v>
      </c>
      <c r="C14" s="39">
        <v>116.11296110000001</v>
      </c>
      <c r="D14" s="40">
        <v>231.2210584</v>
      </c>
      <c r="E14" s="39">
        <v>332.0724702</v>
      </c>
      <c r="F14" s="40">
        <v>496.38150919999998</v>
      </c>
      <c r="G14" s="39">
        <v>744.09857009999996</v>
      </c>
      <c r="H14" s="40">
        <v>895.58889710000005</v>
      </c>
      <c r="I14" s="39">
        <v>1053.9094756</v>
      </c>
      <c r="J14" s="40">
        <v>1200.8734100000001</v>
      </c>
      <c r="K14" s="39">
        <v>1341.9994680999998</v>
      </c>
      <c r="L14" s="40">
        <v>1501.4723168999999</v>
      </c>
      <c r="M14" s="39">
        <v>1711.1022771</v>
      </c>
      <c r="N14" s="40">
        <v>1852.1074634000001</v>
      </c>
      <c r="O14" s="39">
        <v>1914.5696171</v>
      </c>
      <c r="P14" s="40">
        <v>2049.0087355999999</v>
      </c>
      <c r="Q14" s="39">
        <v>2166.2485532000001</v>
      </c>
      <c r="R14" s="40">
        <v>2285.5588200000002</v>
      </c>
      <c r="S14" s="39">
        <v>2403.4677380000003</v>
      </c>
      <c r="T14" s="40">
        <v>2520.5401280000001</v>
      </c>
      <c r="U14" s="39">
        <v>2629.8878919999997</v>
      </c>
      <c r="V14" s="40">
        <v>2740.1008179999999</v>
      </c>
      <c r="W14" s="39">
        <v>2822.3527480000002</v>
      </c>
      <c r="X14" s="40">
        <v>2932.3088090000001</v>
      </c>
    </row>
    <row r="15" spans="1:24" s="2" customFormat="1" ht="16.5" customHeight="1" x14ac:dyDescent="0.2">
      <c r="A15" s="97"/>
      <c r="B15" s="38" t="s">
        <v>41</v>
      </c>
      <c r="C15" s="39">
        <v>9475</v>
      </c>
      <c r="D15" s="40">
        <v>10796</v>
      </c>
      <c r="E15" s="39">
        <v>12167</v>
      </c>
      <c r="F15" s="40">
        <v>13376</v>
      </c>
      <c r="G15" s="39">
        <v>14355</v>
      </c>
      <c r="H15" s="40">
        <v>16163</v>
      </c>
      <c r="I15" s="39">
        <v>17452</v>
      </c>
      <c r="J15" s="40">
        <v>18649</v>
      </c>
      <c r="K15" s="39">
        <v>19832</v>
      </c>
      <c r="L15" s="40">
        <v>21164</v>
      </c>
      <c r="M15" s="39">
        <v>22247</v>
      </c>
      <c r="N15" s="40">
        <v>23373</v>
      </c>
      <c r="O15" s="39">
        <v>24371</v>
      </c>
      <c r="P15" s="40">
        <v>25416</v>
      </c>
      <c r="Q15" s="39">
        <v>26359</v>
      </c>
      <c r="R15" s="40">
        <v>27143</v>
      </c>
      <c r="S15" s="39">
        <v>27900</v>
      </c>
      <c r="T15" s="40">
        <v>28674</v>
      </c>
      <c r="U15" s="39">
        <v>29301</v>
      </c>
      <c r="V15" s="40">
        <v>29864</v>
      </c>
      <c r="W15" s="39">
        <v>30469</v>
      </c>
      <c r="X15" s="40">
        <v>31010</v>
      </c>
    </row>
    <row r="16" spans="1:24" ht="16.5" customHeight="1" x14ac:dyDescent="0.2">
      <c r="A16" s="97"/>
      <c r="B16" s="42" t="s">
        <v>40</v>
      </c>
      <c r="C16" s="43">
        <f>SUM(C3:C15)</f>
        <v>201308.60265990155</v>
      </c>
      <c r="D16" s="44">
        <f>SUM(D3:D15)</f>
        <v>203797.35554673307</v>
      </c>
      <c r="E16" s="43">
        <f t="shared" ref="E16:X16" si="0">SUM(E3:E15)</f>
        <v>204224.65174077259</v>
      </c>
      <c r="F16" s="44">
        <f t="shared" si="0"/>
        <v>204967.33130896493</v>
      </c>
      <c r="G16" s="43">
        <f t="shared" si="0"/>
        <v>204646.10346031957</v>
      </c>
      <c r="H16" s="44">
        <f t="shared" si="0"/>
        <v>207400.64388358788</v>
      </c>
      <c r="I16" s="43">
        <f t="shared" si="0"/>
        <v>208268.25142163754</v>
      </c>
      <c r="J16" s="44">
        <f t="shared" si="0"/>
        <v>210153.52326769993</v>
      </c>
      <c r="K16" s="43">
        <f t="shared" si="0"/>
        <v>211420.98048068961</v>
      </c>
      <c r="L16" s="44">
        <f t="shared" si="0"/>
        <v>213452.54881427684</v>
      </c>
      <c r="M16" s="43">
        <f t="shared" si="0"/>
        <v>212014.22311372348</v>
      </c>
      <c r="N16" s="44">
        <f t="shared" si="0"/>
        <v>212949.50780743785</v>
      </c>
      <c r="O16" s="43">
        <f t="shared" si="0"/>
        <v>212896.01946359381</v>
      </c>
      <c r="P16" s="44">
        <f t="shared" si="0"/>
        <v>214850.0212263687</v>
      </c>
      <c r="Q16" s="43">
        <f t="shared" si="0"/>
        <v>213939.61449476666</v>
      </c>
      <c r="R16" s="44">
        <f t="shared" si="0"/>
        <v>214727.34383786382</v>
      </c>
      <c r="S16" s="43">
        <f t="shared" si="0"/>
        <v>217548.51570366361</v>
      </c>
      <c r="T16" s="44">
        <f t="shared" si="0"/>
        <v>218172.58808729623</v>
      </c>
      <c r="U16" s="43">
        <f t="shared" si="0"/>
        <v>220664.69424681473</v>
      </c>
      <c r="V16" s="44">
        <f t="shared" si="0"/>
        <v>222930.76166911973</v>
      </c>
      <c r="W16" s="43">
        <f t="shared" si="0"/>
        <v>225096.18182140795</v>
      </c>
      <c r="X16" s="44">
        <f t="shared" si="0"/>
        <v>227655.91150175667</v>
      </c>
    </row>
    <row r="19" spans="1:24" ht="16.5" customHeight="1" x14ac:dyDescent="0.2">
      <c r="C19" s="53"/>
      <c r="D19" s="53"/>
      <c r="E19" s="53"/>
      <c r="F19" s="53"/>
      <c r="G19" s="53"/>
      <c r="H19" s="53"/>
      <c r="I19" s="53"/>
      <c r="J19" s="53"/>
      <c r="K19" s="53"/>
      <c r="L19" s="53"/>
      <c r="M19" s="53"/>
      <c r="N19" s="53"/>
      <c r="O19" s="53"/>
      <c r="P19" s="53"/>
      <c r="Q19" s="53"/>
      <c r="R19" s="53"/>
      <c r="S19" s="53"/>
      <c r="T19" s="53"/>
      <c r="U19" s="53"/>
      <c r="V19" s="53"/>
      <c r="W19" s="53"/>
      <c r="X19" s="53"/>
    </row>
    <row r="20" spans="1:24" s="37" customFormat="1" ht="16.5" customHeight="1" x14ac:dyDescent="0.2">
      <c r="A20" s="33" t="s">
        <v>34</v>
      </c>
      <c r="B20" s="34" t="s">
        <v>20</v>
      </c>
      <c r="C20" s="51" t="s">
        <v>0</v>
      </c>
      <c r="D20" s="52" t="s">
        <v>1</v>
      </c>
      <c r="E20" s="51" t="s">
        <v>2</v>
      </c>
      <c r="F20" s="52" t="s">
        <v>3</v>
      </c>
      <c r="G20" s="51" t="s">
        <v>4</v>
      </c>
      <c r="H20" s="52" t="s">
        <v>5</v>
      </c>
      <c r="I20" s="51" t="s">
        <v>6</v>
      </c>
      <c r="J20" s="52" t="s">
        <v>7</v>
      </c>
      <c r="K20" s="51" t="s">
        <v>8</v>
      </c>
      <c r="L20" s="52" t="s">
        <v>9</v>
      </c>
      <c r="M20" s="51" t="s">
        <v>10</v>
      </c>
      <c r="N20" s="52" t="s">
        <v>11</v>
      </c>
      <c r="O20" s="51" t="s">
        <v>12</v>
      </c>
      <c r="P20" s="52" t="s">
        <v>13</v>
      </c>
      <c r="Q20" s="51" t="s">
        <v>14</v>
      </c>
      <c r="R20" s="52" t="s">
        <v>15</v>
      </c>
      <c r="S20" s="51" t="s">
        <v>16</v>
      </c>
      <c r="T20" s="52" t="s">
        <v>45</v>
      </c>
      <c r="U20" s="51" t="s">
        <v>61</v>
      </c>
      <c r="V20" s="52" t="s">
        <v>62</v>
      </c>
      <c r="W20" s="51" t="s">
        <v>63</v>
      </c>
      <c r="X20" s="52" t="s">
        <v>64</v>
      </c>
    </row>
    <row r="21" spans="1:24" ht="16.5" customHeight="1" x14ac:dyDescent="0.2">
      <c r="A21" s="96" t="s">
        <v>35</v>
      </c>
      <c r="B21" s="38" t="s">
        <v>54</v>
      </c>
      <c r="C21" s="39">
        <v>51414</v>
      </c>
      <c r="D21" s="40">
        <v>51251</v>
      </c>
      <c r="E21" s="39">
        <v>53926</v>
      </c>
      <c r="F21" s="40">
        <v>53357</v>
      </c>
      <c r="G21" s="39">
        <v>42647</v>
      </c>
      <c r="H21" s="40">
        <v>42176</v>
      </c>
      <c r="I21" s="39">
        <v>40401</v>
      </c>
      <c r="J21" s="40">
        <v>36612</v>
      </c>
      <c r="K21" s="39">
        <v>40018</v>
      </c>
      <c r="L21" s="40">
        <v>41879</v>
      </c>
      <c r="M21" s="39">
        <v>36375</v>
      </c>
      <c r="N21" s="40">
        <v>36310</v>
      </c>
      <c r="O21" s="39">
        <v>35730</v>
      </c>
      <c r="P21" s="40">
        <v>35742</v>
      </c>
      <c r="Q21" s="39">
        <v>35355</v>
      </c>
      <c r="R21" s="40">
        <v>31774</v>
      </c>
      <c r="S21" s="39">
        <v>21077</v>
      </c>
      <c r="T21" s="40">
        <v>6934</v>
      </c>
      <c r="U21" s="39">
        <v>6910</v>
      </c>
      <c r="V21" s="40">
        <v>6886</v>
      </c>
      <c r="W21" s="39">
        <v>6914</v>
      </c>
      <c r="X21" s="40">
        <v>6933</v>
      </c>
    </row>
    <row r="22" spans="1:24" ht="16.5" customHeight="1" x14ac:dyDescent="0.2">
      <c r="A22" s="97"/>
      <c r="B22" s="38" t="s">
        <v>55</v>
      </c>
      <c r="C22" s="39">
        <v>0</v>
      </c>
      <c r="D22" s="40">
        <v>0</v>
      </c>
      <c r="E22" s="39">
        <v>0</v>
      </c>
      <c r="F22" s="40">
        <v>0</v>
      </c>
      <c r="G22" s="39">
        <v>0</v>
      </c>
      <c r="H22" s="40">
        <v>0</v>
      </c>
      <c r="I22" s="39">
        <v>0</v>
      </c>
      <c r="J22" s="40">
        <v>0</v>
      </c>
      <c r="K22" s="39">
        <v>0</v>
      </c>
      <c r="L22" s="40">
        <v>0</v>
      </c>
      <c r="M22" s="39">
        <v>0</v>
      </c>
      <c r="N22" s="40">
        <v>0</v>
      </c>
      <c r="O22" s="39">
        <v>0</v>
      </c>
      <c r="P22" s="40">
        <v>0</v>
      </c>
      <c r="Q22" s="39">
        <v>0</v>
      </c>
      <c r="R22" s="40">
        <v>0</v>
      </c>
      <c r="S22" s="39">
        <v>0</v>
      </c>
      <c r="T22" s="40">
        <v>0</v>
      </c>
      <c r="U22" s="39">
        <v>0</v>
      </c>
      <c r="V22" s="40">
        <v>0</v>
      </c>
      <c r="W22" s="39">
        <v>0</v>
      </c>
      <c r="X22" s="40">
        <v>0</v>
      </c>
    </row>
    <row r="23" spans="1:24" ht="16.5" customHeight="1" x14ac:dyDescent="0.2">
      <c r="A23" s="97"/>
      <c r="B23" s="38" t="s">
        <v>17</v>
      </c>
      <c r="C23" s="39">
        <v>3054</v>
      </c>
      <c r="D23" s="40">
        <v>3063</v>
      </c>
      <c r="E23" s="39">
        <v>3054</v>
      </c>
      <c r="F23" s="40">
        <v>3054</v>
      </c>
      <c r="G23" s="39">
        <v>3054</v>
      </c>
      <c r="H23" s="40">
        <v>3063</v>
      </c>
      <c r="I23" s="39">
        <v>3054</v>
      </c>
      <c r="J23" s="40">
        <v>3054</v>
      </c>
      <c r="K23" s="39">
        <v>3054</v>
      </c>
      <c r="L23" s="40">
        <v>3063</v>
      </c>
      <c r="M23" s="39">
        <v>3054</v>
      </c>
      <c r="N23" s="40">
        <v>3054</v>
      </c>
      <c r="O23" s="39">
        <v>3054</v>
      </c>
      <c r="P23" s="40">
        <v>3063</v>
      </c>
      <c r="Q23" s="39">
        <v>3054</v>
      </c>
      <c r="R23" s="40">
        <v>3054</v>
      </c>
      <c r="S23" s="39">
        <v>3054</v>
      </c>
      <c r="T23" s="40">
        <v>3063</v>
      </c>
      <c r="U23" s="39">
        <v>3054</v>
      </c>
      <c r="V23" s="40">
        <v>3054</v>
      </c>
      <c r="W23" s="39">
        <v>3054</v>
      </c>
      <c r="X23" s="40">
        <v>3063</v>
      </c>
    </row>
    <row r="24" spans="1:24" ht="16.5" customHeight="1" x14ac:dyDescent="0.2">
      <c r="A24" s="97"/>
      <c r="B24" s="38" t="s">
        <v>44</v>
      </c>
      <c r="C24" s="39">
        <v>2066</v>
      </c>
      <c r="D24" s="40">
        <v>1557</v>
      </c>
      <c r="E24" s="39">
        <v>1548</v>
      </c>
      <c r="F24" s="40">
        <v>40</v>
      </c>
      <c r="G24" s="39">
        <v>405</v>
      </c>
      <c r="H24" s="40">
        <v>364</v>
      </c>
      <c r="I24" s="39">
        <v>276</v>
      </c>
      <c r="J24" s="40">
        <v>481</v>
      </c>
      <c r="K24" s="39">
        <v>984</v>
      </c>
      <c r="L24" s="40">
        <v>124</v>
      </c>
      <c r="M24" s="39">
        <v>768</v>
      </c>
      <c r="N24" s="40">
        <v>1710</v>
      </c>
      <c r="O24" s="39">
        <v>576</v>
      </c>
      <c r="P24" s="40">
        <v>864</v>
      </c>
      <c r="Q24" s="39">
        <v>1656</v>
      </c>
      <c r="R24" s="40">
        <v>1833</v>
      </c>
      <c r="S24" s="39">
        <v>1785</v>
      </c>
      <c r="T24" s="40">
        <v>1636</v>
      </c>
      <c r="U24" s="39">
        <v>1978</v>
      </c>
      <c r="V24" s="40">
        <v>1816</v>
      </c>
      <c r="W24" s="39">
        <v>1932</v>
      </c>
      <c r="X24" s="40">
        <v>1936</v>
      </c>
    </row>
    <row r="25" spans="1:24" ht="16.5" customHeight="1" x14ac:dyDescent="0.2">
      <c r="A25" s="97"/>
      <c r="B25" s="38" t="s">
        <v>56</v>
      </c>
      <c r="C25" s="39">
        <v>103</v>
      </c>
      <c r="D25" s="40">
        <v>46</v>
      </c>
      <c r="E25" s="39">
        <v>24</v>
      </c>
      <c r="F25" s="40">
        <v>20</v>
      </c>
      <c r="G25" s="39">
        <v>91</v>
      </c>
      <c r="H25" s="40">
        <v>93</v>
      </c>
      <c r="I25" s="39">
        <v>78</v>
      </c>
      <c r="J25" s="40">
        <v>118</v>
      </c>
      <c r="K25" s="39">
        <v>122</v>
      </c>
      <c r="L25" s="40">
        <v>65</v>
      </c>
      <c r="M25" s="39">
        <v>125</v>
      </c>
      <c r="N25" s="40">
        <v>141</v>
      </c>
      <c r="O25" s="39">
        <v>109</v>
      </c>
      <c r="P25" s="40">
        <v>128</v>
      </c>
      <c r="Q25" s="39">
        <v>130</v>
      </c>
      <c r="R25" s="40">
        <v>256</v>
      </c>
      <c r="S25" s="39">
        <v>209</v>
      </c>
      <c r="T25" s="40">
        <v>489</v>
      </c>
      <c r="U25" s="39">
        <v>756</v>
      </c>
      <c r="V25" s="40">
        <v>553</v>
      </c>
      <c r="W25" s="39">
        <v>832</v>
      </c>
      <c r="X25" s="40">
        <v>814</v>
      </c>
    </row>
    <row r="26" spans="1:24" ht="16.5" customHeight="1" x14ac:dyDescent="0.2">
      <c r="A26" s="97"/>
      <c r="B26" s="38" t="s">
        <v>18</v>
      </c>
      <c r="C26" s="39">
        <v>4177</v>
      </c>
      <c r="D26" s="40">
        <v>4971</v>
      </c>
      <c r="E26" s="39">
        <v>4928</v>
      </c>
      <c r="F26" s="40">
        <v>4976</v>
      </c>
      <c r="G26" s="39">
        <v>4964</v>
      </c>
      <c r="H26" s="40">
        <v>5038</v>
      </c>
      <c r="I26" s="39">
        <v>4961</v>
      </c>
      <c r="J26" s="40">
        <v>4928</v>
      </c>
      <c r="K26" s="39">
        <v>4938</v>
      </c>
      <c r="L26" s="40">
        <v>4896</v>
      </c>
      <c r="M26" s="39">
        <v>4920</v>
      </c>
      <c r="N26" s="40">
        <v>4895</v>
      </c>
      <c r="O26" s="39">
        <v>4861</v>
      </c>
      <c r="P26" s="40">
        <v>4839</v>
      </c>
      <c r="Q26" s="39">
        <v>4731</v>
      </c>
      <c r="R26" s="40">
        <v>6292</v>
      </c>
      <c r="S26" s="39">
        <v>6676</v>
      </c>
      <c r="T26" s="40">
        <v>10639</v>
      </c>
      <c r="U26" s="39">
        <v>12040</v>
      </c>
      <c r="V26" s="40">
        <v>11865</v>
      </c>
      <c r="W26" s="39">
        <v>12092</v>
      </c>
      <c r="X26" s="40">
        <v>12195</v>
      </c>
    </row>
    <row r="27" spans="1:24" ht="16.5" customHeight="1" x14ac:dyDescent="0.2">
      <c r="A27" s="97"/>
      <c r="B27" s="38" t="s">
        <v>57</v>
      </c>
      <c r="C27" s="39">
        <v>826</v>
      </c>
      <c r="D27" s="40">
        <v>1732</v>
      </c>
      <c r="E27" s="39">
        <v>1731</v>
      </c>
      <c r="F27" s="40">
        <v>1726</v>
      </c>
      <c r="G27" s="39">
        <v>3365</v>
      </c>
      <c r="H27" s="40">
        <v>3361</v>
      </c>
      <c r="I27" s="39">
        <v>3358</v>
      </c>
      <c r="J27" s="40">
        <v>3361</v>
      </c>
      <c r="K27" s="39">
        <v>3358</v>
      </c>
      <c r="L27" s="40">
        <v>3346</v>
      </c>
      <c r="M27" s="39">
        <v>3356</v>
      </c>
      <c r="N27" s="40">
        <v>3347</v>
      </c>
      <c r="O27" s="39">
        <v>3347</v>
      </c>
      <c r="P27" s="40">
        <v>4167</v>
      </c>
      <c r="Q27" s="39">
        <v>8702</v>
      </c>
      <c r="R27" s="40">
        <v>8744</v>
      </c>
      <c r="S27" s="39">
        <v>18949</v>
      </c>
      <c r="T27" s="40">
        <v>29636</v>
      </c>
      <c r="U27" s="39">
        <v>30362</v>
      </c>
      <c r="V27" s="40">
        <v>30372</v>
      </c>
      <c r="W27" s="39">
        <v>33034</v>
      </c>
      <c r="X27" s="40">
        <v>33295</v>
      </c>
    </row>
    <row r="28" spans="1:24" ht="16.5" customHeight="1" x14ac:dyDescent="0.2">
      <c r="A28" s="97"/>
      <c r="B28" s="38" t="s">
        <v>65</v>
      </c>
      <c r="C28" s="39">
        <v>-54.664649681774989</v>
      </c>
      <c r="D28" s="40">
        <v>-106.82473645510396</v>
      </c>
      <c r="E28" s="39">
        <v>-145.36574135902617</v>
      </c>
      <c r="F28" s="40">
        <v>-225.83011159941105</v>
      </c>
      <c r="G28" s="39">
        <v>-361.90841925665393</v>
      </c>
      <c r="H28" s="40">
        <v>-445.9118474085513</v>
      </c>
      <c r="I28" s="39">
        <v>-529.61980267841159</v>
      </c>
      <c r="J28" s="40">
        <v>-611.17867283673172</v>
      </c>
      <c r="K28" s="39">
        <v>-682.73920764877221</v>
      </c>
      <c r="L28" s="40">
        <v>-759.93962588397198</v>
      </c>
      <c r="M28" s="39">
        <v>-845.22388537008499</v>
      </c>
      <c r="N28" s="40">
        <v>-914.8260692654369</v>
      </c>
      <c r="O28" s="39">
        <v>-982.32057393448622</v>
      </c>
      <c r="P28" s="40">
        <v>-1041.7578718290436</v>
      </c>
      <c r="Q28" s="39">
        <v>-1096.7929441165795</v>
      </c>
      <c r="R28" s="40">
        <v>-1153.2986702455971</v>
      </c>
      <c r="S28" s="39">
        <v>-1207.4405079494836</v>
      </c>
      <c r="T28" s="40">
        <v>-1265.3356999719033</v>
      </c>
      <c r="U28" s="39">
        <v>-1318.5445347434486</v>
      </c>
      <c r="V28" s="40">
        <v>-1375.9785413694458</v>
      </c>
      <c r="W28" s="39">
        <v>-1407.032846674382</v>
      </c>
      <c r="X28" s="40">
        <v>-1463.9633005267622</v>
      </c>
    </row>
    <row r="29" spans="1:24" ht="16.5" customHeight="1" x14ac:dyDescent="0.2">
      <c r="A29" s="97"/>
      <c r="B29" s="38" t="s">
        <v>66</v>
      </c>
      <c r="C29" s="39">
        <v>311</v>
      </c>
      <c r="D29" s="40">
        <v>29</v>
      </c>
      <c r="E29" s="39">
        <v>20</v>
      </c>
      <c r="F29" s="40">
        <v>33</v>
      </c>
      <c r="G29" s="39">
        <v>200</v>
      </c>
      <c r="H29" s="40">
        <v>242</v>
      </c>
      <c r="I29" s="39">
        <v>205</v>
      </c>
      <c r="J29" s="40">
        <v>297</v>
      </c>
      <c r="K29" s="39">
        <v>366</v>
      </c>
      <c r="L29" s="40">
        <v>275</v>
      </c>
      <c r="M29" s="39">
        <v>656</v>
      </c>
      <c r="N29" s="40">
        <v>871</v>
      </c>
      <c r="O29" s="39">
        <v>934</v>
      </c>
      <c r="P29" s="40">
        <v>1346</v>
      </c>
      <c r="Q29" s="39">
        <v>2226</v>
      </c>
      <c r="R29" s="40">
        <v>2252</v>
      </c>
      <c r="S29" s="39">
        <v>6990</v>
      </c>
      <c r="T29" s="40">
        <v>11740</v>
      </c>
      <c r="U29" s="39">
        <v>11830</v>
      </c>
      <c r="V29" s="40">
        <v>12361</v>
      </c>
      <c r="W29" s="39">
        <v>13531</v>
      </c>
      <c r="X29" s="40">
        <v>13979</v>
      </c>
    </row>
    <row r="30" spans="1:24" ht="16.5" customHeight="1" x14ac:dyDescent="0.2">
      <c r="A30" s="97"/>
      <c r="B30" s="38" t="s">
        <v>59</v>
      </c>
      <c r="C30" s="39">
        <v>0</v>
      </c>
      <c r="D30" s="40">
        <v>0</v>
      </c>
      <c r="E30" s="39">
        <v>0</v>
      </c>
      <c r="F30" s="40">
        <v>0</v>
      </c>
      <c r="G30" s="39">
        <v>0</v>
      </c>
      <c r="H30" s="40">
        <v>0</v>
      </c>
      <c r="I30" s="39">
        <v>0</v>
      </c>
      <c r="J30" s="40">
        <v>0</v>
      </c>
      <c r="K30" s="39">
        <v>0</v>
      </c>
      <c r="L30" s="40">
        <v>0</v>
      </c>
      <c r="M30" s="39">
        <v>0</v>
      </c>
      <c r="N30" s="40">
        <v>0</v>
      </c>
      <c r="O30" s="39">
        <v>0</v>
      </c>
      <c r="P30" s="40">
        <v>0</v>
      </c>
      <c r="Q30" s="39">
        <v>0</v>
      </c>
      <c r="R30" s="40">
        <v>0</v>
      </c>
      <c r="S30" s="39">
        <v>438</v>
      </c>
      <c r="T30" s="40">
        <v>439</v>
      </c>
      <c r="U30" s="39">
        <v>438</v>
      </c>
      <c r="V30" s="40">
        <v>438</v>
      </c>
      <c r="W30" s="39">
        <v>438</v>
      </c>
      <c r="X30" s="40">
        <v>439</v>
      </c>
    </row>
    <row r="31" spans="1:24" ht="16.5" customHeight="1" x14ac:dyDescent="0.2">
      <c r="A31" s="97"/>
      <c r="B31" s="38" t="s">
        <v>67</v>
      </c>
      <c r="C31" s="39">
        <v>-388.75</v>
      </c>
      <c r="D31" s="40">
        <v>-36.25</v>
      </c>
      <c r="E31" s="39">
        <v>-25</v>
      </c>
      <c r="F31" s="40">
        <v>-41.25</v>
      </c>
      <c r="G31" s="39">
        <v>-250</v>
      </c>
      <c r="H31" s="40">
        <v>-302.5</v>
      </c>
      <c r="I31" s="39">
        <v>-256.25</v>
      </c>
      <c r="J31" s="40">
        <v>-371.25</v>
      </c>
      <c r="K31" s="39">
        <v>-457.5</v>
      </c>
      <c r="L31" s="40">
        <v>-343.75</v>
      </c>
      <c r="M31" s="39">
        <v>-820</v>
      </c>
      <c r="N31" s="40">
        <v>-1088.75</v>
      </c>
      <c r="O31" s="39">
        <v>-1167.5</v>
      </c>
      <c r="P31" s="40">
        <v>-1682.5</v>
      </c>
      <c r="Q31" s="39">
        <v>-2782.5</v>
      </c>
      <c r="R31" s="40">
        <v>-2815</v>
      </c>
      <c r="S31" s="39">
        <v>-8737.5</v>
      </c>
      <c r="T31" s="40">
        <v>-14675</v>
      </c>
      <c r="U31" s="39">
        <v>-14787.5</v>
      </c>
      <c r="V31" s="40">
        <v>-15451.25</v>
      </c>
      <c r="W31" s="39">
        <v>-16913.75</v>
      </c>
      <c r="X31" s="40">
        <v>-17473.75</v>
      </c>
    </row>
    <row r="32" spans="1:24" ht="16.5" customHeight="1" x14ac:dyDescent="0.2">
      <c r="A32" s="97"/>
      <c r="B32" s="38" t="s">
        <v>68</v>
      </c>
      <c r="C32" s="39">
        <v>49.198184713597492</v>
      </c>
      <c r="D32" s="40">
        <v>96.142262809593561</v>
      </c>
      <c r="E32" s="39">
        <v>130.82916722312356</v>
      </c>
      <c r="F32" s="40">
        <v>203.24710043946996</v>
      </c>
      <c r="G32" s="39">
        <v>325.71757733098855</v>
      </c>
      <c r="H32" s="40">
        <v>401.32066266769618</v>
      </c>
      <c r="I32" s="39">
        <v>476.65782241057047</v>
      </c>
      <c r="J32" s="40">
        <v>550.06080555305857</v>
      </c>
      <c r="K32" s="39">
        <v>614.46528688389503</v>
      </c>
      <c r="L32" s="40">
        <v>683.94566329557483</v>
      </c>
      <c r="M32" s="39">
        <v>760.70149683307648</v>
      </c>
      <c r="N32" s="40">
        <v>823.34346233889323</v>
      </c>
      <c r="O32" s="39">
        <v>884.08851654103762</v>
      </c>
      <c r="P32" s="40">
        <v>937.58208464613926</v>
      </c>
      <c r="Q32" s="39">
        <v>987.1136497049215</v>
      </c>
      <c r="R32" s="40">
        <v>1037.9688032210374</v>
      </c>
      <c r="S32" s="39">
        <v>1086.6964571545352</v>
      </c>
      <c r="T32" s="40">
        <v>1138.8021299747129</v>
      </c>
      <c r="U32" s="39">
        <v>1186.6900812691038</v>
      </c>
      <c r="V32" s="40">
        <v>1238.3806872325013</v>
      </c>
      <c r="W32" s="39">
        <v>1266.3295620069439</v>
      </c>
      <c r="X32" s="40">
        <v>1317.566970474086</v>
      </c>
    </row>
    <row r="33" spans="1:24" ht="16.5" customHeight="1" thickBot="1" x14ac:dyDescent="0.25">
      <c r="A33" s="98"/>
      <c r="B33" s="38" t="s">
        <v>41</v>
      </c>
      <c r="C33" s="39">
        <v>2723</v>
      </c>
      <c r="D33" s="40">
        <v>3226</v>
      </c>
      <c r="E33" s="39">
        <v>3765</v>
      </c>
      <c r="F33" s="40">
        <v>4312</v>
      </c>
      <c r="G33" s="39">
        <v>4845</v>
      </c>
      <c r="H33" s="40">
        <v>5397</v>
      </c>
      <c r="I33" s="39">
        <v>5950</v>
      </c>
      <c r="J33" s="40">
        <v>6470</v>
      </c>
      <c r="K33" s="39">
        <v>6985</v>
      </c>
      <c r="L33" s="40">
        <v>7556</v>
      </c>
      <c r="M33" s="39">
        <v>8049</v>
      </c>
      <c r="N33" s="40">
        <v>8553</v>
      </c>
      <c r="O33" s="39">
        <v>8991</v>
      </c>
      <c r="P33" s="40">
        <v>9475</v>
      </c>
      <c r="Q33" s="39">
        <v>9889</v>
      </c>
      <c r="R33" s="40">
        <v>10231</v>
      </c>
      <c r="S33" s="39">
        <v>10571</v>
      </c>
      <c r="T33" s="40">
        <v>10930</v>
      </c>
      <c r="U33" s="39">
        <v>11249</v>
      </c>
      <c r="V33" s="40">
        <v>11514</v>
      </c>
      <c r="W33" s="39">
        <v>11791</v>
      </c>
      <c r="X33" s="40">
        <v>12047</v>
      </c>
    </row>
    <row r="34" spans="1:24" ht="16.5" customHeight="1" x14ac:dyDescent="0.2">
      <c r="A34" s="99" t="s">
        <v>36</v>
      </c>
      <c r="B34" s="47" t="s">
        <v>54</v>
      </c>
      <c r="C34" s="40">
        <v>54324</v>
      </c>
      <c r="D34" s="39">
        <v>50368</v>
      </c>
      <c r="E34" s="40">
        <v>45062</v>
      </c>
      <c r="F34" s="39">
        <v>47042</v>
      </c>
      <c r="G34" s="40">
        <v>53174</v>
      </c>
      <c r="H34" s="39">
        <v>52095</v>
      </c>
      <c r="I34" s="40">
        <v>51620</v>
      </c>
      <c r="J34" s="39">
        <v>51343</v>
      </c>
      <c r="K34" s="40">
        <v>46773</v>
      </c>
      <c r="L34" s="39">
        <v>44473</v>
      </c>
      <c r="M34" s="40">
        <v>45066</v>
      </c>
      <c r="N34" s="39">
        <v>39655</v>
      </c>
      <c r="O34" s="40">
        <v>39519</v>
      </c>
      <c r="P34" s="39">
        <v>37046</v>
      </c>
      <c r="Q34" s="40">
        <v>36785</v>
      </c>
      <c r="R34" s="39">
        <v>37904</v>
      </c>
      <c r="S34" s="40">
        <v>38921</v>
      </c>
      <c r="T34" s="39">
        <v>38903</v>
      </c>
      <c r="U34" s="40">
        <v>29333</v>
      </c>
      <c r="V34" s="39">
        <v>27081</v>
      </c>
      <c r="W34" s="40">
        <v>27095</v>
      </c>
      <c r="X34" s="39">
        <v>27272</v>
      </c>
    </row>
    <row r="35" spans="1:24" ht="16.5" customHeight="1" x14ac:dyDescent="0.2">
      <c r="A35" s="100"/>
      <c r="B35" s="47" t="s">
        <v>55</v>
      </c>
      <c r="C35" s="40">
        <v>0</v>
      </c>
      <c r="D35" s="39">
        <v>0</v>
      </c>
      <c r="E35" s="40">
        <v>0</v>
      </c>
      <c r="F35" s="39">
        <v>0</v>
      </c>
      <c r="G35" s="40">
        <v>0</v>
      </c>
      <c r="H35" s="39">
        <v>0</v>
      </c>
      <c r="I35" s="40">
        <v>0</v>
      </c>
      <c r="J35" s="39">
        <v>0</v>
      </c>
      <c r="K35" s="40">
        <v>0</v>
      </c>
      <c r="L35" s="39">
        <v>0</v>
      </c>
      <c r="M35" s="40">
        <v>0</v>
      </c>
      <c r="N35" s="39">
        <v>0</v>
      </c>
      <c r="O35" s="40">
        <v>0</v>
      </c>
      <c r="P35" s="39">
        <v>0</v>
      </c>
      <c r="Q35" s="40">
        <v>0</v>
      </c>
      <c r="R35" s="39">
        <v>0</v>
      </c>
      <c r="S35" s="40">
        <v>0</v>
      </c>
      <c r="T35" s="39">
        <v>0</v>
      </c>
      <c r="U35" s="40">
        <v>0</v>
      </c>
      <c r="V35" s="39">
        <v>0</v>
      </c>
      <c r="W35" s="40">
        <v>0</v>
      </c>
      <c r="X35" s="39">
        <v>0</v>
      </c>
    </row>
    <row r="36" spans="1:24" ht="16.5" customHeight="1" x14ac:dyDescent="0.2">
      <c r="A36" s="100"/>
      <c r="B36" s="47" t="s">
        <v>17</v>
      </c>
      <c r="C36" s="40">
        <v>707</v>
      </c>
      <c r="D36" s="39">
        <v>709</v>
      </c>
      <c r="E36" s="40">
        <v>707</v>
      </c>
      <c r="F36" s="39">
        <v>707</v>
      </c>
      <c r="G36" s="40">
        <v>707</v>
      </c>
      <c r="H36" s="39">
        <v>709</v>
      </c>
      <c r="I36" s="40">
        <v>707</v>
      </c>
      <c r="J36" s="39">
        <v>707</v>
      </c>
      <c r="K36" s="40">
        <v>707</v>
      </c>
      <c r="L36" s="39">
        <v>709</v>
      </c>
      <c r="M36" s="40">
        <v>707</v>
      </c>
      <c r="N36" s="39">
        <v>707</v>
      </c>
      <c r="O36" s="40">
        <v>707</v>
      </c>
      <c r="P36" s="39">
        <v>709</v>
      </c>
      <c r="Q36" s="40">
        <v>707</v>
      </c>
      <c r="R36" s="39">
        <v>707</v>
      </c>
      <c r="S36" s="40">
        <v>707</v>
      </c>
      <c r="T36" s="39">
        <v>709</v>
      </c>
      <c r="U36" s="40">
        <v>707</v>
      </c>
      <c r="V36" s="39">
        <v>707</v>
      </c>
      <c r="W36" s="40">
        <v>707</v>
      </c>
      <c r="X36" s="39">
        <v>709</v>
      </c>
    </row>
    <row r="37" spans="1:24" ht="16.5" customHeight="1" x14ac:dyDescent="0.2">
      <c r="A37" s="100"/>
      <c r="B37" s="47" t="s">
        <v>44</v>
      </c>
      <c r="C37" s="40">
        <v>5772</v>
      </c>
      <c r="D37" s="39">
        <v>5010</v>
      </c>
      <c r="E37" s="40">
        <v>4937</v>
      </c>
      <c r="F37" s="39">
        <v>3407</v>
      </c>
      <c r="G37" s="40">
        <v>4906</v>
      </c>
      <c r="H37" s="39">
        <v>4280</v>
      </c>
      <c r="I37" s="40">
        <v>3876</v>
      </c>
      <c r="J37" s="39">
        <v>4944</v>
      </c>
      <c r="K37" s="40">
        <v>6085</v>
      </c>
      <c r="L37" s="39">
        <v>3446</v>
      </c>
      <c r="M37" s="40">
        <v>4850</v>
      </c>
      <c r="N37" s="39">
        <v>6335</v>
      </c>
      <c r="O37" s="40">
        <v>5540</v>
      </c>
      <c r="P37" s="39">
        <v>7010</v>
      </c>
      <c r="Q37" s="40">
        <v>6934</v>
      </c>
      <c r="R37" s="39">
        <v>7062</v>
      </c>
      <c r="S37" s="40">
        <v>6295</v>
      </c>
      <c r="T37" s="39">
        <v>6062</v>
      </c>
      <c r="U37" s="40">
        <v>7360</v>
      </c>
      <c r="V37" s="39">
        <v>7277</v>
      </c>
      <c r="W37" s="40">
        <v>7499</v>
      </c>
      <c r="X37" s="39">
        <v>7273</v>
      </c>
    </row>
    <row r="38" spans="1:24" ht="16.5" customHeight="1" x14ac:dyDescent="0.2">
      <c r="A38" s="100"/>
      <c r="B38" s="47" t="s">
        <v>56</v>
      </c>
      <c r="C38" s="40">
        <v>394</v>
      </c>
      <c r="D38" s="39">
        <v>25</v>
      </c>
      <c r="E38" s="40">
        <v>12</v>
      </c>
      <c r="F38" s="39">
        <v>6</v>
      </c>
      <c r="G38" s="40">
        <v>67</v>
      </c>
      <c r="H38" s="39">
        <v>43</v>
      </c>
      <c r="I38" s="40">
        <v>42</v>
      </c>
      <c r="J38" s="39">
        <v>156</v>
      </c>
      <c r="K38" s="40">
        <v>374</v>
      </c>
      <c r="L38" s="39">
        <v>82</v>
      </c>
      <c r="M38" s="40">
        <v>135</v>
      </c>
      <c r="N38" s="39">
        <v>757</v>
      </c>
      <c r="O38" s="40">
        <v>503</v>
      </c>
      <c r="P38" s="39">
        <v>1134</v>
      </c>
      <c r="Q38" s="40">
        <v>1244</v>
      </c>
      <c r="R38" s="39">
        <v>1228</v>
      </c>
      <c r="S38" s="40">
        <v>1481</v>
      </c>
      <c r="T38" s="39">
        <v>1513</v>
      </c>
      <c r="U38" s="40">
        <v>2499</v>
      </c>
      <c r="V38" s="39">
        <v>2431</v>
      </c>
      <c r="W38" s="40">
        <v>1962</v>
      </c>
      <c r="X38" s="39">
        <v>1899</v>
      </c>
    </row>
    <row r="39" spans="1:24" ht="16.5" customHeight="1" x14ac:dyDescent="0.2">
      <c r="A39" s="100"/>
      <c r="B39" s="47" t="s">
        <v>18</v>
      </c>
      <c r="C39" s="40">
        <v>878</v>
      </c>
      <c r="D39" s="39">
        <v>2745</v>
      </c>
      <c r="E39" s="40">
        <v>2750</v>
      </c>
      <c r="F39" s="39">
        <v>2746</v>
      </c>
      <c r="G39" s="40">
        <v>2756</v>
      </c>
      <c r="H39" s="39">
        <v>2788</v>
      </c>
      <c r="I39" s="40">
        <v>2742</v>
      </c>
      <c r="J39" s="39">
        <v>2753</v>
      </c>
      <c r="K39" s="40">
        <v>3150</v>
      </c>
      <c r="L39" s="39">
        <v>3800</v>
      </c>
      <c r="M39" s="40">
        <v>4450</v>
      </c>
      <c r="N39" s="39">
        <v>5125</v>
      </c>
      <c r="O39" s="40">
        <v>4680</v>
      </c>
      <c r="P39" s="39">
        <v>4761</v>
      </c>
      <c r="Q39" s="40">
        <v>4576</v>
      </c>
      <c r="R39" s="39">
        <v>4641</v>
      </c>
      <c r="S39" s="40">
        <v>4546</v>
      </c>
      <c r="T39" s="39">
        <v>4523</v>
      </c>
      <c r="U39" s="40">
        <v>4919</v>
      </c>
      <c r="V39" s="39">
        <v>4916</v>
      </c>
      <c r="W39" s="40">
        <v>4939</v>
      </c>
      <c r="X39" s="39">
        <v>4983</v>
      </c>
    </row>
    <row r="40" spans="1:24" ht="16.5" customHeight="1" x14ac:dyDescent="0.2">
      <c r="A40" s="100"/>
      <c r="B40" s="47" t="s">
        <v>57</v>
      </c>
      <c r="C40" s="40">
        <v>2730</v>
      </c>
      <c r="D40" s="39">
        <v>3152</v>
      </c>
      <c r="E40" s="40">
        <v>3131</v>
      </c>
      <c r="F40" s="39">
        <v>3144</v>
      </c>
      <c r="G40" s="40">
        <v>3133</v>
      </c>
      <c r="H40" s="39">
        <v>3154</v>
      </c>
      <c r="I40" s="40">
        <v>4458</v>
      </c>
      <c r="J40" s="39">
        <v>7347</v>
      </c>
      <c r="K40" s="40">
        <v>9450</v>
      </c>
      <c r="L40" s="39">
        <v>11400</v>
      </c>
      <c r="M40" s="40">
        <v>13350</v>
      </c>
      <c r="N40" s="39">
        <v>15375</v>
      </c>
      <c r="O40" s="40">
        <v>15383</v>
      </c>
      <c r="P40" s="39">
        <v>15410</v>
      </c>
      <c r="Q40" s="40">
        <v>15438</v>
      </c>
      <c r="R40" s="39">
        <v>15394</v>
      </c>
      <c r="S40" s="40">
        <v>15382</v>
      </c>
      <c r="T40" s="39">
        <v>15437</v>
      </c>
      <c r="U40" s="40">
        <v>20838</v>
      </c>
      <c r="V40" s="39">
        <v>22891</v>
      </c>
      <c r="W40" s="40">
        <v>24307</v>
      </c>
      <c r="X40" s="39">
        <v>25430</v>
      </c>
    </row>
    <row r="41" spans="1:24" ht="16.5" customHeight="1" x14ac:dyDescent="0.2">
      <c r="A41" s="100"/>
      <c r="B41" s="47" t="s">
        <v>65</v>
      </c>
      <c r="C41" s="40">
        <v>-30.176968994857788</v>
      </c>
      <c r="D41" s="39">
        <v>-59.148117179007905</v>
      </c>
      <c r="E41" s="40">
        <v>-83.228382732269537</v>
      </c>
      <c r="F41" s="39">
        <v>-129.15199011431687</v>
      </c>
      <c r="G41" s="40">
        <v>-193.99822895053003</v>
      </c>
      <c r="H41" s="39">
        <v>-229.0804288639076</v>
      </c>
      <c r="I41" s="40">
        <v>-264.32761999609642</v>
      </c>
      <c r="J41" s="39">
        <v>-294.40747316497334</v>
      </c>
      <c r="K41" s="40">
        <v>-328.02615404020952</v>
      </c>
      <c r="L41" s="39">
        <v>-377.76785880479099</v>
      </c>
      <c r="M41" s="40">
        <v>-472.62408937591886</v>
      </c>
      <c r="N41" s="39">
        <v>-512.69444204141041</v>
      </c>
      <c r="O41" s="40">
        <v>-464.72224544655762</v>
      </c>
      <c r="P41" s="39">
        <v>-499.87728940982782</v>
      </c>
      <c r="Q41" s="40">
        <v>-533.46703741853537</v>
      </c>
      <c r="R41" s="39">
        <v>-566.94892140941431</v>
      </c>
      <c r="S41" s="40">
        <v>-601.47044256007632</v>
      </c>
      <c r="T41" s="39">
        <v>-634.17036149160913</v>
      </c>
      <c r="U41" s="40">
        <v>-665.17924924874387</v>
      </c>
      <c r="V41" s="39">
        <v>-694.52122423769924</v>
      </c>
      <c r="W41" s="40">
        <v>-722.00690292503896</v>
      </c>
      <c r="X41" s="39">
        <v>-750.24861179994582</v>
      </c>
    </row>
    <row r="42" spans="1:24" ht="16.5" customHeight="1" x14ac:dyDescent="0.2">
      <c r="A42" s="100"/>
      <c r="B42" s="47" t="s">
        <v>66</v>
      </c>
      <c r="C42" s="40">
        <v>731</v>
      </c>
      <c r="D42" s="39">
        <v>37</v>
      </c>
      <c r="E42" s="40">
        <v>25</v>
      </c>
      <c r="F42" s="39">
        <v>86</v>
      </c>
      <c r="G42" s="40">
        <v>373</v>
      </c>
      <c r="H42" s="39">
        <v>348</v>
      </c>
      <c r="I42" s="40">
        <v>452</v>
      </c>
      <c r="J42" s="39">
        <v>736</v>
      </c>
      <c r="K42" s="40">
        <v>886</v>
      </c>
      <c r="L42" s="39">
        <v>780</v>
      </c>
      <c r="M42" s="40">
        <v>909</v>
      </c>
      <c r="N42" s="39">
        <v>2340</v>
      </c>
      <c r="O42" s="40">
        <v>2294</v>
      </c>
      <c r="P42" s="39">
        <v>2319</v>
      </c>
      <c r="Q42" s="40">
        <v>2423</v>
      </c>
      <c r="R42" s="39">
        <v>2765</v>
      </c>
      <c r="S42" s="40">
        <v>3088</v>
      </c>
      <c r="T42" s="39">
        <v>3595</v>
      </c>
      <c r="U42" s="40">
        <v>8005</v>
      </c>
      <c r="V42" s="39">
        <v>9166</v>
      </c>
      <c r="W42" s="40">
        <v>10240</v>
      </c>
      <c r="X42" s="39">
        <v>10966</v>
      </c>
    </row>
    <row r="43" spans="1:24" ht="16.5" customHeight="1" x14ac:dyDescent="0.2">
      <c r="A43" s="100"/>
      <c r="B43" s="47" t="s">
        <v>59</v>
      </c>
      <c r="C43" s="40">
        <v>0</v>
      </c>
      <c r="D43" s="39">
        <v>0</v>
      </c>
      <c r="E43" s="40">
        <v>0</v>
      </c>
      <c r="F43" s="39">
        <v>0</v>
      </c>
      <c r="G43" s="40">
        <v>0</v>
      </c>
      <c r="H43" s="39">
        <v>0</v>
      </c>
      <c r="I43" s="40">
        <v>0</v>
      </c>
      <c r="J43" s="39">
        <v>0</v>
      </c>
      <c r="K43" s="40">
        <v>0</v>
      </c>
      <c r="L43" s="39">
        <v>0</v>
      </c>
      <c r="M43" s="40">
        <v>0</v>
      </c>
      <c r="N43" s="39">
        <v>0</v>
      </c>
      <c r="O43" s="40">
        <v>0</v>
      </c>
      <c r="P43" s="39">
        <v>0</v>
      </c>
      <c r="Q43" s="40">
        <v>0</v>
      </c>
      <c r="R43" s="39">
        <v>0</v>
      </c>
      <c r="S43" s="40">
        <v>0</v>
      </c>
      <c r="T43" s="39">
        <v>0</v>
      </c>
      <c r="U43" s="40">
        <v>0</v>
      </c>
      <c r="V43" s="39">
        <v>0</v>
      </c>
      <c r="W43" s="40">
        <v>0</v>
      </c>
      <c r="X43" s="39">
        <v>0</v>
      </c>
    </row>
    <row r="44" spans="1:24" ht="16.5" customHeight="1" x14ac:dyDescent="0.2">
      <c r="A44" s="100"/>
      <c r="B44" s="47" t="s">
        <v>67</v>
      </c>
      <c r="C44" s="40">
        <v>-913.75</v>
      </c>
      <c r="D44" s="39">
        <v>-46.25</v>
      </c>
      <c r="E44" s="40">
        <v>-31.25</v>
      </c>
      <c r="F44" s="39">
        <v>-107.5</v>
      </c>
      <c r="G44" s="40">
        <v>-466.25</v>
      </c>
      <c r="H44" s="39">
        <v>-435</v>
      </c>
      <c r="I44" s="40">
        <v>-565</v>
      </c>
      <c r="J44" s="39">
        <v>-920</v>
      </c>
      <c r="K44" s="40">
        <v>-1107.5</v>
      </c>
      <c r="L44" s="39">
        <v>-975</v>
      </c>
      <c r="M44" s="40">
        <v>-1136.25</v>
      </c>
      <c r="N44" s="39">
        <v>-2925</v>
      </c>
      <c r="O44" s="40">
        <v>-2867.5</v>
      </c>
      <c r="P44" s="39">
        <v>-2898.75</v>
      </c>
      <c r="Q44" s="40">
        <v>-3028.75</v>
      </c>
      <c r="R44" s="39">
        <v>-3456.25</v>
      </c>
      <c r="S44" s="40">
        <v>-3860</v>
      </c>
      <c r="T44" s="39">
        <v>-4493.75</v>
      </c>
      <c r="U44" s="40">
        <v>-10006.25</v>
      </c>
      <c r="V44" s="39">
        <v>-11457.5</v>
      </c>
      <c r="W44" s="40">
        <v>-12800</v>
      </c>
      <c r="X44" s="39">
        <v>-13707.5</v>
      </c>
    </row>
    <row r="45" spans="1:24" ht="16.5" customHeight="1" x14ac:dyDescent="0.2">
      <c r="A45" s="100"/>
      <c r="B45" s="47" t="s">
        <v>68</v>
      </c>
      <c r="C45" s="40">
        <v>27.15927209537201</v>
      </c>
      <c r="D45" s="39">
        <v>53.233305461107115</v>
      </c>
      <c r="E45" s="40">
        <v>74.905544459042588</v>
      </c>
      <c r="F45" s="39">
        <v>116.23679110288519</v>
      </c>
      <c r="G45" s="40">
        <v>174.59840605547703</v>
      </c>
      <c r="H45" s="39">
        <v>206.17238597751685</v>
      </c>
      <c r="I45" s="40">
        <v>237.89485799648676</v>
      </c>
      <c r="J45" s="39">
        <v>264.96672584847602</v>
      </c>
      <c r="K45" s="40">
        <v>295.22353863618855</v>
      </c>
      <c r="L45" s="39">
        <v>339.99107292431188</v>
      </c>
      <c r="M45" s="40">
        <v>425.36168043832697</v>
      </c>
      <c r="N45" s="39">
        <v>461.42499783726942</v>
      </c>
      <c r="O45" s="40">
        <v>418.25002090190185</v>
      </c>
      <c r="P45" s="39">
        <v>449.88956046884505</v>
      </c>
      <c r="Q45" s="40">
        <v>480.12033367668187</v>
      </c>
      <c r="R45" s="39">
        <v>510.25402926847289</v>
      </c>
      <c r="S45" s="40">
        <v>541.32339830406875</v>
      </c>
      <c r="T45" s="39">
        <v>570.75332534244819</v>
      </c>
      <c r="U45" s="40">
        <v>598.66132432386951</v>
      </c>
      <c r="V45" s="39">
        <v>625.06910181392936</v>
      </c>
      <c r="W45" s="40">
        <v>649.80621263253511</v>
      </c>
      <c r="X45" s="39">
        <v>675.22375061995126</v>
      </c>
    </row>
    <row r="46" spans="1:24" ht="16.5" customHeight="1" thickBot="1" x14ac:dyDescent="0.25">
      <c r="A46" s="101"/>
      <c r="B46" s="47" t="s">
        <v>41</v>
      </c>
      <c r="C46" s="40">
        <v>3319</v>
      </c>
      <c r="D46" s="39">
        <v>3691</v>
      </c>
      <c r="E46" s="40">
        <v>4068</v>
      </c>
      <c r="F46" s="39">
        <v>4443</v>
      </c>
      <c r="G46" s="40">
        <v>4783</v>
      </c>
      <c r="H46" s="39">
        <v>5131</v>
      </c>
      <c r="I46" s="40">
        <v>5446</v>
      </c>
      <c r="J46" s="39">
        <v>5754</v>
      </c>
      <c r="K46" s="40">
        <v>6046</v>
      </c>
      <c r="L46" s="39">
        <v>6401</v>
      </c>
      <c r="M46" s="40">
        <v>6682</v>
      </c>
      <c r="N46" s="39">
        <v>6959</v>
      </c>
      <c r="O46" s="40">
        <v>7227</v>
      </c>
      <c r="P46" s="39">
        <v>7498</v>
      </c>
      <c r="Q46" s="40">
        <v>7728</v>
      </c>
      <c r="R46" s="39">
        <v>7911</v>
      </c>
      <c r="S46" s="40">
        <v>8096</v>
      </c>
      <c r="T46" s="39">
        <v>8273</v>
      </c>
      <c r="U46" s="40">
        <v>8393</v>
      </c>
      <c r="V46" s="39">
        <v>8504</v>
      </c>
      <c r="W46" s="40">
        <v>8624</v>
      </c>
      <c r="X46" s="39">
        <v>8728</v>
      </c>
    </row>
    <row r="47" spans="1:24" ht="16.5" customHeight="1" x14ac:dyDescent="0.2">
      <c r="A47" s="96" t="s">
        <v>38</v>
      </c>
      <c r="B47" s="38" t="s">
        <v>54</v>
      </c>
      <c r="C47" s="39">
        <v>0</v>
      </c>
      <c r="D47" s="40">
        <v>0</v>
      </c>
      <c r="E47" s="39">
        <v>0</v>
      </c>
      <c r="F47" s="40">
        <v>0</v>
      </c>
      <c r="G47" s="39">
        <v>0</v>
      </c>
      <c r="H47" s="40">
        <v>0</v>
      </c>
      <c r="I47" s="39">
        <v>0</v>
      </c>
      <c r="J47" s="40">
        <v>0</v>
      </c>
      <c r="K47" s="39">
        <v>0</v>
      </c>
      <c r="L47" s="40">
        <v>0</v>
      </c>
      <c r="M47" s="39">
        <v>0</v>
      </c>
      <c r="N47" s="40">
        <v>0</v>
      </c>
      <c r="O47" s="39">
        <v>0</v>
      </c>
      <c r="P47" s="40">
        <v>0</v>
      </c>
      <c r="Q47" s="39">
        <v>0</v>
      </c>
      <c r="R47" s="40">
        <v>0</v>
      </c>
      <c r="S47" s="39">
        <v>0</v>
      </c>
      <c r="T47" s="40">
        <v>0</v>
      </c>
      <c r="U47" s="39">
        <v>0</v>
      </c>
      <c r="V47" s="40">
        <v>0</v>
      </c>
      <c r="W47" s="39">
        <v>0</v>
      </c>
      <c r="X47" s="40">
        <v>0</v>
      </c>
    </row>
    <row r="48" spans="1:24" ht="16.5" customHeight="1" x14ac:dyDescent="0.2">
      <c r="A48" s="97"/>
      <c r="B48" s="38" t="s">
        <v>55</v>
      </c>
      <c r="C48" s="39">
        <v>0</v>
      </c>
      <c r="D48" s="40">
        <v>0</v>
      </c>
      <c r="E48" s="39">
        <v>0</v>
      </c>
      <c r="F48" s="40">
        <v>0</v>
      </c>
      <c r="G48" s="39">
        <v>0</v>
      </c>
      <c r="H48" s="40">
        <v>0</v>
      </c>
      <c r="I48" s="39">
        <v>0</v>
      </c>
      <c r="J48" s="40">
        <v>0</v>
      </c>
      <c r="K48" s="39">
        <v>0</v>
      </c>
      <c r="L48" s="40">
        <v>0</v>
      </c>
      <c r="M48" s="39">
        <v>0</v>
      </c>
      <c r="N48" s="40">
        <v>0</v>
      </c>
      <c r="O48" s="39">
        <v>0</v>
      </c>
      <c r="P48" s="40">
        <v>0</v>
      </c>
      <c r="Q48" s="39">
        <v>0</v>
      </c>
      <c r="R48" s="40">
        <v>0</v>
      </c>
      <c r="S48" s="39">
        <v>0</v>
      </c>
      <c r="T48" s="40">
        <v>0</v>
      </c>
      <c r="U48" s="39">
        <v>0</v>
      </c>
      <c r="V48" s="40">
        <v>0</v>
      </c>
      <c r="W48" s="39">
        <v>0</v>
      </c>
      <c r="X48" s="40">
        <v>0</v>
      </c>
    </row>
    <row r="49" spans="1:24" ht="16.5" customHeight="1" x14ac:dyDescent="0.2">
      <c r="A49" s="97"/>
      <c r="B49" s="38" t="s">
        <v>17</v>
      </c>
      <c r="C49" s="39">
        <v>0</v>
      </c>
      <c r="D49" s="40">
        <v>0</v>
      </c>
      <c r="E49" s="39">
        <v>0</v>
      </c>
      <c r="F49" s="40">
        <v>0</v>
      </c>
      <c r="G49" s="39">
        <v>0</v>
      </c>
      <c r="H49" s="40">
        <v>0</v>
      </c>
      <c r="I49" s="39">
        <v>0</v>
      </c>
      <c r="J49" s="40">
        <v>0</v>
      </c>
      <c r="K49" s="39">
        <v>0</v>
      </c>
      <c r="L49" s="40">
        <v>0</v>
      </c>
      <c r="M49" s="39">
        <v>0</v>
      </c>
      <c r="N49" s="40">
        <v>0</v>
      </c>
      <c r="O49" s="39">
        <v>0</v>
      </c>
      <c r="P49" s="40">
        <v>0</v>
      </c>
      <c r="Q49" s="39">
        <v>0</v>
      </c>
      <c r="R49" s="40">
        <v>0</v>
      </c>
      <c r="S49" s="39">
        <v>0</v>
      </c>
      <c r="T49" s="40">
        <v>0</v>
      </c>
      <c r="U49" s="39">
        <v>0</v>
      </c>
      <c r="V49" s="40">
        <v>0</v>
      </c>
      <c r="W49" s="39">
        <v>0</v>
      </c>
      <c r="X49" s="40">
        <v>0</v>
      </c>
    </row>
    <row r="50" spans="1:24" ht="16.5" customHeight="1" x14ac:dyDescent="0.2">
      <c r="A50" s="97"/>
      <c r="B50" s="38" t="s">
        <v>44</v>
      </c>
      <c r="C50" s="39">
        <v>5479.8509222296216</v>
      </c>
      <c r="D50" s="40">
        <v>4519.2490194991815</v>
      </c>
      <c r="E50" s="39">
        <v>4499.2625415516104</v>
      </c>
      <c r="F50" s="40">
        <v>4510.225491448331</v>
      </c>
      <c r="G50" s="39">
        <v>4512.0585009451297</v>
      </c>
      <c r="H50" s="40">
        <v>4515.2914943592505</v>
      </c>
      <c r="I50" s="39">
        <v>0</v>
      </c>
      <c r="J50" s="40">
        <v>0</v>
      </c>
      <c r="K50" s="39">
        <v>0</v>
      </c>
      <c r="L50" s="40">
        <v>0</v>
      </c>
      <c r="M50" s="39">
        <v>0</v>
      </c>
      <c r="N50" s="40">
        <v>0</v>
      </c>
      <c r="O50" s="39">
        <v>0</v>
      </c>
      <c r="P50" s="40">
        <v>0</v>
      </c>
      <c r="Q50" s="39">
        <v>0</v>
      </c>
      <c r="R50" s="40">
        <v>0</v>
      </c>
      <c r="S50" s="39">
        <v>0</v>
      </c>
      <c r="T50" s="40">
        <v>0</v>
      </c>
      <c r="U50" s="39">
        <v>0</v>
      </c>
      <c r="V50" s="40">
        <v>0</v>
      </c>
      <c r="W50" s="39">
        <v>0</v>
      </c>
      <c r="X50" s="40">
        <v>0</v>
      </c>
    </row>
    <row r="51" spans="1:24" ht="16.5" customHeight="1" x14ac:dyDescent="0.2">
      <c r="A51" s="97"/>
      <c r="B51" s="38" t="s">
        <v>56</v>
      </c>
      <c r="C51" s="39">
        <v>853.87134964609004</v>
      </c>
      <c r="D51" s="40">
        <v>373.53151783953001</v>
      </c>
      <c r="E51" s="39">
        <v>361.91495959736005</v>
      </c>
      <c r="F51" s="40">
        <v>50.764516241430002</v>
      </c>
      <c r="G51" s="39">
        <v>93.347851373019992</v>
      </c>
      <c r="H51" s="40">
        <v>67.463531467579998</v>
      </c>
      <c r="I51" s="39">
        <v>76.042161744720005</v>
      </c>
      <c r="J51" s="40">
        <v>134.47814165495998</v>
      </c>
      <c r="K51" s="39">
        <v>217.83628180287997</v>
      </c>
      <c r="L51" s="40">
        <v>47.045615128270001</v>
      </c>
      <c r="M51" s="39">
        <v>186.02248090344</v>
      </c>
      <c r="N51" s="40">
        <v>351.59462308661</v>
      </c>
      <c r="O51" s="39">
        <v>119.52548499608</v>
      </c>
      <c r="P51" s="40">
        <v>189.96683717480002</v>
      </c>
      <c r="Q51" s="39">
        <v>407.06851713705993</v>
      </c>
      <c r="R51" s="40">
        <v>558.38259482700994</v>
      </c>
      <c r="S51" s="39">
        <v>681.06660773477995</v>
      </c>
      <c r="T51" s="40">
        <v>636.01257350719993</v>
      </c>
      <c r="U51" s="39">
        <v>692.4330375113999</v>
      </c>
      <c r="V51" s="40">
        <v>595.89099943130009</v>
      </c>
      <c r="W51" s="39">
        <v>618.27605644026005</v>
      </c>
      <c r="X51" s="40">
        <v>605.27428021275898</v>
      </c>
    </row>
    <row r="52" spans="1:24" ht="16.5" customHeight="1" x14ac:dyDescent="0.2">
      <c r="A52" s="97"/>
      <c r="B52" s="38" t="s">
        <v>18</v>
      </c>
      <c r="C52" s="39">
        <v>6665</v>
      </c>
      <c r="D52" s="40">
        <v>6510</v>
      </c>
      <c r="E52" s="39">
        <v>6364</v>
      </c>
      <c r="F52" s="40">
        <v>6344</v>
      </c>
      <c r="G52" s="39">
        <v>6470</v>
      </c>
      <c r="H52" s="40">
        <v>6415</v>
      </c>
      <c r="I52" s="39">
        <v>6678</v>
      </c>
      <c r="J52" s="40">
        <v>6615</v>
      </c>
      <c r="K52" s="39">
        <v>6597</v>
      </c>
      <c r="L52" s="40">
        <v>6472</v>
      </c>
      <c r="M52" s="39">
        <v>6623</v>
      </c>
      <c r="N52" s="40">
        <v>6522</v>
      </c>
      <c r="O52" s="39">
        <v>6424</v>
      </c>
      <c r="P52" s="40">
        <v>6404</v>
      </c>
      <c r="Q52" s="39">
        <v>6211</v>
      </c>
      <c r="R52" s="40">
        <v>6309</v>
      </c>
      <c r="S52" s="39">
        <v>6305</v>
      </c>
      <c r="T52" s="40">
        <v>6171</v>
      </c>
      <c r="U52" s="39">
        <v>6778</v>
      </c>
      <c r="V52" s="40">
        <v>6693</v>
      </c>
      <c r="W52" s="39">
        <v>7055</v>
      </c>
      <c r="X52" s="40">
        <v>7533</v>
      </c>
    </row>
    <row r="53" spans="1:24" ht="16.5" customHeight="1" x14ac:dyDescent="0.2">
      <c r="A53" s="97"/>
      <c r="B53" s="38" t="s">
        <v>57</v>
      </c>
      <c r="C53" s="39">
        <v>413</v>
      </c>
      <c r="D53" s="40">
        <v>1263</v>
      </c>
      <c r="E53" s="39">
        <v>1257</v>
      </c>
      <c r="F53" s="40">
        <v>1254</v>
      </c>
      <c r="G53" s="39">
        <v>1468</v>
      </c>
      <c r="H53" s="40">
        <v>1470</v>
      </c>
      <c r="I53" s="39">
        <v>2870</v>
      </c>
      <c r="J53" s="40">
        <v>3562</v>
      </c>
      <c r="K53" s="39">
        <v>3565</v>
      </c>
      <c r="L53" s="40">
        <v>3562</v>
      </c>
      <c r="M53" s="39">
        <v>3558</v>
      </c>
      <c r="N53" s="40">
        <v>3559</v>
      </c>
      <c r="O53" s="39">
        <v>3558</v>
      </c>
      <c r="P53" s="40">
        <v>3567</v>
      </c>
      <c r="Q53" s="39">
        <v>6148</v>
      </c>
      <c r="R53" s="40">
        <v>6180</v>
      </c>
      <c r="S53" s="39">
        <v>6144</v>
      </c>
      <c r="T53" s="40">
        <v>6985</v>
      </c>
      <c r="U53" s="39">
        <v>7909</v>
      </c>
      <c r="V53" s="40">
        <v>8418</v>
      </c>
      <c r="W53" s="39">
        <v>8409</v>
      </c>
      <c r="X53" s="40">
        <v>8457</v>
      </c>
    </row>
    <row r="54" spans="1:24" ht="16.5" customHeight="1" x14ac:dyDescent="0.2">
      <c r="A54" s="97"/>
      <c r="B54" s="38" t="s">
        <v>65</v>
      </c>
      <c r="C54" s="39">
        <v>-10.215390000449521</v>
      </c>
      <c r="D54" s="40">
        <v>-20.137993085116236</v>
      </c>
      <c r="E54" s="39">
        <v>-33.221308984689415</v>
      </c>
      <c r="F54" s="40">
        <v>-50.043584417764905</v>
      </c>
      <c r="G54" s="39">
        <v>-68.501110151995618</v>
      </c>
      <c r="H54" s="40">
        <v>-85.361812994401973</v>
      </c>
      <c r="I54" s="39">
        <v>-104.36933851888713</v>
      </c>
      <c r="J54" s="40">
        <v>-121.90428418821186</v>
      </c>
      <c r="K54" s="39">
        <v>-139.12987190188221</v>
      </c>
      <c r="L54" s="40">
        <v>-158.32191336863642</v>
      </c>
      <c r="M54" s="39">
        <v>-176.20271008769157</v>
      </c>
      <c r="N54" s="40">
        <v>-192.8127395778065</v>
      </c>
      <c r="O54" s="39">
        <v>-210.1182284157307</v>
      </c>
      <c r="P54" s="40">
        <v>-227.87861682908726</v>
      </c>
      <c r="Q54" s="39">
        <v>-242.81062862088999</v>
      </c>
      <c r="R54" s="40">
        <v>-255.24221255051529</v>
      </c>
      <c r="S54" s="39">
        <v>-267.16448602828348</v>
      </c>
      <c r="T54" s="40">
        <v>-279.13894095501587</v>
      </c>
      <c r="U54" s="39">
        <v>-289.65594252283103</v>
      </c>
      <c r="V54" s="40">
        <v>-301.33552118714158</v>
      </c>
      <c r="W54" s="39">
        <v>-311.91800675825289</v>
      </c>
      <c r="X54" s="40">
        <v>-323.66940570331133</v>
      </c>
    </row>
    <row r="55" spans="1:24" ht="16.5" customHeight="1" x14ac:dyDescent="0.2">
      <c r="A55" s="97"/>
      <c r="B55" s="38" t="s">
        <v>66</v>
      </c>
      <c r="C55" s="39">
        <v>23</v>
      </c>
      <c r="D55" s="40">
        <v>24</v>
      </c>
      <c r="E55" s="39">
        <v>20</v>
      </c>
      <c r="F55" s="40">
        <v>28</v>
      </c>
      <c r="G55" s="39">
        <v>36</v>
      </c>
      <c r="H55" s="40">
        <v>39</v>
      </c>
      <c r="I55" s="39">
        <v>729</v>
      </c>
      <c r="J55" s="40">
        <v>1093</v>
      </c>
      <c r="K55" s="39">
        <v>1154</v>
      </c>
      <c r="L55" s="40">
        <v>1107</v>
      </c>
      <c r="M55" s="39">
        <v>1408</v>
      </c>
      <c r="N55" s="40">
        <v>1441</v>
      </c>
      <c r="O55" s="39">
        <v>1466</v>
      </c>
      <c r="P55" s="40">
        <v>1522</v>
      </c>
      <c r="Q55" s="39">
        <v>2565</v>
      </c>
      <c r="R55" s="40">
        <v>2556</v>
      </c>
      <c r="S55" s="39">
        <v>2621</v>
      </c>
      <c r="T55" s="40">
        <v>2908</v>
      </c>
      <c r="U55" s="39">
        <v>2970</v>
      </c>
      <c r="V55" s="40">
        <v>3171</v>
      </c>
      <c r="W55" s="39">
        <v>3225</v>
      </c>
      <c r="X55" s="40">
        <v>3257</v>
      </c>
    </row>
    <row r="56" spans="1:24" ht="16.5" customHeight="1" x14ac:dyDescent="0.2">
      <c r="A56" s="97"/>
      <c r="B56" s="38" t="s">
        <v>59</v>
      </c>
      <c r="C56" s="39">
        <v>0</v>
      </c>
      <c r="D56" s="40">
        <v>0</v>
      </c>
      <c r="E56" s="39">
        <v>0</v>
      </c>
      <c r="F56" s="40">
        <v>0</v>
      </c>
      <c r="G56" s="39">
        <v>0</v>
      </c>
      <c r="H56" s="40">
        <v>0</v>
      </c>
      <c r="I56" s="39">
        <v>0</v>
      </c>
      <c r="J56" s="40">
        <v>0</v>
      </c>
      <c r="K56" s="39">
        <v>0</v>
      </c>
      <c r="L56" s="40">
        <v>0</v>
      </c>
      <c r="M56" s="39">
        <v>0</v>
      </c>
      <c r="N56" s="40">
        <v>0</v>
      </c>
      <c r="O56" s="39">
        <v>0</v>
      </c>
      <c r="P56" s="40">
        <v>0</v>
      </c>
      <c r="Q56" s="39">
        <v>0</v>
      </c>
      <c r="R56" s="40">
        <v>0</v>
      </c>
      <c r="S56" s="39">
        <v>0</v>
      </c>
      <c r="T56" s="40">
        <v>0</v>
      </c>
      <c r="U56" s="39">
        <v>438</v>
      </c>
      <c r="V56" s="40">
        <v>438</v>
      </c>
      <c r="W56" s="39">
        <v>438</v>
      </c>
      <c r="X56" s="40">
        <v>439</v>
      </c>
    </row>
    <row r="57" spans="1:24" ht="16.5" customHeight="1" x14ac:dyDescent="0.2">
      <c r="A57" s="97"/>
      <c r="B57" s="38" t="s">
        <v>67</v>
      </c>
      <c r="C57" s="39">
        <v>-28.75</v>
      </c>
      <c r="D57" s="40">
        <v>-30</v>
      </c>
      <c r="E57" s="39">
        <v>-25</v>
      </c>
      <c r="F57" s="40">
        <v>-35</v>
      </c>
      <c r="G57" s="39">
        <v>-45</v>
      </c>
      <c r="H57" s="40">
        <v>-48.75</v>
      </c>
      <c r="I57" s="39">
        <v>-911.25</v>
      </c>
      <c r="J57" s="40">
        <v>-1366.25</v>
      </c>
      <c r="K57" s="39">
        <v>-1442.5</v>
      </c>
      <c r="L57" s="40">
        <v>-1383.75</v>
      </c>
      <c r="M57" s="39">
        <v>-1760</v>
      </c>
      <c r="N57" s="40">
        <v>-1801.25</v>
      </c>
      <c r="O57" s="39">
        <v>-1832.5</v>
      </c>
      <c r="P57" s="40">
        <v>-1902.5</v>
      </c>
      <c r="Q57" s="39">
        <v>-3206.25</v>
      </c>
      <c r="R57" s="40">
        <v>-3195</v>
      </c>
      <c r="S57" s="39">
        <v>-3276.25</v>
      </c>
      <c r="T57" s="40">
        <v>-3635</v>
      </c>
      <c r="U57" s="39">
        <v>-3712.5</v>
      </c>
      <c r="V57" s="40">
        <v>-3963.75</v>
      </c>
      <c r="W57" s="39">
        <v>-4031.25</v>
      </c>
      <c r="X57" s="40">
        <v>-4071.25</v>
      </c>
    </row>
    <row r="58" spans="1:24" ht="16.5" customHeight="1" x14ac:dyDescent="0.2">
      <c r="A58" s="97"/>
      <c r="B58" s="38" t="s">
        <v>68</v>
      </c>
      <c r="C58" s="39">
        <v>9.1938510004045693</v>
      </c>
      <c r="D58" s="40">
        <v>18.124193776604614</v>
      </c>
      <c r="E58" s="39">
        <v>29.899178086220473</v>
      </c>
      <c r="F58" s="40">
        <v>45.039225975988415</v>
      </c>
      <c r="G58" s="39">
        <v>61.650999136796059</v>
      </c>
      <c r="H58" s="40">
        <v>76.825631694961771</v>
      </c>
      <c r="I58" s="39">
        <v>93.932404666998423</v>
      </c>
      <c r="J58" s="40">
        <v>109.71385576939068</v>
      </c>
      <c r="K58" s="39">
        <v>125.21688471169399</v>
      </c>
      <c r="L58" s="40">
        <v>142.48972203177277</v>
      </c>
      <c r="M58" s="39">
        <v>158.58243907892242</v>
      </c>
      <c r="N58" s="40">
        <v>173.53146562002584</v>
      </c>
      <c r="O58" s="39">
        <v>189.10640557415763</v>
      </c>
      <c r="P58" s="40">
        <v>205.09075514617854</v>
      </c>
      <c r="Q58" s="39">
        <v>218.529565758801</v>
      </c>
      <c r="R58" s="40">
        <v>229.71799129546378</v>
      </c>
      <c r="S58" s="39">
        <v>240.44803742545514</v>
      </c>
      <c r="T58" s="40">
        <v>251.22504685951429</v>
      </c>
      <c r="U58" s="39">
        <v>260.69034827054793</v>
      </c>
      <c r="V58" s="40">
        <v>271.20196906842745</v>
      </c>
      <c r="W58" s="39">
        <v>280.72620608242761</v>
      </c>
      <c r="X58" s="40">
        <v>291.30246513298022</v>
      </c>
    </row>
    <row r="59" spans="1:24" ht="16.5" customHeight="1" thickBot="1" x14ac:dyDescent="0.25">
      <c r="A59" s="98"/>
      <c r="B59" s="38" t="s">
        <v>41</v>
      </c>
      <c r="C59" s="39">
        <v>1285</v>
      </c>
      <c r="D59" s="40">
        <v>1390</v>
      </c>
      <c r="E59" s="39">
        <v>1504</v>
      </c>
      <c r="F59" s="40">
        <v>1460</v>
      </c>
      <c r="G59" s="39">
        <v>1251</v>
      </c>
      <c r="H59" s="40">
        <v>1857</v>
      </c>
      <c r="I59" s="39">
        <v>1976</v>
      </c>
      <c r="J59" s="40">
        <v>2085</v>
      </c>
      <c r="K59" s="39">
        <v>2201</v>
      </c>
      <c r="L59" s="40">
        <v>2333</v>
      </c>
      <c r="M59" s="39">
        <v>2450</v>
      </c>
      <c r="N59" s="40">
        <v>2566</v>
      </c>
      <c r="O59" s="39">
        <v>2672</v>
      </c>
      <c r="P59" s="40">
        <v>2790</v>
      </c>
      <c r="Q59" s="39">
        <v>2900</v>
      </c>
      <c r="R59" s="40">
        <v>3002</v>
      </c>
      <c r="S59" s="39">
        <v>3096</v>
      </c>
      <c r="T59" s="40">
        <v>3195</v>
      </c>
      <c r="U59" s="39">
        <v>3275</v>
      </c>
      <c r="V59" s="40">
        <v>3360</v>
      </c>
      <c r="W59" s="39">
        <v>3447</v>
      </c>
      <c r="X59" s="40">
        <v>3525</v>
      </c>
    </row>
    <row r="60" spans="1:24" ht="16.5" customHeight="1" x14ac:dyDescent="0.2">
      <c r="A60" s="99" t="s">
        <v>37</v>
      </c>
      <c r="B60" s="47" t="s">
        <v>54</v>
      </c>
      <c r="C60" s="40">
        <v>0</v>
      </c>
      <c r="D60" s="39">
        <v>0</v>
      </c>
      <c r="E60" s="40">
        <v>0</v>
      </c>
      <c r="F60" s="39">
        <v>0</v>
      </c>
      <c r="G60" s="40">
        <v>0</v>
      </c>
      <c r="H60" s="39">
        <v>0</v>
      </c>
      <c r="I60" s="40">
        <v>0</v>
      </c>
      <c r="J60" s="39">
        <v>0</v>
      </c>
      <c r="K60" s="40">
        <v>0</v>
      </c>
      <c r="L60" s="39">
        <v>0</v>
      </c>
      <c r="M60" s="40">
        <v>0</v>
      </c>
      <c r="N60" s="39">
        <v>0</v>
      </c>
      <c r="O60" s="40">
        <v>0</v>
      </c>
      <c r="P60" s="39">
        <v>0</v>
      </c>
      <c r="Q60" s="40">
        <v>0</v>
      </c>
      <c r="R60" s="39">
        <v>0</v>
      </c>
      <c r="S60" s="40">
        <v>0</v>
      </c>
      <c r="T60" s="39">
        <v>0</v>
      </c>
      <c r="U60" s="40">
        <v>0</v>
      </c>
      <c r="V60" s="39">
        <v>0</v>
      </c>
      <c r="W60" s="40">
        <v>0</v>
      </c>
      <c r="X60" s="39">
        <v>0</v>
      </c>
    </row>
    <row r="61" spans="1:24" ht="16.5" customHeight="1" x14ac:dyDescent="0.2">
      <c r="A61" s="100"/>
      <c r="B61" s="47" t="s">
        <v>55</v>
      </c>
      <c r="C61" s="40">
        <v>32184</v>
      </c>
      <c r="D61" s="39">
        <v>32194</v>
      </c>
      <c r="E61" s="40">
        <v>32259</v>
      </c>
      <c r="F61" s="39">
        <v>32543</v>
      </c>
      <c r="G61" s="40">
        <v>30095</v>
      </c>
      <c r="H61" s="39">
        <v>29986</v>
      </c>
      <c r="I61" s="40">
        <v>32528</v>
      </c>
      <c r="J61" s="39">
        <v>32484</v>
      </c>
      <c r="K61" s="40">
        <v>28718</v>
      </c>
      <c r="L61" s="39">
        <v>32338</v>
      </c>
      <c r="M61" s="40">
        <v>28664</v>
      </c>
      <c r="N61" s="39">
        <v>28591</v>
      </c>
      <c r="O61" s="40">
        <v>31990</v>
      </c>
      <c r="P61" s="39">
        <v>32039</v>
      </c>
      <c r="Q61" s="40">
        <v>22101</v>
      </c>
      <c r="R61" s="39">
        <v>22106</v>
      </c>
      <c r="S61" s="40">
        <v>21974</v>
      </c>
      <c r="T61" s="39">
        <v>21915</v>
      </c>
      <c r="U61" s="40">
        <v>18215</v>
      </c>
      <c r="V61" s="39">
        <v>21830</v>
      </c>
      <c r="W61" s="40">
        <v>18175</v>
      </c>
      <c r="X61" s="39">
        <v>18147</v>
      </c>
    </row>
    <row r="62" spans="1:24" ht="16.5" customHeight="1" x14ac:dyDescent="0.2">
      <c r="A62" s="100"/>
      <c r="B62" s="47" t="s">
        <v>17</v>
      </c>
      <c r="C62" s="40">
        <v>3363</v>
      </c>
      <c r="D62" s="39">
        <v>3372</v>
      </c>
      <c r="E62" s="40">
        <v>3363</v>
      </c>
      <c r="F62" s="39">
        <v>3363</v>
      </c>
      <c r="G62" s="40">
        <v>3363</v>
      </c>
      <c r="H62" s="39">
        <v>3372</v>
      </c>
      <c r="I62" s="40">
        <v>3363</v>
      </c>
      <c r="J62" s="39">
        <v>3363</v>
      </c>
      <c r="K62" s="40">
        <v>3363</v>
      </c>
      <c r="L62" s="39">
        <v>3372</v>
      </c>
      <c r="M62" s="40">
        <v>3363</v>
      </c>
      <c r="N62" s="39">
        <v>3363</v>
      </c>
      <c r="O62" s="40">
        <v>3363</v>
      </c>
      <c r="P62" s="39">
        <v>3372</v>
      </c>
      <c r="Q62" s="40">
        <v>3363</v>
      </c>
      <c r="R62" s="39">
        <v>3363</v>
      </c>
      <c r="S62" s="40">
        <v>3363</v>
      </c>
      <c r="T62" s="39">
        <v>3372</v>
      </c>
      <c r="U62" s="40">
        <v>3363</v>
      </c>
      <c r="V62" s="39">
        <v>3363</v>
      </c>
      <c r="W62" s="40">
        <v>3363</v>
      </c>
      <c r="X62" s="39">
        <v>3372</v>
      </c>
    </row>
    <row r="63" spans="1:24" ht="16.5" customHeight="1" x14ac:dyDescent="0.2">
      <c r="A63" s="100"/>
      <c r="B63" s="47" t="s">
        <v>44</v>
      </c>
      <c r="C63" s="40">
        <v>482</v>
      </c>
      <c r="D63" s="39">
        <v>68</v>
      </c>
      <c r="E63" s="40">
        <v>59</v>
      </c>
      <c r="F63" s="39">
        <v>61</v>
      </c>
      <c r="G63" s="40">
        <v>93</v>
      </c>
      <c r="H63" s="39">
        <v>62</v>
      </c>
      <c r="I63" s="40">
        <v>53</v>
      </c>
      <c r="J63" s="39">
        <v>43</v>
      </c>
      <c r="K63" s="40">
        <v>91</v>
      </c>
      <c r="L63" s="39">
        <v>27</v>
      </c>
      <c r="M63" s="40">
        <v>89</v>
      </c>
      <c r="N63" s="39">
        <v>168</v>
      </c>
      <c r="O63" s="40">
        <v>49</v>
      </c>
      <c r="P63" s="39">
        <v>0</v>
      </c>
      <c r="Q63" s="40">
        <v>0</v>
      </c>
      <c r="R63" s="39">
        <v>0</v>
      </c>
      <c r="S63" s="40">
        <v>0</v>
      </c>
      <c r="T63" s="39">
        <v>0</v>
      </c>
      <c r="U63" s="40">
        <v>0</v>
      </c>
      <c r="V63" s="39">
        <v>0</v>
      </c>
      <c r="W63" s="40">
        <v>0</v>
      </c>
      <c r="X63" s="39">
        <v>0</v>
      </c>
    </row>
    <row r="64" spans="1:24" ht="16.5" customHeight="1" x14ac:dyDescent="0.2">
      <c r="A64" s="100"/>
      <c r="B64" s="47" t="s">
        <v>56</v>
      </c>
      <c r="C64" s="40">
        <v>207</v>
      </c>
      <c r="D64" s="39">
        <v>105</v>
      </c>
      <c r="E64" s="40">
        <v>79</v>
      </c>
      <c r="F64" s="39">
        <v>74</v>
      </c>
      <c r="G64" s="40">
        <v>115</v>
      </c>
      <c r="H64" s="39">
        <v>86</v>
      </c>
      <c r="I64" s="40">
        <v>74</v>
      </c>
      <c r="J64" s="39">
        <v>117</v>
      </c>
      <c r="K64" s="40">
        <v>215</v>
      </c>
      <c r="L64" s="39">
        <v>64</v>
      </c>
      <c r="M64" s="40">
        <v>107</v>
      </c>
      <c r="N64" s="39">
        <v>160</v>
      </c>
      <c r="O64" s="40">
        <v>61</v>
      </c>
      <c r="P64" s="39">
        <v>95</v>
      </c>
      <c r="Q64" s="40">
        <v>301</v>
      </c>
      <c r="R64" s="39">
        <v>240</v>
      </c>
      <c r="S64" s="40">
        <v>523</v>
      </c>
      <c r="T64" s="39">
        <v>813</v>
      </c>
      <c r="U64" s="40">
        <v>1273</v>
      </c>
      <c r="V64" s="39">
        <v>741</v>
      </c>
      <c r="W64" s="40">
        <v>1567</v>
      </c>
      <c r="X64" s="39">
        <v>1463</v>
      </c>
    </row>
    <row r="65" spans="1:24" ht="16.5" customHeight="1" x14ac:dyDescent="0.2">
      <c r="A65" s="100"/>
      <c r="B65" s="47" t="s">
        <v>18</v>
      </c>
      <c r="C65" s="40">
        <v>5437</v>
      </c>
      <c r="D65" s="39">
        <v>9064</v>
      </c>
      <c r="E65" s="40">
        <v>11142</v>
      </c>
      <c r="F65" s="39">
        <v>12229</v>
      </c>
      <c r="G65" s="40">
        <v>13625</v>
      </c>
      <c r="H65" s="39">
        <v>15455</v>
      </c>
      <c r="I65" s="40">
        <v>16848</v>
      </c>
      <c r="J65" s="39">
        <v>16754</v>
      </c>
      <c r="K65" s="40">
        <v>17283</v>
      </c>
      <c r="L65" s="39">
        <v>16526</v>
      </c>
      <c r="M65" s="40">
        <v>17350</v>
      </c>
      <c r="N65" s="39">
        <v>17042</v>
      </c>
      <c r="O65" s="40">
        <v>16538</v>
      </c>
      <c r="P65" s="39">
        <v>16586</v>
      </c>
      <c r="Q65" s="40">
        <v>17294</v>
      </c>
      <c r="R65" s="39">
        <v>17543</v>
      </c>
      <c r="S65" s="40">
        <v>18805</v>
      </c>
      <c r="T65" s="39">
        <v>18320</v>
      </c>
      <c r="U65" s="40">
        <v>18886</v>
      </c>
      <c r="V65" s="39">
        <v>18632</v>
      </c>
      <c r="W65" s="40">
        <v>18783</v>
      </c>
      <c r="X65" s="39">
        <v>19251</v>
      </c>
    </row>
    <row r="66" spans="1:24" ht="16.5" customHeight="1" x14ac:dyDescent="0.2">
      <c r="A66" s="100"/>
      <c r="B66" s="47" t="s">
        <v>57</v>
      </c>
      <c r="C66" s="40">
        <v>862</v>
      </c>
      <c r="D66" s="39">
        <v>1195</v>
      </c>
      <c r="E66" s="40">
        <v>1193</v>
      </c>
      <c r="F66" s="39">
        <v>1308</v>
      </c>
      <c r="G66" s="40">
        <v>1704</v>
      </c>
      <c r="H66" s="39">
        <v>3151</v>
      </c>
      <c r="I66" s="40">
        <v>3561</v>
      </c>
      <c r="J66" s="39">
        <v>3570</v>
      </c>
      <c r="K66" s="40">
        <v>3558</v>
      </c>
      <c r="L66" s="39">
        <v>3560</v>
      </c>
      <c r="M66" s="40">
        <v>3538</v>
      </c>
      <c r="N66" s="39">
        <v>3545</v>
      </c>
      <c r="O66" s="40">
        <v>3557</v>
      </c>
      <c r="P66" s="39">
        <v>3561</v>
      </c>
      <c r="Q66" s="40">
        <v>3539</v>
      </c>
      <c r="R66" s="39">
        <v>3537</v>
      </c>
      <c r="S66" s="40">
        <v>3793</v>
      </c>
      <c r="T66" s="39">
        <v>4168</v>
      </c>
      <c r="U66" s="40">
        <v>6731</v>
      </c>
      <c r="V66" s="39">
        <v>6736</v>
      </c>
      <c r="W66" s="40">
        <v>6673</v>
      </c>
      <c r="X66" s="39">
        <v>6649</v>
      </c>
    </row>
    <row r="67" spans="1:24" ht="16.5" customHeight="1" x14ac:dyDescent="0.2">
      <c r="A67" s="100"/>
      <c r="B67" s="47" t="s">
        <v>65</v>
      </c>
      <c r="C67" s="40">
        <v>-31.781047887327034</v>
      </c>
      <c r="D67" s="39">
        <v>-66.835272876859392</v>
      </c>
      <c r="E67" s="40">
        <v>-101.13679010156187</v>
      </c>
      <c r="F67" s="39">
        <v>-138.77413563097761</v>
      </c>
      <c r="G67" s="40">
        <v>-192.86673925243912</v>
      </c>
      <c r="H67" s="39">
        <v>-224.47931324772128</v>
      </c>
      <c r="I67" s="40">
        <v>-262.04595589336418</v>
      </c>
      <c r="J67" s="39">
        <v>-296.16814016095441</v>
      </c>
      <c r="K67" s="40">
        <v>-330.56008410703652</v>
      </c>
      <c r="L67" s="39">
        <v>-361.65656534476614</v>
      </c>
      <c r="M67" s="40">
        <v>-396.63898373550296</v>
      </c>
      <c r="N67" s="39">
        <v>-427.07269164490361</v>
      </c>
      <c r="O67" s="40">
        <v>-459.67393802242947</v>
      </c>
      <c r="P67" s="39">
        <v>-496.70896901323277</v>
      </c>
      <c r="Q67" s="40">
        <v>-523.41583667559689</v>
      </c>
      <c r="R67" s="39">
        <v>-553.54869053854713</v>
      </c>
      <c r="S67" s="40">
        <v>-582.83621372394293</v>
      </c>
      <c r="T67" s="39">
        <v>-610.31204324147404</v>
      </c>
      <c r="U67" s="40">
        <v>-635.92034543738009</v>
      </c>
      <c r="V67" s="39">
        <v>-660.98419610883286</v>
      </c>
      <c r="W67" s="40">
        <v>-683.1965582728493</v>
      </c>
      <c r="X67" s="39">
        <v>-707.27263924692147</v>
      </c>
    </row>
    <row r="68" spans="1:24" ht="16.5" customHeight="1" x14ac:dyDescent="0.2">
      <c r="A68" s="100"/>
      <c r="B68" s="47" t="s">
        <v>66</v>
      </c>
      <c r="C68" s="40">
        <v>14</v>
      </c>
      <c r="D68" s="39">
        <v>24</v>
      </c>
      <c r="E68" s="40">
        <v>17</v>
      </c>
      <c r="F68" s="39">
        <v>24</v>
      </c>
      <c r="G68" s="40">
        <v>36</v>
      </c>
      <c r="H68" s="39">
        <v>34</v>
      </c>
      <c r="I68" s="40">
        <v>39</v>
      </c>
      <c r="J68" s="39">
        <v>39</v>
      </c>
      <c r="K68" s="40">
        <v>39</v>
      </c>
      <c r="L68" s="39">
        <v>40</v>
      </c>
      <c r="M68" s="40">
        <v>39</v>
      </c>
      <c r="N68" s="39">
        <v>38</v>
      </c>
      <c r="O68" s="40">
        <v>40</v>
      </c>
      <c r="P68" s="39">
        <v>40</v>
      </c>
      <c r="Q68" s="40">
        <v>722</v>
      </c>
      <c r="R68" s="39">
        <v>726</v>
      </c>
      <c r="S68" s="40">
        <v>928</v>
      </c>
      <c r="T68" s="39">
        <v>1184</v>
      </c>
      <c r="U68" s="40">
        <v>2485</v>
      </c>
      <c r="V68" s="39">
        <v>2628</v>
      </c>
      <c r="W68" s="40">
        <v>2731</v>
      </c>
      <c r="X68" s="39">
        <v>2799</v>
      </c>
    </row>
    <row r="69" spans="1:24" ht="16.5" customHeight="1" x14ac:dyDescent="0.2">
      <c r="A69" s="100"/>
      <c r="B69" s="47" t="s">
        <v>59</v>
      </c>
      <c r="C69" s="40">
        <v>0</v>
      </c>
      <c r="D69" s="39">
        <v>0</v>
      </c>
      <c r="E69" s="40">
        <v>0</v>
      </c>
      <c r="F69" s="39">
        <v>0</v>
      </c>
      <c r="G69" s="40">
        <v>0</v>
      </c>
      <c r="H69" s="39">
        <v>0</v>
      </c>
      <c r="I69" s="40">
        <v>0</v>
      </c>
      <c r="J69" s="39">
        <v>0</v>
      </c>
      <c r="K69" s="40">
        <v>0</v>
      </c>
      <c r="L69" s="39">
        <v>0</v>
      </c>
      <c r="M69" s="40">
        <v>0</v>
      </c>
      <c r="N69" s="39">
        <v>0</v>
      </c>
      <c r="O69" s="40">
        <v>0</v>
      </c>
      <c r="P69" s="39">
        <v>0</v>
      </c>
      <c r="Q69" s="40">
        <v>0</v>
      </c>
      <c r="R69" s="39">
        <v>0</v>
      </c>
      <c r="S69" s="40">
        <v>438</v>
      </c>
      <c r="T69" s="39">
        <v>439</v>
      </c>
      <c r="U69" s="40">
        <v>438</v>
      </c>
      <c r="V69" s="39">
        <v>438</v>
      </c>
      <c r="W69" s="40">
        <v>438</v>
      </c>
      <c r="X69" s="39">
        <v>439</v>
      </c>
    </row>
    <row r="70" spans="1:24" ht="16.5" customHeight="1" x14ac:dyDescent="0.2">
      <c r="A70" s="100"/>
      <c r="B70" s="47" t="s">
        <v>67</v>
      </c>
      <c r="C70" s="40">
        <v>-17.5</v>
      </c>
      <c r="D70" s="39">
        <v>-30</v>
      </c>
      <c r="E70" s="40">
        <v>-21.25</v>
      </c>
      <c r="F70" s="39">
        <v>-30</v>
      </c>
      <c r="G70" s="40">
        <v>-45</v>
      </c>
      <c r="H70" s="39">
        <v>-42.5</v>
      </c>
      <c r="I70" s="40">
        <v>-48.75</v>
      </c>
      <c r="J70" s="39">
        <v>-48.75</v>
      </c>
      <c r="K70" s="40">
        <v>-48.75</v>
      </c>
      <c r="L70" s="39">
        <v>-50</v>
      </c>
      <c r="M70" s="40">
        <v>-48.75</v>
      </c>
      <c r="N70" s="39">
        <v>-47.5</v>
      </c>
      <c r="O70" s="40">
        <v>-50</v>
      </c>
      <c r="P70" s="39">
        <v>-50</v>
      </c>
      <c r="Q70" s="40">
        <v>-902.5</v>
      </c>
      <c r="R70" s="39">
        <v>-907.5</v>
      </c>
      <c r="S70" s="40">
        <v>-1160</v>
      </c>
      <c r="T70" s="39">
        <v>-1480</v>
      </c>
      <c r="U70" s="40">
        <v>-3106.25</v>
      </c>
      <c r="V70" s="39">
        <v>-3285</v>
      </c>
      <c r="W70" s="40">
        <v>-3413.75</v>
      </c>
      <c r="X70" s="39">
        <v>-3498.75</v>
      </c>
    </row>
    <row r="71" spans="1:24" ht="16.5" customHeight="1" x14ac:dyDescent="0.2">
      <c r="A71" s="100"/>
      <c r="B71" s="47" t="s">
        <v>68</v>
      </c>
      <c r="C71" s="40">
        <v>28.602943098594331</v>
      </c>
      <c r="D71" s="39">
        <v>60.151745589173458</v>
      </c>
      <c r="E71" s="40">
        <v>91.023111091405681</v>
      </c>
      <c r="F71" s="39">
        <v>124.89672206787985</v>
      </c>
      <c r="G71" s="40">
        <v>173.5800653271952</v>
      </c>
      <c r="H71" s="39">
        <v>202.03138192294915</v>
      </c>
      <c r="I71" s="40">
        <v>235.84136030402777</v>
      </c>
      <c r="J71" s="39">
        <v>266.55132614485899</v>
      </c>
      <c r="K71" s="40">
        <v>297.50407569633285</v>
      </c>
      <c r="L71" s="39">
        <v>325.49090881028951</v>
      </c>
      <c r="M71" s="40">
        <v>356.97508536195267</v>
      </c>
      <c r="N71" s="39">
        <v>384.36542248041326</v>
      </c>
      <c r="O71" s="40">
        <v>413.70654422018652</v>
      </c>
      <c r="P71" s="39">
        <v>447.03807211190951</v>
      </c>
      <c r="Q71" s="40">
        <v>471.0742530080372</v>
      </c>
      <c r="R71" s="39">
        <v>498.19382148469242</v>
      </c>
      <c r="S71" s="40">
        <v>524.5525923515487</v>
      </c>
      <c r="T71" s="39">
        <v>549.28083891732661</v>
      </c>
      <c r="U71" s="40">
        <v>572.32831089364208</v>
      </c>
      <c r="V71" s="39">
        <v>594.88577649794956</v>
      </c>
      <c r="W71" s="40">
        <v>614.87690244556438</v>
      </c>
      <c r="X71" s="39">
        <v>636.54537532222935</v>
      </c>
    </row>
    <row r="72" spans="1:24" ht="16.5" customHeight="1" thickBot="1" x14ac:dyDescent="0.25">
      <c r="A72" s="101"/>
      <c r="B72" s="47" t="s">
        <v>41</v>
      </c>
      <c r="C72" s="40">
        <v>1970</v>
      </c>
      <c r="D72" s="39">
        <v>2286</v>
      </c>
      <c r="E72" s="40">
        <v>2604</v>
      </c>
      <c r="F72" s="39">
        <v>2913</v>
      </c>
      <c r="G72" s="40">
        <v>3212</v>
      </c>
      <c r="H72" s="39">
        <v>3505</v>
      </c>
      <c r="I72" s="40">
        <v>3799</v>
      </c>
      <c r="J72" s="39">
        <v>4056</v>
      </c>
      <c r="K72" s="40">
        <v>4312</v>
      </c>
      <c r="L72" s="39">
        <v>4582</v>
      </c>
      <c r="M72" s="40">
        <v>4803</v>
      </c>
      <c r="N72" s="39">
        <v>4997</v>
      </c>
      <c r="O72" s="40">
        <v>5181</v>
      </c>
      <c r="P72" s="39">
        <v>5366</v>
      </c>
      <c r="Q72" s="40">
        <v>5535</v>
      </c>
      <c r="R72" s="39">
        <v>5689</v>
      </c>
      <c r="S72" s="40">
        <v>5824</v>
      </c>
      <c r="T72" s="39">
        <v>5959</v>
      </c>
      <c r="U72" s="40">
        <v>6065</v>
      </c>
      <c r="V72" s="39">
        <v>6165</v>
      </c>
      <c r="W72" s="40">
        <v>6280</v>
      </c>
      <c r="X72" s="39">
        <v>6381</v>
      </c>
    </row>
    <row r="73" spans="1:24" ht="16.5" customHeight="1" x14ac:dyDescent="0.2">
      <c r="A73" s="96" t="s">
        <v>39</v>
      </c>
      <c r="B73" s="38" t="s">
        <v>54</v>
      </c>
      <c r="C73" s="39">
        <v>0</v>
      </c>
      <c r="D73" s="40">
        <v>0</v>
      </c>
      <c r="E73" s="39">
        <v>0</v>
      </c>
      <c r="F73" s="40">
        <v>0</v>
      </c>
      <c r="G73" s="39">
        <v>0</v>
      </c>
      <c r="H73" s="40">
        <v>0</v>
      </c>
      <c r="I73" s="39">
        <v>0</v>
      </c>
      <c r="J73" s="40">
        <v>0</v>
      </c>
      <c r="K73" s="39">
        <v>0</v>
      </c>
      <c r="L73" s="40">
        <v>0</v>
      </c>
      <c r="M73" s="39">
        <v>0</v>
      </c>
      <c r="N73" s="40">
        <v>0</v>
      </c>
      <c r="O73" s="39">
        <v>0</v>
      </c>
      <c r="P73" s="40">
        <v>0</v>
      </c>
      <c r="Q73" s="39">
        <v>0</v>
      </c>
      <c r="R73" s="40">
        <v>0</v>
      </c>
      <c r="S73" s="39">
        <v>0</v>
      </c>
      <c r="T73" s="40">
        <v>0</v>
      </c>
      <c r="U73" s="39">
        <v>0</v>
      </c>
      <c r="V73" s="40">
        <v>0</v>
      </c>
      <c r="W73" s="39">
        <v>0</v>
      </c>
      <c r="X73" s="40">
        <v>0</v>
      </c>
    </row>
    <row r="74" spans="1:24" ht="16.5" customHeight="1" x14ac:dyDescent="0.2">
      <c r="A74" s="97"/>
      <c r="B74" s="38" t="s">
        <v>55</v>
      </c>
      <c r="C74" s="39">
        <v>0</v>
      </c>
      <c r="D74" s="40">
        <v>0</v>
      </c>
      <c r="E74" s="39">
        <v>0</v>
      </c>
      <c r="F74" s="40">
        <v>0</v>
      </c>
      <c r="G74" s="39">
        <v>0</v>
      </c>
      <c r="H74" s="40">
        <v>0</v>
      </c>
      <c r="I74" s="39">
        <v>0</v>
      </c>
      <c r="J74" s="40">
        <v>0</v>
      </c>
      <c r="K74" s="39">
        <v>0</v>
      </c>
      <c r="L74" s="40">
        <v>0</v>
      </c>
      <c r="M74" s="39">
        <v>0</v>
      </c>
      <c r="N74" s="40">
        <v>0</v>
      </c>
      <c r="O74" s="39">
        <v>0</v>
      </c>
      <c r="P74" s="40">
        <v>0</v>
      </c>
      <c r="Q74" s="39">
        <v>0</v>
      </c>
      <c r="R74" s="40">
        <v>0</v>
      </c>
      <c r="S74" s="39">
        <v>0</v>
      </c>
      <c r="T74" s="40">
        <v>0</v>
      </c>
      <c r="U74" s="39">
        <v>0</v>
      </c>
      <c r="V74" s="40">
        <v>0</v>
      </c>
      <c r="W74" s="39">
        <v>0</v>
      </c>
      <c r="X74" s="40">
        <v>0</v>
      </c>
    </row>
    <row r="75" spans="1:24" ht="16.5" customHeight="1" x14ac:dyDescent="0.2">
      <c r="A75" s="97"/>
      <c r="B75" s="38" t="s">
        <v>17</v>
      </c>
      <c r="C75" s="39">
        <v>8673</v>
      </c>
      <c r="D75" s="40">
        <v>8697</v>
      </c>
      <c r="E75" s="39">
        <v>8673</v>
      </c>
      <c r="F75" s="40">
        <v>8673</v>
      </c>
      <c r="G75" s="39">
        <v>8673</v>
      </c>
      <c r="H75" s="40">
        <v>8697</v>
      </c>
      <c r="I75" s="39">
        <v>8605</v>
      </c>
      <c r="J75" s="40">
        <v>8673</v>
      </c>
      <c r="K75" s="39">
        <v>8673</v>
      </c>
      <c r="L75" s="40">
        <v>8697</v>
      </c>
      <c r="M75" s="39">
        <v>8673</v>
      </c>
      <c r="N75" s="40">
        <v>8673</v>
      </c>
      <c r="O75" s="39">
        <v>8673</v>
      </c>
      <c r="P75" s="40">
        <v>8697</v>
      </c>
      <c r="Q75" s="39">
        <v>8673</v>
      </c>
      <c r="R75" s="40">
        <v>8673</v>
      </c>
      <c r="S75" s="39">
        <v>8673</v>
      </c>
      <c r="T75" s="40">
        <v>8697</v>
      </c>
      <c r="U75" s="39">
        <v>8673</v>
      </c>
      <c r="V75" s="40">
        <v>8673</v>
      </c>
      <c r="W75" s="39">
        <v>8673</v>
      </c>
      <c r="X75" s="40">
        <v>8697</v>
      </c>
    </row>
    <row r="76" spans="1:24" ht="16.5" customHeight="1" x14ac:dyDescent="0.2">
      <c r="A76" s="97"/>
      <c r="B76" s="38" t="s">
        <v>44</v>
      </c>
      <c r="C76" s="39">
        <v>0</v>
      </c>
      <c r="D76" s="40">
        <v>0</v>
      </c>
      <c r="E76" s="39">
        <v>0</v>
      </c>
      <c r="F76" s="40">
        <v>0</v>
      </c>
      <c r="G76" s="39">
        <v>0</v>
      </c>
      <c r="H76" s="40">
        <v>0</v>
      </c>
      <c r="I76" s="39">
        <v>0</v>
      </c>
      <c r="J76" s="40">
        <v>0</v>
      </c>
      <c r="K76" s="39">
        <v>0</v>
      </c>
      <c r="L76" s="40">
        <v>0</v>
      </c>
      <c r="M76" s="39">
        <v>0</v>
      </c>
      <c r="N76" s="40">
        <v>0</v>
      </c>
      <c r="O76" s="39">
        <v>0</v>
      </c>
      <c r="P76" s="40">
        <v>0</v>
      </c>
      <c r="Q76" s="39">
        <v>0</v>
      </c>
      <c r="R76" s="40">
        <v>0</v>
      </c>
      <c r="S76" s="39">
        <v>0</v>
      </c>
      <c r="T76" s="40">
        <v>0</v>
      </c>
      <c r="U76" s="39">
        <v>0</v>
      </c>
      <c r="V76" s="40">
        <v>0</v>
      </c>
      <c r="W76" s="39">
        <v>0</v>
      </c>
      <c r="X76" s="40">
        <v>0</v>
      </c>
    </row>
    <row r="77" spans="1:24" ht="16.5" customHeight="1" x14ac:dyDescent="0.2">
      <c r="A77" s="97"/>
      <c r="B77" s="38" t="s">
        <v>56</v>
      </c>
      <c r="C77" s="39">
        <v>0</v>
      </c>
      <c r="D77" s="40">
        <v>0</v>
      </c>
      <c r="E77" s="39">
        <v>0</v>
      </c>
      <c r="F77" s="40">
        <v>0</v>
      </c>
      <c r="G77" s="39">
        <v>0</v>
      </c>
      <c r="H77" s="40">
        <v>0</v>
      </c>
      <c r="I77" s="39">
        <v>0</v>
      </c>
      <c r="J77" s="40">
        <v>0</v>
      </c>
      <c r="K77" s="39">
        <v>0</v>
      </c>
      <c r="L77" s="40">
        <v>0</v>
      </c>
      <c r="M77" s="39">
        <v>0</v>
      </c>
      <c r="N77" s="40">
        <v>0</v>
      </c>
      <c r="O77" s="39">
        <v>0</v>
      </c>
      <c r="P77" s="40">
        <v>0</v>
      </c>
      <c r="Q77" s="39">
        <v>0</v>
      </c>
      <c r="R77" s="40">
        <v>0</v>
      </c>
      <c r="S77" s="39">
        <v>0</v>
      </c>
      <c r="T77" s="40">
        <v>0</v>
      </c>
      <c r="U77" s="39">
        <v>0</v>
      </c>
      <c r="V77" s="40">
        <v>0</v>
      </c>
      <c r="W77" s="39">
        <v>0</v>
      </c>
      <c r="X77" s="40">
        <v>0</v>
      </c>
    </row>
    <row r="78" spans="1:24" ht="16.5" customHeight="1" x14ac:dyDescent="0.2">
      <c r="A78" s="97"/>
      <c r="B78" s="38" t="s">
        <v>18</v>
      </c>
      <c r="C78" s="39">
        <v>1052</v>
      </c>
      <c r="D78" s="40">
        <v>1066</v>
      </c>
      <c r="E78" s="39">
        <v>1053</v>
      </c>
      <c r="F78" s="40">
        <v>1055</v>
      </c>
      <c r="G78" s="39">
        <v>1052</v>
      </c>
      <c r="H78" s="40">
        <v>1061</v>
      </c>
      <c r="I78" s="39">
        <v>1062</v>
      </c>
      <c r="J78" s="40">
        <v>1060</v>
      </c>
      <c r="K78" s="39">
        <v>1057</v>
      </c>
      <c r="L78" s="40">
        <v>1060</v>
      </c>
      <c r="M78" s="39">
        <v>1403</v>
      </c>
      <c r="N78" s="40">
        <v>1569</v>
      </c>
      <c r="O78" s="39">
        <v>1582</v>
      </c>
      <c r="P78" s="40">
        <v>1585</v>
      </c>
      <c r="Q78" s="39">
        <v>2455</v>
      </c>
      <c r="R78" s="40">
        <v>2514</v>
      </c>
      <c r="S78" s="39">
        <v>3104</v>
      </c>
      <c r="T78" s="40">
        <v>3137</v>
      </c>
      <c r="U78" s="39">
        <v>3390</v>
      </c>
      <c r="V78" s="40">
        <v>3357</v>
      </c>
      <c r="W78" s="39">
        <v>3374</v>
      </c>
      <c r="X78" s="40">
        <v>3427</v>
      </c>
    </row>
    <row r="79" spans="1:24" ht="16.5" customHeight="1" x14ac:dyDescent="0.2">
      <c r="A79" s="97"/>
      <c r="B79" s="38" t="s">
        <v>57</v>
      </c>
      <c r="C79" s="39">
        <v>0</v>
      </c>
      <c r="D79" s="40">
        <v>0</v>
      </c>
      <c r="E79" s="39">
        <v>0</v>
      </c>
      <c r="F79" s="40">
        <v>0</v>
      </c>
      <c r="G79" s="39">
        <v>0</v>
      </c>
      <c r="H79" s="40">
        <v>0</v>
      </c>
      <c r="I79" s="39">
        <v>0</v>
      </c>
      <c r="J79" s="40">
        <v>0</v>
      </c>
      <c r="K79" s="39">
        <v>0</v>
      </c>
      <c r="L79" s="40">
        <v>0</v>
      </c>
      <c r="M79" s="39">
        <v>0</v>
      </c>
      <c r="N79" s="40">
        <v>0</v>
      </c>
      <c r="O79" s="39">
        <v>0</v>
      </c>
      <c r="P79" s="40">
        <v>0</v>
      </c>
      <c r="Q79" s="39">
        <v>0</v>
      </c>
      <c r="R79" s="40">
        <v>0</v>
      </c>
      <c r="S79" s="39">
        <v>0</v>
      </c>
      <c r="T79" s="40">
        <v>0</v>
      </c>
      <c r="U79" s="39">
        <v>0</v>
      </c>
      <c r="V79" s="40">
        <v>0</v>
      </c>
      <c r="W79" s="39">
        <v>0</v>
      </c>
      <c r="X79" s="40">
        <v>0</v>
      </c>
    </row>
    <row r="80" spans="1:24" ht="16.5" customHeight="1" x14ac:dyDescent="0.2">
      <c r="A80" s="97"/>
      <c r="B80" s="38" t="s">
        <v>65</v>
      </c>
      <c r="C80" s="39">
        <v>-2.1763446864698301</v>
      </c>
      <c r="D80" s="40">
        <v>-3.966167546029344</v>
      </c>
      <c r="E80" s="39">
        <v>-6.0171881263898994</v>
      </c>
      <c r="F80" s="40">
        <v>-7.7351884331425698</v>
      </c>
      <c r="G80" s="39">
        <v>-9.5016914411968472</v>
      </c>
      <c r="H80" s="40">
        <v>-10.265372029244254</v>
      </c>
      <c r="I80" s="39">
        <v>-10.647811306621486</v>
      </c>
      <c r="J80" s="40">
        <v>-10.64521855130705</v>
      </c>
      <c r="K80" s="39">
        <v>-10.655202435444906</v>
      </c>
      <c r="L80" s="40">
        <v>-10.616610896925579</v>
      </c>
      <c r="M80" s="39">
        <v>-10.535083810117156</v>
      </c>
      <c r="N80" s="40">
        <v>-10.491239020519467</v>
      </c>
      <c r="O80" s="39">
        <v>-10.464588714389704</v>
      </c>
      <c r="P80" s="40">
        <v>-10.453625827130843</v>
      </c>
      <c r="Q80" s="39">
        <v>-10.456390062341136</v>
      </c>
      <c r="R80" s="40">
        <v>-10.471305593928108</v>
      </c>
      <c r="S80" s="39">
        <v>-11.608058601584633</v>
      </c>
      <c r="T80" s="40">
        <v>-11.643097050474248</v>
      </c>
      <c r="U80" s="39">
        <v>-12.797585286873348</v>
      </c>
      <c r="V80" s="40">
        <v>-11.736981865858638</v>
      </c>
      <c r="W80" s="39">
        <v>-11.793183264707473</v>
      </c>
      <c r="X80" s="40">
        <v>-12.96694194282799</v>
      </c>
    </row>
    <row r="81" spans="1:24" ht="16.5" customHeight="1" x14ac:dyDescent="0.2">
      <c r="A81" s="97"/>
      <c r="B81" s="38" t="s">
        <v>66</v>
      </c>
      <c r="C81" s="39">
        <v>0</v>
      </c>
      <c r="D81" s="40">
        <v>0</v>
      </c>
      <c r="E81" s="39">
        <v>0</v>
      </c>
      <c r="F81" s="40">
        <v>0</v>
      </c>
      <c r="G81" s="39">
        <v>0</v>
      </c>
      <c r="H81" s="40">
        <v>0</v>
      </c>
      <c r="I81" s="39">
        <v>0</v>
      </c>
      <c r="J81" s="40">
        <v>0</v>
      </c>
      <c r="K81" s="39">
        <v>0</v>
      </c>
      <c r="L81" s="40">
        <v>0</v>
      </c>
      <c r="M81" s="39">
        <v>0</v>
      </c>
      <c r="N81" s="40">
        <v>0</v>
      </c>
      <c r="O81" s="39">
        <v>0</v>
      </c>
      <c r="P81" s="40">
        <v>0</v>
      </c>
      <c r="Q81" s="39">
        <v>0</v>
      </c>
      <c r="R81" s="40">
        <v>0</v>
      </c>
      <c r="S81" s="39">
        <v>0</v>
      </c>
      <c r="T81" s="40">
        <v>0</v>
      </c>
      <c r="U81" s="39">
        <v>0</v>
      </c>
      <c r="V81" s="40">
        <v>0</v>
      </c>
      <c r="W81" s="39">
        <v>0</v>
      </c>
      <c r="X81" s="40">
        <v>0</v>
      </c>
    </row>
    <row r="82" spans="1:24" ht="16.5" customHeight="1" x14ac:dyDescent="0.2">
      <c r="A82" s="97"/>
      <c r="B82" s="38" t="s">
        <v>59</v>
      </c>
      <c r="C82" s="39">
        <v>0</v>
      </c>
      <c r="D82" s="40">
        <v>0</v>
      </c>
      <c r="E82" s="39">
        <v>0</v>
      </c>
      <c r="F82" s="40">
        <v>0</v>
      </c>
      <c r="G82" s="39">
        <v>0</v>
      </c>
      <c r="H82" s="40">
        <v>0</v>
      </c>
      <c r="I82" s="39">
        <v>0</v>
      </c>
      <c r="J82" s="40">
        <v>0</v>
      </c>
      <c r="K82" s="39">
        <v>0</v>
      </c>
      <c r="L82" s="40">
        <v>0</v>
      </c>
      <c r="M82" s="39">
        <v>0</v>
      </c>
      <c r="N82" s="40">
        <v>0</v>
      </c>
      <c r="O82" s="39">
        <v>0</v>
      </c>
      <c r="P82" s="40">
        <v>0</v>
      </c>
      <c r="Q82" s="39">
        <v>0</v>
      </c>
      <c r="R82" s="40">
        <v>0</v>
      </c>
      <c r="S82" s="39">
        <v>0</v>
      </c>
      <c r="T82" s="40">
        <v>0</v>
      </c>
      <c r="U82" s="39">
        <v>0</v>
      </c>
      <c r="V82" s="40">
        <v>0</v>
      </c>
      <c r="W82" s="39">
        <v>0</v>
      </c>
      <c r="X82" s="40">
        <v>0</v>
      </c>
    </row>
    <row r="83" spans="1:24" ht="16.5" customHeight="1" x14ac:dyDescent="0.2">
      <c r="A83" s="97"/>
      <c r="B83" s="38" t="s">
        <v>67</v>
      </c>
      <c r="C83" s="39">
        <v>0</v>
      </c>
      <c r="D83" s="40">
        <v>0</v>
      </c>
      <c r="E83" s="39">
        <v>0</v>
      </c>
      <c r="F83" s="40">
        <v>0</v>
      </c>
      <c r="G83" s="39">
        <v>0</v>
      </c>
      <c r="H83" s="40">
        <v>0</v>
      </c>
      <c r="I83" s="39">
        <v>0</v>
      </c>
      <c r="J83" s="40">
        <v>0</v>
      </c>
      <c r="K83" s="39">
        <v>0</v>
      </c>
      <c r="L83" s="40">
        <v>0</v>
      </c>
      <c r="M83" s="39">
        <v>0</v>
      </c>
      <c r="N83" s="40">
        <v>0</v>
      </c>
      <c r="O83" s="39">
        <v>0</v>
      </c>
      <c r="P83" s="40">
        <v>0</v>
      </c>
      <c r="Q83" s="39">
        <v>0</v>
      </c>
      <c r="R83" s="40">
        <v>0</v>
      </c>
      <c r="S83" s="39">
        <v>0</v>
      </c>
      <c r="T83" s="40">
        <v>0</v>
      </c>
      <c r="U83" s="39">
        <v>0</v>
      </c>
      <c r="V83" s="40">
        <v>0</v>
      </c>
      <c r="W83" s="39">
        <v>0</v>
      </c>
      <c r="X83" s="40">
        <v>0</v>
      </c>
    </row>
    <row r="84" spans="1:24" ht="16.5" customHeight="1" x14ac:dyDescent="0.2">
      <c r="A84" s="97"/>
      <c r="B84" s="38" t="s">
        <v>68</v>
      </c>
      <c r="C84" s="39">
        <v>1.958710217822847</v>
      </c>
      <c r="D84" s="40">
        <v>3.5695507914264097</v>
      </c>
      <c r="E84" s="39">
        <v>5.4154693137509096</v>
      </c>
      <c r="F84" s="40">
        <v>6.961669589828313</v>
      </c>
      <c r="G84" s="39">
        <v>8.5515222970771632</v>
      </c>
      <c r="H84" s="40">
        <v>9.2388348263198292</v>
      </c>
      <c r="I84" s="39">
        <v>9.5830301759593386</v>
      </c>
      <c r="J84" s="40">
        <v>9.5806966961763447</v>
      </c>
      <c r="K84" s="39">
        <v>9.5896821919004154</v>
      </c>
      <c r="L84" s="40">
        <v>9.5549498072330206</v>
      </c>
      <c r="M84" s="39">
        <v>9.4815754291054404</v>
      </c>
      <c r="N84" s="40">
        <v>9.4421151184675214</v>
      </c>
      <c r="O84" s="39">
        <v>9.4181298429507336</v>
      </c>
      <c r="P84" s="40">
        <v>9.4082632444177587</v>
      </c>
      <c r="Q84" s="39">
        <v>9.4107510561070224</v>
      </c>
      <c r="R84" s="40">
        <v>9.4241750345352973</v>
      </c>
      <c r="S84" s="39">
        <v>10.447252741426169</v>
      </c>
      <c r="T84" s="40">
        <v>10.478787345426824</v>
      </c>
      <c r="U84" s="39">
        <v>11.517826758186013</v>
      </c>
      <c r="V84" s="40">
        <v>10.563283679272775</v>
      </c>
      <c r="W84" s="39">
        <v>10.613864938236725</v>
      </c>
      <c r="X84" s="40">
        <v>11.670247748545192</v>
      </c>
    </row>
    <row r="85" spans="1:24" ht="16.5" customHeight="1" thickBot="1" x14ac:dyDescent="0.25">
      <c r="A85" s="98"/>
      <c r="B85" s="38" t="s">
        <v>41</v>
      </c>
      <c r="C85" s="39">
        <v>178</v>
      </c>
      <c r="D85" s="40">
        <v>202</v>
      </c>
      <c r="E85" s="39">
        <v>226</v>
      </c>
      <c r="F85" s="40">
        <v>249</v>
      </c>
      <c r="G85" s="39">
        <v>265</v>
      </c>
      <c r="H85" s="40">
        <v>274</v>
      </c>
      <c r="I85" s="39">
        <v>281</v>
      </c>
      <c r="J85" s="40">
        <v>284</v>
      </c>
      <c r="K85" s="39">
        <v>287</v>
      </c>
      <c r="L85" s="40">
        <v>292</v>
      </c>
      <c r="M85" s="39">
        <v>263</v>
      </c>
      <c r="N85" s="40">
        <v>298</v>
      </c>
      <c r="O85" s="39">
        <v>300</v>
      </c>
      <c r="P85" s="40">
        <v>287</v>
      </c>
      <c r="Q85" s="39">
        <v>307</v>
      </c>
      <c r="R85" s="40">
        <v>310</v>
      </c>
      <c r="S85" s="39">
        <v>313</v>
      </c>
      <c r="T85" s="40">
        <v>317</v>
      </c>
      <c r="U85" s="39">
        <v>320</v>
      </c>
      <c r="V85" s="40">
        <v>322</v>
      </c>
      <c r="W85" s="39">
        <v>326</v>
      </c>
      <c r="X85" s="40">
        <v>329</v>
      </c>
    </row>
  </sheetData>
  <mergeCells count="6">
    <mergeCell ref="A73:A85"/>
    <mergeCell ref="A3:A16"/>
    <mergeCell ref="A21:A33"/>
    <mergeCell ref="A34:A46"/>
    <mergeCell ref="A47:A59"/>
    <mergeCell ref="A60:A7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W17"/>
  <sheetViews>
    <sheetView zoomScaleNormal="100" workbookViewId="0"/>
  </sheetViews>
  <sheetFormatPr defaultColWidth="9.140625" defaultRowHeight="15.75" customHeight="1" x14ac:dyDescent="0.2"/>
  <cols>
    <col min="1" max="1" width="28.5703125" style="1" customWidth="1"/>
    <col min="2" max="21" width="11.42578125" style="1" customWidth="1"/>
    <col min="22" max="16384" width="9.140625" style="1"/>
  </cols>
  <sheetData>
    <row r="1" spans="1:23" s="54" customFormat="1" ht="15.75" customHeight="1" x14ac:dyDescent="0.25">
      <c r="A1" s="21" t="s">
        <v>21</v>
      </c>
      <c r="G1" s="55"/>
      <c r="H1" s="56"/>
      <c r="I1" s="56"/>
      <c r="J1" s="56"/>
      <c r="K1" s="56"/>
      <c r="L1" s="56"/>
      <c r="M1" s="56"/>
    </row>
    <row r="2" spans="1:23" s="37" customFormat="1" ht="16.5" customHeight="1" x14ac:dyDescent="0.2">
      <c r="A2" s="34" t="s">
        <v>20</v>
      </c>
      <c r="B2" s="51" t="s">
        <v>0</v>
      </c>
      <c r="C2" s="52" t="s">
        <v>1</v>
      </c>
      <c r="D2" s="51" t="s">
        <v>2</v>
      </c>
      <c r="E2" s="52" t="s">
        <v>3</v>
      </c>
      <c r="F2" s="51" t="s">
        <v>4</v>
      </c>
      <c r="G2" s="52" t="s">
        <v>5</v>
      </c>
      <c r="H2" s="51" t="s">
        <v>6</v>
      </c>
      <c r="I2" s="52" t="s">
        <v>7</v>
      </c>
      <c r="J2" s="51" t="s">
        <v>8</v>
      </c>
      <c r="K2" s="52" t="s">
        <v>9</v>
      </c>
      <c r="L2" s="51" t="s">
        <v>10</v>
      </c>
      <c r="M2" s="52" t="s">
        <v>11</v>
      </c>
      <c r="N2" s="51" t="s">
        <v>12</v>
      </c>
      <c r="O2" s="52" t="s">
        <v>13</v>
      </c>
      <c r="P2" s="51" t="s">
        <v>14</v>
      </c>
      <c r="Q2" s="52" t="s">
        <v>15</v>
      </c>
      <c r="R2" s="51" t="s">
        <v>16</v>
      </c>
      <c r="S2" s="52" t="s">
        <v>45</v>
      </c>
      <c r="T2" s="51" t="s">
        <v>61</v>
      </c>
      <c r="U2" s="52" t="s">
        <v>62</v>
      </c>
      <c r="V2" s="51" t="s">
        <v>63</v>
      </c>
      <c r="W2" s="52" t="s">
        <v>64</v>
      </c>
    </row>
    <row r="3" spans="1:23" s="57" customFormat="1" ht="15.75" customHeight="1" x14ac:dyDescent="0.2">
      <c r="A3" s="38" t="s">
        <v>54</v>
      </c>
      <c r="B3" s="39">
        <v>0</v>
      </c>
      <c r="C3" s="40">
        <v>0</v>
      </c>
      <c r="D3" s="39">
        <v>0</v>
      </c>
      <c r="E3" s="40">
        <v>0</v>
      </c>
      <c r="F3" s="39">
        <v>-1800</v>
      </c>
      <c r="G3" s="40">
        <v>-1800</v>
      </c>
      <c r="H3" s="39">
        <v>-1800</v>
      </c>
      <c r="I3" s="40">
        <v>-1800</v>
      </c>
      <c r="J3" s="39">
        <v>-1800</v>
      </c>
      <c r="K3" s="40">
        <v>-1800</v>
      </c>
      <c r="L3" s="39">
        <v>-3120</v>
      </c>
      <c r="M3" s="40">
        <v>-4800</v>
      </c>
      <c r="N3" s="39">
        <v>-4800</v>
      </c>
      <c r="O3" s="40">
        <v>-4800</v>
      </c>
      <c r="P3" s="39">
        <v>-4800</v>
      </c>
      <c r="Q3" s="40">
        <v>-4800</v>
      </c>
      <c r="R3" s="39">
        <v>-7680</v>
      </c>
      <c r="S3" s="40">
        <v>-10320</v>
      </c>
      <c r="T3" s="39">
        <v>-11720</v>
      </c>
      <c r="U3" s="40">
        <v>-11720</v>
      </c>
      <c r="V3" s="39">
        <v>-12420</v>
      </c>
      <c r="W3" s="40">
        <v>-12420</v>
      </c>
    </row>
    <row r="4" spans="1:23" s="57" customFormat="1" ht="15.75" customHeight="1" x14ac:dyDescent="0.2">
      <c r="A4" s="38" t="s">
        <v>55</v>
      </c>
      <c r="B4" s="39">
        <v>0</v>
      </c>
      <c r="C4" s="40">
        <v>0</v>
      </c>
      <c r="D4" s="39">
        <v>0</v>
      </c>
      <c r="E4" s="40">
        <v>0</v>
      </c>
      <c r="F4" s="39">
        <v>0</v>
      </c>
      <c r="G4" s="40">
        <v>0</v>
      </c>
      <c r="H4" s="39">
        <v>0</v>
      </c>
      <c r="I4" s="40">
        <v>0</v>
      </c>
      <c r="J4" s="39">
        <v>0</v>
      </c>
      <c r="K4" s="40">
        <v>0</v>
      </c>
      <c r="L4" s="39">
        <v>0</v>
      </c>
      <c r="M4" s="40">
        <v>0</v>
      </c>
      <c r="N4" s="39">
        <v>0</v>
      </c>
      <c r="O4" s="40">
        <v>0</v>
      </c>
      <c r="P4" s="39">
        <v>-1528</v>
      </c>
      <c r="Q4" s="40">
        <v>-1528</v>
      </c>
      <c r="R4" s="39">
        <v>-1528</v>
      </c>
      <c r="S4" s="40">
        <v>-1528</v>
      </c>
      <c r="T4" s="39">
        <v>-1528</v>
      </c>
      <c r="U4" s="40">
        <v>-1528</v>
      </c>
      <c r="V4" s="39">
        <v>-1528</v>
      </c>
      <c r="W4" s="40">
        <v>-1528</v>
      </c>
    </row>
    <row r="5" spans="1:23" s="57" customFormat="1" ht="15.75" customHeight="1" x14ac:dyDescent="0.2">
      <c r="A5" s="38" t="s">
        <v>17</v>
      </c>
      <c r="B5" s="39">
        <v>0</v>
      </c>
      <c r="C5" s="40">
        <v>0</v>
      </c>
      <c r="D5" s="39">
        <v>0</v>
      </c>
      <c r="E5" s="40">
        <v>0</v>
      </c>
      <c r="F5" s="39">
        <v>0</v>
      </c>
      <c r="G5" s="40">
        <v>0</v>
      </c>
      <c r="H5" s="39">
        <v>0</v>
      </c>
      <c r="I5" s="40">
        <v>0</v>
      </c>
      <c r="J5" s="39">
        <v>0</v>
      </c>
      <c r="K5" s="40">
        <v>0</v>
      </c>
      <c r="L5" s="39">
        <v>0</v>
      </c>
      <c r="M5" s="40">
        <v>0</v>
      </c>
      <c r="N5" s="39">
        <v>0</v>
      </c>
      <c r="O5" s="40">
        <v>0</v>
      </c>
      <c r="P5" s="39">
        <v>0</v>
      </c>
      <c r="Q5" s="40">
        <v>0</v>
      </c>
      <c r="R5" s="39">
        <v>0</v>
      </c>
      <c r="S5" s="40">
        <v>0</v>
      </c>
      <c r="T5" s="39">
        <v>0</v>
      </c>
      <c r="U5" s="40">
        <v>0</v>
      </c>
      <c r="V5" s="39">
        <v>0</v>
      </c>
      <c r="W5" s="40">
        <v>0</v>
      </c>
    </row>
    <row r="6" spans="1:23" s="57" customFormat="1" ht="15.75" customHeight="1" x14ac:dyDescent="0.2">
      <c r="A6" s="38" t="s">
        <v>44</v>
      </c>
      <c r="B6" s="39">
        <v>0</v>
      </c>
      <c r="C6" s="40">
        <v>0</v>
      </c>
      <c r="D6" s="39">
        <v>0</v>
      </c>
      <c r="E6" s="40">
        <v>0</v>
      </c>
      <c r="F6" s="39">
        <v>0</v>
      </c>
      <c r="G6" s="40">
        <v>0</v>
      </c>
      <c r="H6" s="39">
        <v>-1462</v>
      </c>
      <c r="I6" s="40">
        <v>-1462</v>
      </c>
      <c r="J6" s="39">
        <v>-1462</v>
      </c>
      <c r="K6" s="40">
        <v>-1462</v>
      </c>
      <c r="L6" s="39">
        <v>-1462</v>
      </c>
      <c r="M6" s="40">
        <v>-1462</v>
      </c>
      <c r="N6" s="39">
        <v>-1462</v>
      </c>
      <c r="O6" s="40">
        <v>-1972</v>
      </c>
      <c r="P6" s="39">
        <v>-1972</v>
      </c>
      <c r="Q6" s="40">
        <v>-1972</v>
      </c>
      <c r="R6" s="39">
        <v>-1972</v>
      </c>
      <c r="S6" s="40">
        <v>-1972</v>
      </c>
      <c r="T6" s="39">
        <v>-1972</v>
      </c>
      <c r="U6" s="40">
        <v>-1972</v>
      </c>
      <c r="V6" s="39">
        <v>-1972</v>
      </c>
      <c r="W6" s="40">
        <v>-1972</v>
      </c>
    </row>
    <row r="7" spans="1:23" s="57" customFormat="1" ht="15.75" customHeight="1" x14ac:dyDescent="0.2">
      <c r="A7" s="38" t="s">
        <v>56</v>
      </c>
      <c r="B7" s="39">
        <v>0</v>
      </c>
      <c r="C7" s="40">
        <v>-24</v>
      </c>
      <c r="D7" s="39">
        <v>-24</v>
      </c>
      <c r="E7" s="40">
        <v>-298</v>
      </c>
      <c r="F7" s="39">
        <v>3.0935719999997673</v>
      </c>
      <c r="G7" s="40">
        <v>3.0935719999997673</v>
      </c>
      <c r="H7" s="39">
        <v>3.0935719999997673</v>
      </c>
      <c r="I7" s="40">
        <v>3.0935719999997673</v>
      </c>
      <c r="J7" s="39">
        <v>3.0935719999997673</v>
      </c>
      <c r="K7" s="40">
        <v>3.0935719999997673</v>
      </c>
      <c r="L7" s="39">
        <v>3.0935719999997673</v>
      </c>
      <c r="M7" s="40">
        <v>3.0935719999997673</v>
      </c>
      <c r="N7" s="39">
        <v>3.0935719999997673</v>
      </c>
      <c r="O7" s="40">
        <v>3.0935719999997673</v>
      </c>
      <c r="P7" s="39">
        <v>3.0935719999997673</v>
      </c>
      <c r="Q7" s="40">
        <v>3.0935719999997673</v>
      </c>
      <c r="R7" s="39">
        <v>3.0935719999997673</v>
      </c>
      <c r="S7" s="40">
        <v>3.0935719999997673</v>
      </c>
      <c r="T7" s="39">
        <v>3.0935719999997673</v>
      </c>
      <c r="U7" s="40">
        <v>3.0935719999997673</v>
      </c>
      <c r="V7" s="39">
        <v>3.0935719999997673</v>
      </c>
      <c r="W7" s="40">
        <v>3.0935719999997673</v>
      </c>
    </row>
    <row r="8" spans="1:23" s="57" customFormat="1" ht="15.75" customHeight="1" x14ac:dyDescent="0.2">
      <c r="A8" s="38" t="s">
        <v>18</v>
      </c>
      <c r="B8" s="39">
        <v>0</v>
      </c>
      <c r="C8" s="40">
        <v>1894</v>
      </c>
      <c r="D8" s="39">
        <v>2294</v>
      </c>
      <c r="E8" s="40">
        <v>2694</v>
      </c>
      <c r="F8" s="39">
        <v>3094</v>
      </c>
      <c r="G8" s="40">
        <v>3987</v>
      </c>
      <c r="H8" s="39">
        <v>4387</v>
      </c>
      <c r="I8" s="40">
        <v>4387</v>
      </c>
      <c r="J8" s="39">
        <v>4478</v>
      </c>
      <c r="K8" s="40">
        <v>4641</v>
      </c>
      <c r="L8" s="39">
        <v>4946</v>
      </c>
      <c r="M8" s="40">
        <v>5119</v>
      </c>
      <c r="N8" s="39">
        <v>5119</v>
      </c>
      <c r="O8" s="40">
        <v>5119</v>
      </c>
      <c r="P8" s="39">
        <v>5311</v>
      </c>
      <c r="Q8" s="40">
        <v>5771</v>
      </c>
      <c r="R8" s="39">
        <v>6418</v>
      </c>
      <c r="S8" s="40">
        <v>7739</v>
      </c>
      <c r="T8" s="39">
        <v>8858</v>
      </c>
      <c r="U8" s="40">
        <v>8858</v>
      </c>
      <c r="V8" s="39">
        <v>8972</v>
      </c>
      <c r="W8" s="40">
        <v>9073</v>
      </c>
    </row>
    <row r="9" spans="1:23" s="57" customFormat="1" ht="15.75" customHeight="1" x14ac:dyDescent="0.2">
      <c r="A9" s="38" t="s">
        <v>57</v>
      </c>
      <c r="B9" s="39">
        <v>0</v>
      </c>
      <c r="C9" s="40">
        <v>627</v>
      </c>
      <c r="D9" s="39">
        <v>627</v>
      </c>
      <c r="E9" s="40">
        <v>674</v>
      </c>
      <c r="F9" s="39">
        <v>1517</v>
      </c>
      <c r="G9" s="40">
        <v>2101</v>
      </c>
      <c r="H9" s="39">
        <v>3228</v>
      </c>
      <c r="I9" s="40">
        <v>4516</v>
      </c>
      <c r="J9" s="39">
        <v>5253</v>
      </c>
      <c r="K9" s="40">
        <v>5921</v>
      </c>
      <c r="L9" s="39">
        <v>6713</v>
      </c>
      <c r="M9" s="40">
        <v>7474</v>
      </c>
      <c r="N9" s="39">
        <v>7474</v>
      </c>
      <c r="O9" s="40">
        <v>7785</v>
      </c>
      <c r="P9" s="39">
        <v>10595</v>
      </c>
      <c r="Q9" s="40">
        <v>10595</v>
      </c>
      <c r="R9" s="39">
        <v>14518</v>
      </c>
      <c r="S9" s="40">
        <v>19260</v>
      </c>
      <c r="T9" s="39">
        <v>23076</v>
      </c>
      <c r="U9" s="40">
        <v>24010</v>
      </c>
      <c r="V9" s="39">
        <v>25624</v>
      </c>
      <c r="W9" s="40">
        <v>26165</v>
      </c>
    </row>
    <row r="10" spans="1:23" s="57" customFormat="1" ht="15.75" customHeight="1" x14ac:dyDescent="0.2">
      <c r="A10" s="38" t="s">
        <v>58</v>
      </c>
      <c r="B10" s="39">
        <v>0</v>
      </c>
      <c r="C10" s="40">
        <v>20</v>
      </c>
      <c r="D10" s="39">
        <v>120</v>
      </c>
      <c r="E10" s="40">
        <v>120</v>
      </c>
      <c r="F10" s="39">
        <v>120</v>
      </c>
      <c r="G10" s="40">
        <v>120</v>
      </c>
      <c r="H10" s="39">
        <v>591</v>
      </c>
      <c r="I10" s="40">
        <v>771</v>
      </c>
      <c r="J10" s="39">
        <v>771</v>
      </c>
      <c r="K10" s="40">
        <v>771</v>
      </c>
      <c r="L10" s="39">
        <v>1091</v>
      </c>
      <c r="M10" s="40">
        <v>1862</v>
      </c>
      <c r="N10" s="39">
        <v>1862</v>
      </c>
      <c r="O10" s="40">
        <v>2052</v>
      </c>
      <c r="P10" s="39">
        <v>3429</v>
      </c>
      <c r="Q10" s="40">
        <v>3593</v>
      </c>
      <c r="R10" s="39">
        <v>6397</v>
      </c>
      <c r="S10" s="40">
        <v>9371</v>
      </c>
      <c r="T10" s="39">
        <v>12258</v>
      </c>
      <c r="U10" s="40">
        <v>13158</v>
      </c>
      <c r="V10" s="39">
        <v>14388</v>
      </c>
      <c r="W10" s="40">
        <v>14882</v>
      </c>
    </row>
    <row r="11" spans="1:23" s="57" customFormat="1" ht="15.75" customHeight="1" x14ac:dyDescent="0.2">
      <c r="A11" s="38" t="s">
        <v>59</v>
      </c>
      <c r="B11" s="39">
        <v>0</v>
      </c>
      <c r="C11" s="40">
        <v>0</v>
      </c>
      <c r="D11" s="39">
        <v>0</v>
      </c>
      <c r="E11" s="40">
        <v>0</v>
      </c>
      <c r="F11" s="39">
        <v>0</v>
      </c>
      <c r="G11" s="40">
        <v>0</v>
      </c>
      <c r="H11" s="39">
        <v>0</v>
      </c>
      <c r="I11" s="40">
        <v>0</v>
      </c>
      <c r="J11" s="39">
        <v>0</v>
      </c>
      <c r="K11" s="40">
        <v>0</v>
      </c>
      <c r="L11" s="39">
        <v>0</v>
      </c>
      <c r="M11" s="40">
        <v>0</v>
      </c>
      <c r="N11" s="39">
        <v>0</v>
      </c>
      <c r="O11" s="40">
        <v>0</v>
      </c>
      <c r="P11" s="39">
        <v>0</v>
      </c>
      <c r="Q11" s="40">
        <v>0</v>
      </c>
      <c r="R11" s="39">
        <v>200</v>
      </c>
      <c r="S11" s="40">
        <v>200</v>
      </c>
      <c r="T11" s="39">
        <v>300</v>
      </c>
      <c r="U11" s="40">
        <v>300</v>
      </c>
      <c r="V11" s="39">
        <v>300</v>
      </c>
      <c r="W11" s="40">
        <v>300</v>
      </c>
    </row>
    <row r="12" spans="1:23" s="54" customFormat="1" ht="15.75" customHeight="1" x14ac:dyDescent="0.2">
      <c r="A12" s="38" t="s">
        <v>60</v>
      </c>
      <c r="B12" s="39">
        <v>0</v>
      </c>
      <c r="C12" s="40">
        <v>288.88</v>
      </c>
      <c r="D12" s="39">
        <v>665.11</v>
      </c>
      <c r="E12" s="40">
        <v>1011.3399999999999</v>
      </c>
      <c r="F12" s="39">
        <v>1343.9</v>
      </c>
      <c r="G12" s="40">
        <v>1663.06</v>
      </c>
      <c r="H12" s="39">
        <v>1976.1000000000001</v>
      </c>
      <c r="I12" s="40">
        <v>2275.6899999999996</v>
      </c>
      <c r="J12" s="39">
        <v>2568.8599999999997</v>
      </c>
      <c r="K12" s="40">
        <v>2854.41</v>
      </c>
      <c r="L12" s="39">
        <v>3133.92</v>
      </c>
      <c r="M12" s="40">
        <v>3411.12</v>
      </c>
      <c r="N12" s="39">
        <v>3667.8199999999997</v>
      </c>
      <c r="O12" s="40">
        <v>3900.08</v>
      </c>
      <c r="P12" s="39">
        <v>4123.63</v>
      </c>
      <c r="Q12" s="40">
        <v>4339.12</v>
      </c>
      <c r="R12" s="39">
        <v>4548.2699999999995</v>
      </c>
      <c r="S12" s="40">
        <v>4753.29</v>
      </c>
      <c r="T12" s="39">
        <v>4949.6899999999996</v>
      </c>
      <c r="U12" s="40">
        <v>5139.84</v>
      </c>
      <c r="V12" s="39">
        <v>5280.4</v>
      </c>
      <c r="W12" s="40">
        <v>5461.92</v>
      </c>
    </row>
    <row r="13" spans="1:23" s="54" customFormat="1" ht="15.75" customHeight="1" x14ac:dyDescent="0.2">
      <c r="A13" s="38" t="s">
        <v>41</v>
      </c>
      <c r="B13" s="39">
        <v>0</v>
      </c>
      <c r="C13" s="40">
        <v>940</v>
      </c>
      <c r="D13" s="39">
        <v>1862</v>
      </c>
      <c r="E13" s="40">
        <v>2758</v>
      </c>
      <c r="F13" s="39">
        <v>3634</v>
      </c>
      <c r="G13" s="40">
        <v>4493</v>
      </c>
      <c r="H13" s="39">
        <v>5327</v>
      </c>
      <c r="I13" s="40">
        <v>6135</v>
      </c>
      <c r="J13" s="39">
        <v>6924</v>
      </c>
      <c r="K13" s="40">
        <v>7686</v>
      </c>
      <c r="L13" s="39">
        <v>8415</v>
      </c>
      <c r="M13" s="40">
        <v>9115</v>
      </c>
      <c r="N13" s="39">
        <v>9768</v>
      </c>
      <c r="O13" s="40">
        <v>10377</v>
      </c>
      <c r="P13" s="39">
        <v>10921</v>
      </c>
      <c r="Q13" s="40">
        <v>11420</v>
      </c>
      <c r="R13" s="39">
        <v>11890</v>
      </c>
      <c r="S13" s="40">
        <v>12331</v>
      </c>
      <c r="T13" s="39">
        <v>12734</v>
      </c>
      <c r="U13" s="40">
        <v>13062</v>
      </c>
      <c r="V13" s="39">
        <v>13400</v>
      </c>
      <c r="W13" s="40">
        <v>13694</v>
      </c>
    </row>
    <row r="14" spans="1:23" s="58" customFormat="1" ht="15.75" customHeight="1" x14ac:dyDescent="0.25">
      <c r="A14" s="42" t="s">
        <v>19</v>
      </c>
      <c r="B14" s="43">
        <f t="shared" ref="B14:U14" si="0">SUM(B3:B13)</f>
        <v>0</v>
      </c>
      <c r="C14" s="44">
        <f t="shared" si="0"/>
        <v>3745.88</v>
      </c>
      <c r="D14" s="43">
        <f t="shared" si="0"/>
        <v>5544.1100000000006</v>
      </c>
      <c r="E14" s="44">
        <f t="shared" si="0"/>
        <v>6959.34</v>
      </c>
      <c r="F14" s="43">
        <f t="shared" si="0"/>
        <v>7911.9935719999994</v>
      </c>
      <c r="G14" s="44">
        <f t="shared" si="0"/>
        <v>10567.153571999999</v>
      </c>
      <c r="H14" s="43">
        <f t="shared" si="0"/>
        <v>12250.193572</v>
      </c>
      <c r="I14" s="44">
        <f t="shared" si="0"/>
        <v>14825.783572</v>
      </c>
      <c r="J14" s="43">
        <f t="shared" si="0"/>
        <v>16735.953571999999</v>
      </c>
      <c r="K14" s="44">
        <f t="shared" si="0"/>
        <v>18614.503572000001</v>
      </c>
      <c r="L14" s="43">
        <f t="shared" si="0"/>
        <v>19720.013572</v>
      </c>
      <c r="M14" s="44">
        <f t="shared" si="0"/>
        <v>20722.213572000001</v>
      </c>
      <c r="N14" s="43">
        <f t="shared" si="0"/>
        <v>21631.913571999998</v>
      </c>
      <c r="O14" s="44">
        <f t="shared" si="0"/>
        <v>22464.173572</v>
      </c>
      <c r="P14" s="43">
        <f t="shared" si="0"/>
        <v>26082.723571999999</v>
      </c>
      <c r="Q14" s="44">
        <f>SUM(Q3:Q13)</f>
        <v>27421.213572000001</v>
      </c>
      <c r="R14" s="43">
        <f t="shared" si="0"/>
        <v>32794.363572000002</v>
      </c>
      <c r="S14" s="44">
        <f t="shared" si="0"/>
        <v>39837.383571999999</v>
      </c>
      <c r="T14" s="43">
        <f t="shared" si="0"/>
        <v>46958.783572</v>
      </c>
      <c r="U14" s="44">
        <f t="shared" si="0"/>
        <v>49310.933571999994</v>
      </c>
      <c r="V14" s="43">
        <f t="shared" ref="V14:W14" si="1">SUM(V3:V13)</f>
        <v>52047.493571999999</v>
      </c>
      <c r="W14" s="44">
        <f t="shared" si="1"/>
        <v>53659.013571999996</v>
      </c>
    </row>
    <row r="15" spans="1:23" s="54" customFormat="1" ht="15.75" customHeight="1" x14ac:dyDescent="0.2">
      <c r="B15" s="59"/>
      <c r="C15" s="59"/>
    </row>
    <row r="16" spans="1:23" ht="15.75" customHeight="1" x14ac:dyDescent="0.2">
      <c r="B16" s="3"/>
      <c r="C16" s="3"/>
    </row>
    <row r="17" spans="2:3" ht="15.75" customHeight="1" x14ac:dyDescent="0.2">
      <c r="B17" s="3"/>
      <c r="C17" s="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W10"/>
  <sheetViews>
    <sheetView workbookViewId="0"/>
  </sheetViews>
  <sheetFormatPr defaultRowHeight="12.75" x14ac:dyDescent="0.2"/>
  <cols>
    <col min="1" max="1" width="13.85546875" bestFit="1" customWidth="1"/>
    <col min="2" max="4" width="9.28515625" bestFit="1" customWidth="1"/>
    <col min="5" max="6" width="10.42578125" bestFit="1" customWidth="1"/>
    <col min="7" max="17" width="9.28515625" bestFit="1" customWidth="1"/>
    <col min="18" max="23" width="9.5703125" bestFit="1" customWidth="1"/>
  </cols>
  <sheetData>
    <row r="1" spans="1:23" s="4" customFormat="1" ht="15.75" x14ac:dyDescent="0.25">
      <c r="A1" s="21" t="s">
        <v>70</v>
      </c>
    </row>
    <row r="2" spans="1:23" s="37" customFormat="1" ht="15.75" customHeight="1" x14ac:dyDescent="0.2">
      <c r="A2" s="34" t="s">
        <v>34</v>
      </c>
      <c r="B2" s="51" t="s">
        <v>0</v>
      </c>
      <c r="C2" s="52" t="s">
        <v>1</v>
      </c>
      <c r="D2" s="51" t="s">
        <v>2</v>
      </c>
      <c r="E2" s="52" t="s">
        <v>3</v>
      </c>
      <c r="F2" s="51" t="s">
        <v>4</v>
      </c>
      <c r="G2" s="52" t="s">
        <v>5</v>
      </c>
      <c r="H2" s="51" t="s">
        <v>6</v>
      </c>
      <c r="I2" s="52" t="s">
        <v>7</v>
      </c>
      <c r="J2" s="51" t="s">
        <v>8</v>
      </c>
      <c r="K2" s="52" t="s">
        <v>9</v>
      </c>
      <c r="L2" s="51" t="s">
        <v>10</v>
      </c>
      <c r="M2" s="52" t="s">
        <v>11</v>
      </c>
      <c r="N2" s="51" t="s">
        <v>12</v>
      </c>
      <c r="O2" s="52" t="s">
        <v>13</v>
      </c>
      <c r="P2" s="51" t="s">
        <v>14</v>
      </c>
      <c r="Q2" s="52" t="s">
        <v>15</v>
      </c>
      <c r="R2" s="51" t="s">
        <v>16</v>
      </c>
      <c r="S2" s="52" t="s">
        <v>45</v>
      </c>
      <c r="T2" s="51" t="s">
        <v>61</v>
      </c>
      <c r="U2" s="52" t="s">
        <v>62</v>
      </c>
      <c r="V2" s="51" t="s">
        <v>63</v>
      </c>
      <c r="W2" s="52" t="s">
        <v>64</v>
      </c>
    </row>
    <row r="3" spans="1:23" s="7" customFormat="1" ht="15.75" customHeight="1" x14ac:dyDescent="0.2">
      <c r="A3" s="38" t="s">
        <v>35</v>
      </c>
      <c r="B3" s="39">
        <f>0*(1/1000)</f>
        <v>0</v>
      </c>
      <c r="C3" s="40">
        <f>29151.8207145997*(1/1000)</f>
        <v>29.151820714599655</v>
      </c>
      <c r="D3" s="39">
        <f>29151.8207145997*(1/1000)</f>
        <v>29.151820714599655</v>
      </c>
      <c r="E3" s="40">
        <f>29151.8207145997*(1/1000)</f>
        <v>29.151820714599655</v>
      </c>
      <c r="F3" s="39">
        <f t="shared" ref="F3:K3" si="0">117295.520429061*(1/1000)</f>
        <v>117.29552042906114</v>
      </c>
      <c r="G3" s="40">
        <f t="shared" si="0"/>
        <v>117.29552042906114</v>
      </c>
      <c r="H3" s="39">
        <f t="shared" si="0"/>
        <v>117.29552042906114</v>
      </c>
      <c r="I3" s="40">
        <f t="shared" si="0"/>
        <v>117.29552042906114</v>
      </c>
      <c r="J3" s="39">
        <f t="shared" si="0"/>
        <v>117.29552042906114</v>
      </c>
      <c r="K3" s="40">
        <f t="shared" si="0"/>
        <v>117.29552042906114</v>
      </c>
      <c r="L3" s="39">
        <f>134521.143381456*(1/1000)</f>
        <v>134.52114338145572</v>
      </c>
      <c r="M3" s="40">
        <f>146013.985663268*(1/1000)</f>
        <v>146.0139856632679</v>
      </c>
      <c r="N3" s="39">
        <f>146013.985663268*(1/1000)</f>
        <v>146.0139856632679</v>
      </c>
      <c r="O3" s="40">
        <f>189130.574654913*(1/1000)</f>
        <v>189.13057465491315</v>
      </c>
      <c r="P3" s="39">
        <f>366623.627413722*(1/1000)</f>
        <v>366.62362741372186</v>
      </c>
      <c r="Q3" s="40">
        <f>441956.679056624*(1/1000)</f>
        <v>441.95667905662373</v>
      </c>
      <c r="R3" s="39">
        <f>1008302.63375176*(1/1000)</f>
        <v>1008.3026337517573</v>
      </c>
      <c r="S3" s="40">
        <f>1740660.78433003*(1/1000)</f>
        <v>1740.6607843300342</v>
      </c>
      <c r="T3" s="39">
        <f>1834553.00208032*(1/1000)</f>
        <v>1834.5530020803226</v>
      </c>
      <c r="U3" s="40">
        <f>1853531.03138107*(1/1000)</f>
        <v>1853.5310313810683</v>
      </c>
      <c r="V3" s="39">
        <f>1981162.89007754*(1/1000)</f>
        <v>1981.1628900775395</v>
      </c>
      <c r="W3" s="40">
        <f>2000091.30486406*(1/1000)</f>
        <v>2000.0913048640575</v>
      </c>
    </row>
    <row r="4" spans="1:23" s="7" customFormat="1" ht="15.75" customHeight="1" x14ac:dyDescent="0.2">
      <c r="A4" s="38" t="s">
        <v>36</v>
      </c>
      <c r="B4" s="39">
        <f>0*(1/1000)</f>
        <v>0</v>
      </c>
      <c r="C4" s="40">
        <f>0*(1/1000)</f>
        <v>0</v>
      </c>
      <c r="D4" s="39">
        <f>0*(1/1000)</f>
        <v>0</v>
      </c>
      <c r="E4" s="40">
        <f>0*(1/1000)</f>
        <v>0</v>
      </c>
      <c r="F4" s="39">
        <f>0*(1/1000)</f>
        <v>0</v>
      </c>
      <c r="G4" s="40">
        <f>0*(1/1000)</f>
        <v>0</v>
      </c>
      <c r="H4" s="39">
        <f>45581.3881384663*(1/1000)</f>
        <v>45.581388138466316</v>
      </c>
      <c r="I4" s="40">
        <f>143727.585038331*(1/1000)</f>
        <v>143.72758503833143</v>
      </c>
      <c r="J4" s="39">
        <f>226720.079666859*(1/1000)</f>
        <v>226.72007966685945</v>
      </c>
      <c r="K4" s="40">
        <f>314411.017414943*(1/1000)</f>
        <v>314.41101741494333</v>
      </c>
      <c r="L4" s="39">
        <f>422608.320305682*(1/1000)</f>
        <v>422.60832030568247</v>
      </c>
      <c r="M4" s="40">
        <f>575878.779487163*(1/1000)</f>
        <v>575.878779487163</v>
      </c>
      <c r="N4" s="39">
        <f>575878.779487163*(1/1000)</f>
        <v>575.878779487163</v>
      </c>
      <c r="O4" s="40">
        <f>575878.779487163*(1/1000)</f>
        <v>575.878779487163</v>
      </c>
      <c r="P4" s="39">
        <f>579625.992425268*(1/1000)</f>
        <v>579.62599242526846</v>
      </c>
      <c r="Q4" s="40">
        <f>596014.036516975*(1/1000)</f>
        <v>596.01403651697535</v>
      </c>
      <c r="R4" s="39">
        <f>611678.004645949*(1/1000)</f>
        <v>611.6780046459495</v>
      </c>
      <c r="S4" s="40">
        <f>635514.335231522*(1/1000)</f>
        <v>635.51433523152218</v>
      </c>
      <c r="T4" s="39">
        <f>999359.494736594*(1/1000)</f>
        <v>999.35949473659412</v>
      </c>
      <c r="U4" s="40">
        <f>1101850.24646271*(1/1000)</f>
        <v>1101.8502464627122</v>
      </c>
      <c r="V4" s="39">
        <f>1184479.9658335*(1/1000)</f>
        <v>1184.4799658335028</v>
      </c>
      <c r="W4" s="40">
        <f>1243009.17107632*(1/1000)</f>
        <v>1243.009171076324</v>
      </c>
    </row>
    <row r="5" spans="1:23" s="7" customFormat="1" ht="15.75" customHeight="1" x14ac:dyDescent="0.2">
      <c r="A5" s="38" t="s">
        <v>37</v>
      </c>
      <c r="B5" s="39">
        <f>0*(1/1000)</f>
        <v>0</v>
      </c>
      <c r="C5" s="40">
        <f>7427.58607661973*(1/1000)</f>
        <v>7.4275860766197273</v>
      </c>
      <c r="D5" s="39">
        <f>78445.0112085244*(1/1000)</f>
        <v>78.445011208524377</v>
      </c>
      <c r="E5" s="40">
        <f>154534.899453674*(1/1000)</f>
        <v>154.53489945367369</v>
      </c>
      <c r="F5" s="39">
        <f>242044.810227028*(1/1000)</f>
        <v>242.04481022702757</v>
      </c>
      <c r="G5" s="40">
        <f>459016.091897411*(1/1000)</f>
        <v>459.01609189741083</v>
      </c>
      <c r="H5" s="39">
        <f t="shared" ref="H5:O5" si="1">545100.39588598*(1/1000)</f>
        <v>545.10039588598022</v>
      </c>
      <c r="I5" s="40">
        <f t="shared" si="1"/>
        <v>545.10039588598022</v>
      </c>
      <c r="J5" s="39">
        <f t="shared" si="1"/>
        <v>545.10039588598022</v>
      </c>
      <c r="K5" s="40">
        <f t="shared" si="1"/>
        <v>545.10039588598022</v>
      </c>
      <c r="L5" s="39">
        <f t="shared" si="1"/>
        <v>545.10039588598022</v>
      </c>
      <c r="M5" s="40">
        <f t="shared" si="1"/>
        <v>545.10039588598022</v>
      </c>
      <c r="N5" s="39">
        <f t="shared" si="1"/>
        <v>545.10039588598022</v>
      </c>
      <c r="O5" s="40">
        <f t="shared" si="1"/>
        <v>545.10039588598022</v>
      </c>
      <c r="P5" s="39">
        <f>584357.599654502*(1/1000)</f>
        <v>584.35759965450166</v>
      </c>
      <c r="Q5" s="40">
        <f>584357.599654502*(1/1000)</f>
        <v>584.35759965450166</v>
      </c>
      <c r="R5" s="39">
        <f>695072.65760442*(1/1000)</f>
        <v>695.07265760442033</v>
      </c>
      <c r="S5" s="40">
        <f>727460.620479856*(1/1000)</f>
        <v>727.4606204798564</v>
      </c>
      <c r="T5" s="39">
        <f>909920.892799487*(1/1000)</f>
        <v>909.92089279948732</v>
      </c>
      <c r="U5" s="40">
        <f>916373.397058087*(1/1000)</f>
        <v>916.37339705808677</v>
      </c>
      <c r="V5" s="39">
        <f>923575.602204615*(1/1000)</f>
        <v>923.5756022046146</v>
      </c>
      <c r="W5" s="40">
        <f>925758.812036143*(1/1000)</f>
        <v>925.75881203614335</v>
      </c>
    </row>
    <row r="6" spans="1:23" s="7" customFormat="1" ht="15.75" customHeight="1" x14ac:dyDescent="0.2">
      <c r="A6" s="38" t="s">
        <v>38</v>
      </c>
      <c r="B6" s="39">
        <f>0*(1/1000)</f>
        <v>0</v>
      </c>
      <c r="C6" s="40">
        <f>18361.9734542565*(1/1000)</f>
        <v>18.361973454256475</v>
      </c>
      <c r="D6" s="39">
        <f>18361.9734542565*(1/1000)</f>
        <v>18.361973454256475</v>
      </c>
      <c r="E6" s="40">
        <f>18361.9734542565*(1/1000)</f>
        <v>18.361973454256475</v>
      </c>
      <c r="F6" s="39">
        <f>26210.9908726948*(1/1000)</f>
        <v>26.210990872694783</v>
      </c>
      <c r="G6" s="40">
        <f>26210.9908726948*(1/1000)</f>
        <v>26.210990872694783</v>
      </c>
      <c r="H6" s="39">
        <f>124583.31418593*(1/1000)</f>
        <v>124.58331418592964</v>
      </c>
      <c r="I6" s="40">
        <f>166837.595958166*(1/1000)</f>
        <v>166.83759595816642</v>
      </c>
      <c r="J6" s="39">
        <f>166837.595958166*(1/1000)</f>
        <v>166.83759595816642</v>
      </c>
      <c r="K6" s="40">
        <f>166837.595958166*(1/1000)</f>
        <v>166.83759595816642</v>
      </c>
      <c r="L6" s="39">
        <f>182562.595892975*(1/1000)</f>
        <v>182.56259589297477</v>
      </c>
      <c r="M6" s="40">
        <f>182562.595892975*(1/1000)</f>
        <v>182.56259589297477</v>
      </c>
      <c r="N6" s="39">
        <f>182562.595892975*(1/1000)</f>
        <v>182.56259589297477</v>
      </c>
      <c r="O6" s="40">
        <f>182562.595892975*(1/1000)</f>
        <v>182.56259589297477</v>
      </c>
      <c r="P6" s="39">
        <f>306555.582535544*(1/1000)</f>
        <v>306.55558253554409</v>
      </c>
      <c r="Q6" s="40">
        <f>306555.582535544*(1/1000)</f>
        <v>306.55558253554409</v>
      </c>
      <c r="R6" s="39">
        <f>306555.582535544*(1/1000)</f>
        <v>306.55558253554409</v>
      </c>
      <c r="S6" s="40">
        <f>344221.189518545*(1/1000)</f>
        <v>344.22118951854509</v>
      </c>
      <c r="T6" s="39">
        <f>438234.820091449*(1/1000)</f>
        <v>438.23482009144902</v>
      </c>
      <c r="U6" s="40">
        <f>457808.142799844*(1/1000)</f>
        <v>457.80814279984361</v>
      </c>
      <c r="V6" s="39">
        <f>480758.996500852*(1/1000)</f>
        <v>480.75899650085188</v>
      </c>
      <c r="W6" s="40">
        <f>498061.342336953*(1/1000)</f>
        <v>498.06134233695337</v>
      </c>
    </row>
    <row r="7" spans="1:23" s="7" customFormat="1" ht="15.75" customHeight="1" x14ac:dyDescent="0.2">
      <c r="A7" s="38" t="s">
        <v>39</v>
      </c>
      <c r="B7" s="39">
        <f>0*(1/1000)</f>
        <v>0</v>
      </c>
      <c r="C7" s="40">
        <f t="shared" ref="C7:K7" si="2">0*(1/1000)</f>
        <v>0</v>
      </c>
      <c r="D7" s="39">
        <f t="shared" si="2"/>
        <v>0</v>
      </c>
      <c r="E7" s="40">
        <f t="shared" si="2"/>
        <v>0</v>
      </c>
      <c r="F7" s="39">
        <f t="shared" si="2"/>
        <v>0</v>
      </c>
      <c r="G7" s="40">
        <f t="shared" si="2"/>
        <v>0</v>
      </c>
      <c r="H7" s="39">
        <f t="shared" si="2"/>
        <v>0</v>
      </c>
      <c r="I7" s="40">
        <f t="shared" si="2"/>
        <v>0</v>
      </c>
      <c r="J7" s="39">
        <f t="shared" si="2"/>
        <v>0</v>
      </c>
      <c r="K7" s="40">
        <f t="shared" si="2"/>
        <v>0</v>
      </c>
      <c r="L7" s="39">
        <f>13065.0763827315*(1/1000)</f>
        <v>13.065076382731466</v>
      </c>
      <c r="M7" s="40">
        <f>19514.8777970809*(1/1000)</f>
        <v>19.514877797080889</v>
      </c>
      <c r="N7" s="39">
        <f>19514.8777970809*(1/1000)</f>
        <v>19.514877797080889</v>
      </c>
      <c r="O7" s="40">
        <f>19514.8777970809*(1/1000)</f>
        <v>19.514877797080889</v>
      </c>
      <c r="P7" s="39">
        <f>52243.6639063871*(1/1000)</f>
        <v>52.243663906387098</v>
      </c>
      <c r="Q7" s="40">
        <f>53660.6607634706*(1/1000)</f>
        <v>53.660660763470609</v>
      </c>
      <c r="R7" s="39">
        <f>75101.8210602711*(1/1000)</f>
        <v>75.101821060271092</v>
      </c>
      <c r="S7" s="40">
        <f>75101.8210602711*(1/1000)</f>
        <v>75.101821060271092</v>
      </c>
      <c r="T7" s="39">
        <f>86203.475484539*(1/1000)</f>
        <v>86.203475484538984</v>
      </c>
      <c r="U7" s="40">
        <f>86203.475484539*(1/1000)</f>
        <v>86.203475484538984</v>
      </c>
      <c r="V7" s="39">
        <f>86415.9833017386*(1/1000)</f>
        <v>86.415983301738578</v>
      </c>
      <c r="W7" s="40">
        <f>86415.9833017386*(1/1000)</f>
        <v>86.415983301738578</v>
      </c>
    </row>
    <row r="8" spans="1:23" s="4" customFormat="1" x14ac:dyDescent="0.2">
      <c r="A8" s="60" t="s">
        <v>75</v>
      </c>
      <c r="B8" s="8"/>
      <c r="C8" s="8"/>
      <c r="D8" s="8"/>
      <c r="E8" s="8"/>
      <c r="F8" s="8"/>
      <c r="G8" s="8"/>
      <c r="H8" s="8"/>
      <c r="I8" s="8"/>
      <c r="J8" s="8"/>
      <c r="K8" s="8"/>
      <c r="L8" s="8"/>
      <c r="M8" s="8"/>
      <c r="N8" s="8"/>
      <c r="O8" s="8"/>
      <c r="P8" s="8"/>
      <c r="Q8" s="8"/>
      <c r="R8" s="8"/>
      <c r="S8" s="8"/>
      <c r="T8" s="8"/>
      <c r="U8" s="8"/>
      <c r="V8" s="8"/>
      <c r="W8" s="8"/>
    </row>
    <row r="9" spans="1:23" s="4" customFormat="1" x14ac:dyDescent="0.2"/>
    <row r="10" spans="1:23" x14ac:dyDescent="0.2">
      <c r="Q10" s="4"/>
      <c r="R10" s="4"/>
      <c r="S10" s="4"/>
      <c r="T10" s="4"/>
      <c r="U10" s="4"/>
      <c r="V10" s="4"/>
      <c r="W10" s="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E5EE2FDD9A15D549AEA83EA1B400EBDA" ma:contentTypeVersion="0" ma:contentTypeDescription="Create a new document." ma:contentTypeScope="" ma:versionID="ad79084dcdd2c6282bac2fbd9f324cf9">
  <xsd:schema xmlns:xsd="http://www.w3.org/2001/XMLSchema" xmlns:xs="http://www.w3.org/2001/XMLSchema" xmlns:p="http://schemas.microsoft.com/office/2006/metadata/properties" xmlns:ns2="a14523ce-dede-483e-883a-2d83261080bd" targetNamespace="http://schemas.microsoft.com/office/2006/metadata/properties" ma:root="true" ma:fieldsID="7609b2132cc27c2e027996f255529d92" ns2:_="">
    <xsd:import namespace="a14523ce-dede-483e-883a-2d83261080bd"/>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4523ce-dede-483e-883a-2d83261080bd"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dlc_DocId xmlns="a14523ce-dede-483e-883a-2d83261080bd">NETWORKDEV-1262562635-211</_dlc_DocId>
    <_dlc_DocIdUrl xmlns="a14523ce-dede-483e-883a-2d83261080bd">
      <Url>http://sharedocs/sites/nd/BusinessAsUsual/_layouts/15/DocIdRedir.aspx?ID=NETWORKDEV-1262562635-211</Url>
      <Description>NETWORKDEV-1262562635-211</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3380B06-6E3E-4C9D-8411-B660C8F1C27A}">
  <ds:schemaRefs>
    <ds:schemaRef ds:uri="http://schemas.microsoft.com/sharepoint/events"/>
  </ds:schemaRefs>
</ds:datastoreItem>
</file>

<file path=customXml/itemProps2.xml><?xml version="1.0" encoding="utf-8"?>
<ds:datastoreItem xmlns:ds="http://schemas.openxmlformats.org/officeDocument/2006/customXml" ds:itemID="{E4A598E6-027C-4B44-AE39-518E591F35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4523ce-dede-483e-883a-2d83261080b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3203936-8F89-476E-B0D1-A4F68C695FA1}">
  <ds:schemaRefs>
    <ds:schemaRef ds:uri="http://purl.org/dc/elements/1.1/"/>
    <ds:schemaRef ds:uri="http://schemas.microsoft.com/office/infopath/2007/PartnerControls"/>
    <ds:schemaRef ds:uri="http://schemas.microsoft.com/office/2006/documentManagement/types"/>
    <ds:schemaRef ds:uri="http://schemas.openxmlformats.org/package/2006/metadata/core-properties"/>
    <ds:schemaRef ds:uri="a14523ce-dede-483e-883a-2d83261080bd"/>
    <ds:schemaRef ds:uri="http://www.w3.org/XML/1998/namespace"/>
    <ds:schemaRef ds:uri="http://schemas.microsoft.com/office/2006/metadata/properties"/>
    <ds:schemaRef ds:uri="http://purl.org/dc/dcmitype/"/>
    <ds:schemaRef ds:uri="http://purl.org/dc/terms/"/>
  </ds:schemaRefs>
</ds:datastoreItem>
</file>

<file path=customXml/itemProps4.xml><?xml version="1.0" encoding="utf-8"?>
<ds:datastoreItem xmlns:ds="http://schemas.openxmlformats.org/officeDocument/2006/customXml" ds:itemID="{C4884797-D8A5-45D4-A6C8-85916C62C8C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Charts</vt:lpstr>
      </vt:variant>
      <vt:variant>
        <vt:i4>3</vt:i4>
      </vt:variant>
    </vt:vector>
  </HeadingPairs>
  <TitlesOfParts>
    <vt:vector size="10" baseType="lpstr">
      <vt:lpstr>Index</vt:lpstr>
      <vt:lpstr>Market Benefits Summary</vt:lpstr>
      <vt:lpstr>Net Market Benefits</vt:lpstr>
      <vt:lpstr>NEMInstalledCapacity Data</vt:lpstr>
      <vt:lpstr>NEMEnergyGenerated Data</vt:lpstr>
      <vt:lpstr>NewAndRetiredCapacity Data</vt:lpstr>
      <vt:lpstr>GenerationInvestment</vt:lpstr>
      <vt:lpstr>NEMInstalledCapacity Figure</vt:lpstr>
      <vt:lpstr>NEMEnergyGenerated Figure</vt:lpstr>
      <vt:lpstr>NewAndRetiredCapacity Figure</vt:lpstr>
    </vt:vector>
  </TitlesOfParts>
  <Company>AEMO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NTNDP_2016_Additional_Information</dc:title>
  <dc:creator>Monique Meerkotter</dc:creator>
  <cp:lastModifiedBy>AEMO</cp:lastModifiedBy>
  <dcterms:created xsi:type="dcterms:W3CDTF">2012-11-20T01:45:39Z</dcterms:created>
  <dcterms:modified xsi:type="dcterms:W3CDTF">2018-07-24T04:40:42Z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0x010100E5EE2FDD9A15D549AEA83EA1B400EBDA</vt:lpwstr>
  </property>
  <property fmtid="{D5CDD505-2E9C-101B-9397-08002B2CF9AE}" pid="3" name="_dlc_DocIdItemGuid">
    <vt:lpwstr>33e8c2c2-cf42-46e7-a3e5-46bd238f3641</vt:lpwstr>
  </property>
  <property fmtid="{D5CDD505-2E9C-101B-9397-08002B2CF9AE}" pid="4" name="AEMOKeywords">
    <vt:lpwstr/>
  </property>
  <property fmtid="{D5CDD505-2E9C-101B-9397-08002B2CF9AE}" pid="5" name="AEMODocumentType">
    <vt:lpwstr>1;#Operational Record|859762f2-4462-42eb-9744-c955c7e2c540</vt:lpwstr>
  </property>
  <property fmtid="{D5CDD505-2E9C-101B-9397-08002B2CF9AE}" pid="6" name="DocumentStorageId">
    <vt:lpwstr/>
  </property>
  <property fmtid="{D5CDD505-2E9C-101B-9397-08002B2CF9AE}" pid="7" name="AEMODocumentTypeTaxHTField0">
    <vt:lpwstr>Operational Record|859762f2-4462-42eb-9744-c955c7e2c540</vt:lpwstr>
  </property>
  <property fmtid="{D5CDD505-2E9C-101B-9397-08002B2CF9AE}" pid="8" name="TaxCatchAll">
    <vt:lpwstr>1;#Operational Record|859762f2-4462-42eb-9744-c955c7e2c540</vt:lpwstr>
  </property>
  <property fmtid="{D5CDD505-2E9C-101B-9397-08002B2CF9AE}" pid="9" name="AEMOKeywordsTaxHTField0">
    <vt:lpwstr/>
  </property>
</Properties>
</file>