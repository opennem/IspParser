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chartsheets/sheet2.xml" ContentType="application/vnd.openxmlformats-officedocument.spreadsheetml.chartsheet+xml"/>
  <Override PartName="/xl/worksheets/sheet5.xml" ContentType="application/vnd.openxmlformats-officedocument.spreadsheetml.worksheet+xml"/>
  <Override PartName="/xl/chartsheets/sheet3.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6925"/>
  <workbookPr codeName="ThisWorkbook"/>
  <mc:AlternateContent xmlns:mc="http://schemas.openxmlformats.org/markup-compatibility/2006">
    <mc:Choice Requires="x15">
      <x15ac:absPath xmlns:x15ac="http://schemas.microsoft.com/office/spreadsheetml/2010/11/ac" url="A:\ISP\Reports for publication\ISP database\2018 ISP Generation and Transmission Outlooks\"/>
    </mc:Choice>
  </mc:AlternateContent>
  <bookViews>
    <workbookView xWindow="0" yWindow="0" windowWidth="28800" windowHeight="12075" tabRatio="876"/>
  </bookViews>
  <sheets>
    <sheet name="Index" sheetId="42" r:id="rId1"/>
    <sheet name="Market Benefits Summary" sheetId="47" r:id="rId2"/>
    <sheet name="Net Market Benefits" sheetId="46" r:id="rId3"/>
    <sheet name="NEMInstalledCapacity Figure" sheetId="40" r:id="rId4"/>
    <sheet name="NEMInstalledCapacity Data" sheetId="2" r:id="rId5"/>
    <sheet name="NEMEnergyGenerated Figure" sheetId="41" r:id="rId6"/>
    <sheet name="NEMEnergyGenerated Data" sheetId="5" r:id="rId7"/>
    <sheet name="NewAndRetiredCapacity Figure" sheetId="38" r:id="rId8"/>
    <sheet name="NewAndRetiredCapacity Data" sheetId="29" r:id="rId9"/>
    <sheet name="GenerationInvestment" sheetId="43" r:id="rId10"/>
  </sheets>
  <definedNames>
    <definedName name="_xlnm._FilterDatabase" localSheetId="6" hidden="1">'NEMEnergyGenerated Data'!#REF!</definedName>
    <definedName name="_xlnm._FilterDatabase" localSheetId="4" hidden="1">'NEMInstalledCapacity Data'!$A$15:$AR$17</definedName>
    <definedName name="_xlnm._FilterDatabase" localSheetId="2" hidden="1">'Net Market Benefits'!#REF!</definedName>
    <definedName name="_xlnm._FilterDatabase" localSheetId="8" hidden="1">'NewAndRetiredCapacity Data'!#REF!</definedName>
  </definedNames>
  <calcPr calcId="171027"/>
</workbook>
</file>

<file path=xl/calcChain.xml><?xml version="1.0" encoding="utf-8"?>
<calcChain xmlns="http://schemas.openxmlformats.org/spreadsheetml/2006/main">
  <c r="S24" i="47" l="1"/>
  <c r="R24" i="47"/>
  <c r="L24" i="47"/>
  <c r="K24" i="47"/>
  <c r="E24" i="47"/>
  <c r="D24" i="47"/>
  <c r="S12" i="47"/>
  <c r="R12" i="47"/>
  <c r="L12" i="47"/>
  <c r="K12" i="47"/>
  <c r="E12" i="47"/>
  <c r="D12" i="47"/>
  <c r="T10" i="47"/>
  <c r="T9" i="47"/>
  <c r="T8" i="47"/>
  <c r="T7" i="47"/>
  <c r="T6" i="47"/>
  <c r="T5" i="47"/>
  <c r="W14" i="29" l="1"/>
  <c r="V14" i="29"/>
  <c r="U14" i="29"/>
  <c r="T14" i="29"/>
  <c r="S14" i="29"/>
  <c r="R14" i="29"/>
  <c r="Q14" i="29"/>
  <c r="P14" i="29"/>
  <c r="O14" i="29"/>
  <c r="N14" i="29"/>
  <c r="M14" i="29"/>
  <c r="L14" i="29"/>
  <c r="K14" i="29"/>
  <c r="J14" i="29"/>
  <c r="I14" i="29"/>
  <c r="H14" i="29"/>
  <c r="G14" i="29"/>
  <c r="F14" i="29"/>
  <c r="E14" i="29"/>
  <c r="D14" i="29"/>
  <c r="C14" i="29"/>
  <c r="B14" i="29"/>
  <c r="E16" i="5" l="1"/>
  <c r="F16" i="5"/>
  <c r="G16" i="5"/>
  <c r="H16" i="5"/>
  <c r="I16" i="5"/>
  <c r="J16" i="5"/>
  <c r="K16" i="5"/>
  <c r="L16" i="5"/>
  <c r="M16" i="5"/>
  <c r="N16" i="5"/>
  <c r="O16" i="5"/>
  <c r="P16" i="5"/>
  <c r="Q16" i="5"/>
  <c r="R16" i="5"/>
  <c r="S16" i="5"/>
  <c r="T16" i="5"/>
  <c r="U16" i="5"/>
  <c r="V16" i="5"/>
  <c r="W16" i="5"/>
  <c r="X16" i="5"/>
  <c r="D16" i="5"/>
  <c r="C16" i="5"/>
  <c r="W14" i="2"/>
  <c r="X14" i="2"/>
  <c r="D14" i="2" l="1"/>
  <c r="E14" i="2"/>
  <c r="F14" i="2"/>
  <c r="G14" i="2"/>
  <c r="H14" i="2"/>
  <c r="I14" i="2"/>
  <c r="J14" i="2"/>
  <c r="K14" i="2"/>
  <c r="L14" i="2"/>
  <c r="M14" i="2"/>
  <c r="N14" i="2"/>
  <c r="O14" i="2"/>
  <c r="P14" i="2"/>
  <c r="Q14" i="2"/>
  <c r="R14" i="2"/>
  <c r="S14" i="2"/>
  <c r="T14" i="2"/>
  <c r="U14" i="2"/>
  <c r="V14" i="2"/>
  <c r="C14" i="2"/>
</calcChain>
</file>

<file path=xl/sharedStrings.xml><?xml version="1.0" encoding="utf-8"?>
<sst xmlns="http://schemas.openxmlformats.org/spreadsheetml/2006/main" count="425" uniqueCount="108">
  <si>
    <t>2018-19</t>
  </si>
  <si>
    <t>2019-20</t>
  </si>
  <si>
    <t>2020-21</t>
  </si>
  <si>
    <t>2021-22</t>
  </si>
  <si>
    <t>2022-23</t>
  </si>
  <si>
    <t>2023-24</t>
  </si>
  <si>
    <t>2024-25</t>
  </si>
  <si>
    <t>2025-26</t>
  </si>
  <si>
    <t>2026-27</t>
  </si>
  <si>
    <t>2027-28</t>
  </si>
  <si>
    <t>2028-29</t>
  </si>
  <si>
    <t>2029-30</t>
  </si>
  <si>
    <t>2030-31</t>
  </si>
  <si>
    <t>2031-32</t>
  </si>
  <si>
    <t>2032-33</t>
  </si>
  <si>
    <t>2033-34</t>
  </si>
  <si>
    <t>2034-35</t>
  </si>
  <si>
    <t>Hydro</t>
  </si>
  <si>
    <t>Wind</t>
  </si>
  <si>
    <t>Total</t>
  </si>
  <si>
    <t>Technology</t>
  </si>
  <si>
    <t>Cumulative NEM Total New Entry / Retired Capacity by Technology (MW)</t>
  </si>
  <si>
    <t>Total NEM Installed Capacity by Technology (MW)</t>
  </si>
  <si>
    <t>Please note that the data format may need to be adjusted in order to view the data to the level of fidelity required. 
For example, you may need to format the cell to a more appropriate number of decimal places in some cases as desired.</t>
  </si>
  <si>
    <t>Index Table</t>
  </si>
  <si>
    <t>Tab Name</t>
  </si>
  <si>
    <t>Content Description</t>
  </si>
  <si>
    <t>NEMInstalledCapacity Figure</t>
  </si>
  <si>
    <t>NEMInstalledCapacity Data</t>
  </si>
  <si>
    <t>NEMEnergyGenerated Figure</t>
  </si>
  <si>
    <t>NEMEnergyGenerated Data</t>
  </si>
  <si>
    <t>NewAndRetiredCapacity Figure</t>
  </si>
  <si>
    <t>NewAndRetiredCapacity Data</t>
  </si>
  <si>
    <t>GenerationInvestment</t>
  </si>
  <si>
    <t>Region</t>
  </si>
  <si>
    <t>NSW</t>
  </si>
  <si>
    <t>QLD</t>
  </si>
  <si>
    <t>VIC</t>
  </si>
  <si>
    <t>SA</t>
  </si>
  <si>
    <t>TAS</t>
  </si>
  <si>
    <t xml:space="preserve">Total </t>
  </si>
  <si>
    <t>Rooftop PV</t>
  </si>
  <si>
    <t>NEM</t>
  </si>
  <si>
    <t>About</t>
  </si>
  <si>
    <t>CCGT</t>
  </si>
  <si>
    <t>2035-36</t>
  </si>
  <si>
    <t>$ million</t>
  </si>
  <si>
    <t>Generation Cost</t>
  </si>
  <si>
    <t>FO&amp;M Cost</t>
  </si>
  <si>
    <t>Build Cost</t>
  </si>
  <si>
    <t>Intra-connectors</t>
  </si>
  <si>
    <t>Inter-connectors</t>
  </si>
  <si>
    <t>Total NEM installed capacity by technology (MW) and total NEM installed capacity by technology and zone (MW), yearly resolution for period 2018–19 to 2039–40.</t>
  </si>
  <si>
    <t>Cumulative NEM total new entry and retired capacity by technology (MW) and cumulative NEM total new entry and retired capacity by technology and zone, yearly resolution for period 2018–19 to 2039–40.</t>
  </si>
  <si>
    <t>Generation investment across the NEM ($ million), yearly resolution for period 2018–19 to 2039–40.</t>
  </si>
  <si>
    <t>Black coal</t>
  </si>
  <si>
    <t>Brown coal</t>
  </si>
  <si>
    <t>Peaking gas + liquids</t>
  </si>
  <si>
    <t>Utility Solar</t>
  </si>
  <si>
    <t>Utility storage</t>
  </si>
  <si>
    <t>Biomass</t>
  </si>
  <si>
    <t>Distributed storage</t>
  </si>
  <si>
    <t>2036-37</t>
  </si>
  <si>
    <t>2037-38</t>
  </si>
  <si>
    <t>2038-39</t>
  </si>
  <si>
    <t>2039-40</t>
  </si>
  <si>
    <t>Distributed storage load</t>
  </si>
  <si>
    <t>Utility storage generation</t>
  </si>
  <si>
    <t>Utility storage load</t>
  </si>
  <si>
    <t>Distributed storage generation</t>
  </si>
  <si>
    <t>Total NEM Generated Energy by Technology (GWh)</t>
  </si>
  <si>
    <t>Annualised Generation Investment across the NEM ($ million)</t>
  </si>
  <si>
    <t>2018 ISP Generation Outlook</t>
  </si>
  <si>
    <t>Total NEM generated energy by technology (GWh) and total NEM generated energy by technology and zone (GWh), yearly resolution for period 2018–19 to 2039–40.</t>
  </si>
  <si>
    <t>Breakdown of the total market benefits provided under this scenario. Market benefit is presented as NPV of equivalent annuities.</t>
  </si>
  <si>
    <t>* Excludes annualised cost of committed and advanced generation projects</t>
  </si>
  <si>
    <t>Market Benefits Summary</t>
  </si>
  <si>
    <t>Market benefits summary for all scenarios in the 2018 ISP. Market benefit is presented as NPV of equivalent annuities.</t>
  </si>
  <si>
    <t>Market Benefits of Neutral scenario by 2040</t>
  </si>
  <si>
    <t>Market Benefits of Fast Change scenario by 2040</t>
  </si>
  <si>
    <t>Market Benefits of Slow Change scenario by 2040</t>
  </si>
  <si>
    <t>Neutral (without the interconnection plan)</t>
  </si>
  <si>
    <t>Neutral (with interconnection plan)</t>
  </si>
  <si>
    <t>NPV ($ million)</t>
  </si>
  <si>
    <t>Fast change (without the interconnection plan)</t>
  </si>
  <si>
    <t>Fast change (with interconnection plan)</t>
  </si>
  <si>
    <t>Slow change (without the interconnection plan)</t>
  </si>
  <si>
    <t>Slow change (with interconnection plan)</t>
  </si>
  <si>
    <t>Explicit investment</t>
  </si>
  <si>
    <t>Market Benefits of Neutral with storage intiatives scenario by 2040</t>
  </si>
  <si>
    <t>Market Benefits of Increased Role For Gas scenario by 2040</t>
  </si>
  <si>
    <t>Market Benefits of High DER scenario by 2040</t>
  </si>
  <si>
    <t>Neutral with storage initiatives (without the interconnection plan)</t>
  </si>
  <si>
    <t>Neutral with storage (with interconnection plan)</t>
  </si>
  <si>
    <t>Increased role for gas (without the interconnection plan)</t>
  </si>
  <si>
    <t>Increased role for gas (with interconnection plan)</t>
  </si>
  <si>
    <t>High DER (without the interconnection plan)</t>
  </si>
  <si>
    <t>High DER (with interconnection plan)</t>
  </si>
  <si>
    <t>Version History</t>
  </si>
  <si>
    <t>Version Number</t>
  </si>
  <si>
    <t>Description</t>
  </si>
  <si>
    <t>v1.0</t>
  </si>
  <si>
    <t>Initial release</t>
  </si>
  <si>
    <t>v2.0</t>
  </si>
  <si>
    <t>Updated release – added Market Benefits Summary worksheet describing the Gross Market Benefits of each scenario. Updated “Market Benefits” sheet to “Net Market Benefits”</t>
  </si>
  <si>
    <t>Net Market Benefits</t>
  </si>
  <si>
    <t>This spreadsheet contains the generation and transmission outlook for the Netural with Storage scenario of the 2018 ISP. For a complete description of the scenarios and sensitivities, please see the 2018 ISP main report.</t>
  </si>
  <si>
    <t>Net Market Benefits of Neutral with Storage scenario by 2040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</si>
</sst>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8" formatCode="&quot;$&quot;#,##0.00;[Red]\-&quot;$&quot;#,##0.00"/>
    <numFmt numFmtId="44" formatCode="_-&quot;$&quot;* #,##0.00_-;\-&quot;$&quot;* #,##0.00_-;_-&quot;$&quot;* &quot;-&quot;??_-;_-@_-"/>
    <numFmt numFmtId="43" formatCode="_-* #,##0.00_-;\-* #,##0.00_-;_-* &quot;-&quot;??_-;_-@_-"/>
    <numFmt numFmtId="164" formatCode="#,##0_ ;\-#,##0\ "/>
    <numFmt numFmtId="165" formatCode="0.000000"/>
    <numFmt numFmtId="166" formatCode="_-* #,##0_-;\-* #,##0_-;_-* &quot;-&quot;??_-;_-@_-"/>
  </numFmts>
  <fonts count="45" x14ac:knownFonts="1">
    <font>
      <sz val="10"/>
      <color theme="1"/>
      <name val="Arial"/>
      <family val="2"/>
    </font>
    <font>
      <sz val="11"/>
      <color theme="1"/>
      <name val="Tw Cen MT"/>
      <family val="2"/>
      <scheme val="minor"/>
    </font>
    <font>
      <sz val="11"/>
      <color theme="1"/>
      <name val="Arial"/>
      <family val="2"/>
    </font>
    <font>
      <sz val="11"/>
      <color theme="1"/>
      <name val="Arial"/>
      <family val="2"/>
    </font>
    <font>
      <sz val="11"/>
      <color theme="1"/>
      <name val="Arial"/>
      <family val="2"/>
    </font>
    <font>
      <sz val="10"/>
      <name val="Arial"/>
      <family val="2"/>
    </font>
    <font>
      <sz val="10"/>
      <color theme="1"/>
      <name val="Arial"/>
      <family val="2"/>
    </font>
    <font>
      <sz val="8"/>
      <color theme="1"/>
      <name val="Arial"/>
      <family val="2"/>
    </font>
    <font>
      <sz val="10"/>
      <color theme="0"/>
      <name val="Arial"/>
      <family val="2"/>
    </font>
    <font>
      <sz val="11"/>
      <color theme="1"/>
      <name val="Arial"/>
      <family val="2"/>
    </font>
    <font>
      <sz val="11"/>
      <color theme="1"/>
      <name val="Tw Cen MT"/>
      <family val="2"/>
      <scheme val="minor"/>
    </font>
    <font>
      <sz val="8"/>
      <color theme="0"/>
      <name val="Arial"/>
      <family val="2"/>
    </font>
    <font>
      <sz val="8"/>
      <color rgb="FF000099"/>
      <name val="Arial"/>
      <family val="2"/>
    </font>
    <font>
      <sz val="7"/>
      <name val="Arial"/>
      <family val="2"/>
    </font>
    <font>
      <sz val="8"/>
      <color rgb="FF000080"/>
      <name val="Arial"/>
      <family val="2"/>
    </font>
    <font>
      <b/>
      <sz val="11"/>
      <color theme="1"/>
      <name val="Arial"/>
      <family val="2"/>
    </font>
    <font>
      <b/>
      <sz val="10"/>
      <color theme="1"/>
      <name val="Arial"/>
      <family val="2"/>
    </font>
    <font>
      <b/>
      <sz val="18"/>
      <color theme="3"/>
      <name val="Tw Cen M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5"/>
      <color rgb="FFF47321"/>
      <name val="Arial"/>
      <family val="2"/>
    </font>
    <font>
      <b/>
      <sz val="11"/>
      <color rgb="FFF47321"/>
      <name val="Arial"/>
      <family val="2"/>
    </font>
    <font>
      <b/>
      <sz val="12"/>
      <color rgb="FFC00000"/>
      <name val="Tw Cen MT"/>
      <family val="2"/>
      <scheme val="major"/>
    </font>
    <font>
      <b/>
      <sz val="8"/>
      <color rgb="FF000000"/>
      <name val="Tw Cen MT"/>
      <family val="2"/>
      <scheme val="minor"/>
    </font>
    <font>
      <sz val="10"/>
      <color theme="1"/>
      <name val="Tw Cen MT"/>
      <family val="2"/>
      <scheme val="minor"/>
    </font>
    <font>
      <sz val="8"/>
      <color theme="1"/>
      <name val="Tw Cen MT"/>
      <family val="2"/>
      <scheme val="minor"/>
    </font>
    <font>
      <b/>
      <sz val="8"/>
      <color theme="1"/>
      <name val="Tw Cen MT"/>
      <family val="2"/>
      <scheme val="minor"/>
    </font>
    <font>
      <sz val="10"/>
      <color theme="1"/>
      <name val="Tw Cen MT"/>
      <family val="2"/>
      <scheme val="major"/>
    </font>
    <font>
      <b/>
      <sz val="12"/>
      <color theme="5"/>
      <name val="Tw Cen MT"/>
      <family val="2"/>
      <scheme val="minor"/>
    </font>
    <font>
      <b/>
      <sz val="10"/>
      <color theme="5"/>
      <name val="Tw Cen MT"/>
      <family val="2"/>
      <scheme val="minor"/>
    </font>
    <font>
      <b/>
      <sz val="10"/>
      <color theme="1"/>
      <name val="Tw Cen MT"/>
      <family val="2"/>
      <scheme val="minor"/>
    </font>
    <font>
      <b/>
      <sz val="20"/>
      <color rgb="FFC41230"/>
      <name val="Tw Cen MT"/>
      <family val="2"/>
      <scheme val="major"/>
    </font>
    <font>
      <b/>
      <sz val="14"/>
      <color rgb="FFC41230"/>
      <name val="Tw Cen MT"/>
      <family val="2"/>
      <scheme val="major"/>
    </font>
    <font>
      <b/>
      <sz val="10"/>
      <name val="Tw Cen MT"/>
      <family val="2"/>
      <scheme val="minor"/>
    </font>
  </fonts>
  <fills count="40">
    <fill>
      <patternFill patternType="none"/>
    </fill>
    <fill>
      <patternFill patternType="gray125"/>
    </fill>
    <fill>
      <patternFill patternType="solid">
        <fgColor theme="4"/>
      </patternFill>
    </fill>
    <fill>
      <patternFill patternType="solid">
        <fgColor indexed="26"/>
      </patternFill>
    </fill>
    <fill>
      <patternFill patternType="solid">
        <fgColor indexed="49"/>
      </patternFill>
    </fill>
    <fill>
      <patternFill patternType="solid">
        <fgColor rgb="FFD9D9D9"/>
        <bgColor indexed="64"/>
      </patternFill>
    </fill>
    <fill>
      <patternFill patternType="solid">
        <fgColor indexed="22"/>
        <bgColor indexed="64"/>
      </patternFill>
    </fill>
    <fill>
      <patternFill patternType="solid">
        <fgColor rgb="FFE6E6E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style="medium">
        <color theme="0"/>
      </right>
      <top style="thin">
        <color indexed="64"/>
      </top>
      <bottom/>
      <diagonal/>
    </border>
    <border>
      <left/>
      <right style="medium">
        <color theme="0"/>
      </right>
      <top/>
      <bottom/>
      <diagonal/>
    </border>
    <border>
      <left/>
      <right style="medium">
        <color theme="0"/>
      </right>
      <top/>
      <bottom style="medium">
        <color theme="0"/>
      </bottom>
      <diagonal/>
    </border>
    <border>
      <left style="thin">
        <color rgb="FFFEFDFD"/>
      </left>
      <right style="thin">
        <color theme="2"/>
      </right>
      <top style="thin">
        <color indexed="64"/>
      </top>
      <bottom style="thin">
        <color indexed="64"/>
      </bottom>
      <diagonal/>
    </border>
    <border>
      <left/>
      <right style="thin">
        <color rgb="FFFEFDFD"/>
      </right>
      <top style="thin">
        <color indexed="64"/>
      </top>
      <bottom style="thin">
        <color indexed="64"/>
      </bottom>
      <diagonal/>
    </border>
    <border>
      <left style="thin">
        <color rgb="FFFEFDFD"/>
      </left>
      <right style="thin">
        <color theme="1" tint="0.749992370372631"/>
      </right>
      <top style="thin">
        <color indexed="64"/>
      </top>
      <bottom style="thin">
        <color theme="1" tint="0.749992370372631"/>
      </bottom>
      <diagonal/>
    </border>
    <border>
      <left style="thin">
        <color theme="1" tint="0.749992370372631"/>
      </left>
      <right style="thin">
        <color rgb="FFFEFDFD"/>
      </right>
      <top style="thin">
        <color indexed="64"/>
      </top>
      <bottom style="thin">
        <color theme="1" tint="0.749992370372631"/>
      </bottom>
      <diagonal/>
    </border>
    <border>
      <left style="thin">
        <color rgb="FFFEFDFD"/>
      </left>
      <right/>
      <top/>
      <bottom/>
      <diagonal/>
    </border>
    <border>
      <left style="thin">
        <color theme="1" tint="0.749992370372631"/>
      </left>
      <right style="thin">
        <color rgb="FFFEFDFD"/>
      </right>
      <top style="thin">
        <color theme="1" tint="0.749992370372631"/>
      </top>
      <bottom/>
      <diagonal/>
    </border>
    <border>
      <left style="thin">
        <color rgb="FFFEFDFD"/>
      </left>
      <right style="thin">
        <color theme="1" tint="0.749992370372631"/>
      </right>
      <top style="thin">
        <color theme="1" tint="0.749992370372631"/>
      </top>
      <bottom style="thin">
        <color theme="1" tint="0.749992370372631"/>
      </bottom>
      <diagonal/>
    </border>
    <border>
      <left style="thin">
        <color theme="1" tint="0.749992370372631"/>
      </left>
      <right style="thin">
        <color rgb="FFFEFDFD"/>
      </right>
      <top/>
      <bottom style="thin">
        <color theme="1" tint="0.749992370372631"/>
      </bottom>
      <diagonal/>
    </border>
    <border>
      <left style="thin">
        <color theme="1" tint="0.749992370372631"/>
      </left>
      <right style="thin">
        <color rgb="FFFEFDFD"/>
      </right>
      <top/>
      <bottom/>
      <diagonal/>
    </border>
    <border>
      <left style="thin">
        <color theme="1" tint="0.749992370372631"/>
      </left>
      <right style="thin">
        <color rgb="FFFEFDFD"/>
      </right>
      <top style="thin">
        <color theme="1" tint="0.749992370372631"/>
      </top>
      <bottom style="thin">
        <color theme="1" tint="0.749992370372631"/>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right/>
      <top/>
      <bottom style="thin">
        <color indexed="64"/>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rgb="FFFEFDFD"/>
      </left>
      <right style="thin">
        <color theme="1" tint="0.749992370372631"/>
      </right>
      <top style="thin">
        <color theme="1" tint="0.749992370372631"/>
      </top>
      <bottom/>
      <diagonal/>
    </border>
    <border>
      <left/>
      <right/>
      <top style="thin">
        <color theme="1" tint="0.749992370372631"/>
      </top>
      <bottom/>
      <diagonal/>
    </border>
  </borders>
  <cellStyleXfs count="711">
    <xf numFmtId="0" fontId="0" fillId="0" borderId="0"/>
    <xf numFmtId="0" fontId="6" fillId="0" borderId="0"/>
    <xf numFmtId="0" fontId="9" fillId="0" borderId="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10" fillId="0" borderId="0"/>
    <xf numFmtId="0" fontId="10" fillId="0" borderId="0"/>
    <xf numFmtId="0" fontId="1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1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9" fillId="0" borderId="0"/>
    <xf numFmtId="0" fontId="5" fillId="0" borderId="0"/>
    <xf numFmtId="0" fontId="7"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5" fillId="3" borderId="1" applyNumberFormat="0" applyFont="0" applyAlignment="0" applyProtection="0"/>
    <xf numFmtId="0" fontId="11" fillId="4" borderId="0">
      <alignment horizontal="center"/>
    </xf>
    <xf numFmtId="0" fontId="11" fillId="4" borderId="0">
      <alignment horizontal="center"/>
    </xf>
    <xf numFmtId="0" fontId="11" fillId="2"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2"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4"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9" fontId="5" fillId="0" borderId="0" applyFont="0" applyFill="0" applyBorder="0" applyAlignment="0" applyProtection="0"/>
    <xf numFmtId="9" fontId="5" fillId="0" borderId="0" applyFont="0" applyFill="0" applyBorder="0" applyAlignment="0" applyProtection="0"/>
    <xf numFmtId="4" fontId="7" fillId="0" borderId="0" applyNumberFormat="0" applyBorder="0" applyAlignment="0" applyProtection="0">
      <alignment horizontal="center"/>
    </xf>
    <xf numFmtId="0" fontId="12" fillId="5" borderId="0">
      <alignment horizontal="center" wrapText="1"/>
    </xf>
    <xf numFmtId="0" fontId="13" fillId="0" borderId="0" applyNumberFormat="0" applyBorder="0">
      <alignment horizontal="left" wrapText="1"/>
    </xf>
    <xf numFmtId="0" fontId="13" fillId="0" borderId="0" applyNumberFormat="0" applyBorder="0">
      <alignment horizontal="left" wrapText="1"/>
    </xf>
    <xf numFmtId="0" fontId="14" fillId="6" borderId="0" applyNumberFormat="0" applyProtection="0"/>
    <xf numFmtId="0" fontId="14" fillId="6" borderId="0" applyNumberFormat="0" applyProtection="0"/>
    <xf numFmtId="0" fontId="14" fillId="7"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7"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6"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4" fillId="0" borderId="0"/>
    <xf numFmtId="43" fontId="6" fillId="0" borderId="0" applyFont="0" applyFill="0" applyBorder="0" applyAlignment="0" applyProtection="0"/>
    <xf numFmtId="0" fontId="4" fillId="0" borderId="0"/>
    <xf numFmtId="0" fontId="4" fillId="0" borderId="0"/>
    <xf numFmtId="0" fontId="17" fillId="0" borderId="0" applyNumberFormat="0" applyFill="0" applyBorder="0" applyAlignment="0" applyProtection="0"/>
    <xf numFmtId="0" fontId="18" fillId="0" borderId="2" applyNumberFormat="0" applyFill="0" applyAlignment="0" applyProtection="0"/>
    <xf numFmtId="0" fontId="19" fillId="0" borderId="3" applyNumberFormat="0" applyFill="0" applyAlignment="0" applyProtection="0"/>
    <xf numFmtId="0" fontId="20" fillId="0" borderId="4" applyNumberFormat="0" applyFill="0" applyAlignment="0" applyProtection="0"/>
    <xf numFmtId="0" fontId="20" fillId="0" borderId="0" applyNumberFormat="0" applyFill="0" applyBorder="0" applyAlignment="0" applyProtection="0"/>
    <xf numFmtId="0" fontId="21" fillId="8" borderId="0" applyNumberFormat="0" applyBorder="0" applyAlignment="0" applyProtection="0"/>
    <xf numFmtId="0" fontId="22" fillId="9" borderId="0" applyNumberFormat="0" applyBorder="0" applyAlignment="0" applyProtection="0"/>
    <xf numFmtId="0" fontId="23" fillId="10" borderId="0" applyNumberFormat="0" applyBorder="0" applyAlignment="0" applyProtection="0"/>
    <xf numFmtId="0" fontId="24" fillId="11" borderId="5" applyNumberFormat="0" applyAlignment="0" applyProtection="0"/>
    <xf numFmtId="0" fontId="25" fillId="12" borderId="6" applyNumberFormat="0" applyAlignment="0" applyProtection="0"/>
    <xf numFmtId="0" fontId="26" fillId="12" borderId="5" applyNumberFormat="0" applyAlignment="0" applyProtection="0"/>
    <xf numFmtId="0" fontId="27" fillId="0" borderId="7" applyNumberFormat="0" applyFill="0" applyAlignment="0" applyProtection="0"/>
    <xf numFmtId="0" fontId="28" fillId="13" borderId="8"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16" fillId="0" borderId="10" applyNumberFormat="0" applyFill="0" applyAlignment="0" applyProtection="0"/>
    <xf numFmtId="0" fontId="8" fillId="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8" fillId="37" borderId="0" applyNumberFormat="0" applyBorder="0" applyAlignment="0" applyProtection="0"/>
    <xf numFmtId="0" fontId="6" fillId="14" borderId="9"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4" borderId="9"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4" borderId="9" applyNumberFormat="0" applyFont="0" applyAlignment="0" applyProtection="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6" fillId="0" borderId="0"/>
    <xf numFmtId="43" fontId="6" fillId="0" borderId="0" applyFont="0" applyFill="0" applyBorder="0" applyAlignment="0" applyProtection="0"/>
  </cellStyleXfs>
  <cellXfs count="106">
    <xf numFmtId="0" fontId="0" fillId="0" borderId="0" xfId="0"/>
    <xf numFmtId="0" fontId="9" fillId="0" borderId="0" xfId="2"/>
    <xf numFmtId="165" fontId="0" fillId="0" borderId="0" xfId="0" applyNumberFormat="1"/>
    <xf numFmtId="164" fontId="9" fillId="0" borderId="0" xfId="2" applyNumberFormat="1"/>
    <xf numFmtId="0" fontId="0" fillId="0" borderId="0" xfId="0"/>
    <xf numFmtId="0" fontId="31" fillId="38" borderId="0" xfId="0" applyFont="1" applyFill="1" applyAlignment="1">
      <alignment vertical="center"/>
    </xf>
    <xf numFmtId="0" fontId="32" fillId="38" borderId="0" xfId="0" applyFont="1" applyFill="1" applyAlignment="1">
      <alignment horizontal="left" vertical="center"/>
    </xf>
    <xf numFmtId="0" fontId="7" fillId="0" borderId="0" xfId="0" applyFont="1"/>
    <xf numFmtId="164" fontId="7" fillId="0" borderId="0" xfId="0" applyNumberFormat="1" applyFont="1"/>
    <xf numFmtId="0" fontId="0" fillId="38" borderId="0" xfId="0" applyFont="1" applyFill="1" applyAlignment="1">
      <alignment horizontal="left" vertical="center" wrapText="1"/>
    </xf>
    <xf numFmtId="0" fontId="33" fillId="0" borderId="0" xfId="0" applyFont="1" applyBorder="1" applyAlignment="1"/>
    <xf numFmtId="0" fontId="34" fillId="39" borderId="11" xfId="0" applyFont="1" applyFill="1" applyBorder="1" applyAlignment="1">
      <alignment horizontal="left" vertical="center" wrapText="1"/>
    </xf>
    <xf numFmtId="0" fontId="34" fillId="0" borderId="11" xfId="0" applyFont="1" applyFill="1" applyBorder="1" applyAlignment="1">
      <alignment horizontal="right" vertical="center"/>
    </xf>
    <xf numFmtId="0" fontId="34" fillId="39" borderId="11" xfId="0" applyFont="1" applyFill="1" applyBorder="1" applyAlignment="1">
      <alignment horizontal="right" vertical="center"/>
    </xf>
    <xf numFmtId="0" fontId="35" fillId="0" borderId="0" xfId="0" applyFont="1" applyFill="1" applyBorder="1"/>
    <xf numFmtId="164" fontId="36" fillId="39" borderId="0" xfId="618" applyNumberFormat="1" applyFont="1" applyFill="1" applyBorder="1" applyAlignment="1">
      <alignment horizontal="left"/>
    </xf>
    <xf numFmtId="164" fontId="36" fillId="0" borderId="0" xfId="618" applyNumberFormat="1" applyFont="1" applyFill="1" applyBorder="1" applyAlignment="1">
      <alignment horizontal="right"/>
    </xf>
    <xf numFmtId="164" fontId="36" fillId="39" borderId="0" xfId="618" applyNumberFormat="1" applyFont="1" applyFill="1" applyBorder="1" applyAlignment="1">
      <alignment horizontal="right"/>
    </xf>
    <xf numFmtId="8" fontId="36" fillId="0" borderId="0" xfId="0" applyNumberFormat="1" applyFont="1"/>
    <xf numFmtId="0" fontId="2" fillId="0" borderId="0" xfId="700"/>
    <xf numFmtId="0" fontId="2" fillId="0" borderId="0" xfId="700" applyFont="1" applyFill="1"/>
    <xf numFmtId="0" fontId="2" fillId="0" borderId="0" xfId="700" applyFill="1"/>
    <xf numFmtId="0" fontId="7" fillId="0" borderId="0" xfId="700" applyFont="1"/>
    <xf numFmtId="164" fontId="37" fillId="39" borderId="0" xfId="618" applyNumberFormat="1" applyFont="1" applyFill="1" applyBorder="1" applyAlignment="1">
      <alignment horizontal="left"/>
    </xf>
    <xf numFmtId="164" fontId="37" fillId="0" borderId="0" xfId="618" applyNumberFormat="1" applyFont="1" applyFill="1" applyBorder="1" applyAlignment="1">
      <alignment horizontal="right"/>
    </xf>
    <xf numFmtId="164" fontId="37" fillId="39" borderId="0" xfId="618" applyNumberFormat="1" applyFont="1" applyFill="1" applyBorder="1" applyAlignment="1">
      <alignment horizontal="right"/>
    </xf>
    <xf numFmtId="0" fontId="15" fillId="0" borderId="0" xfId="700" applyFont="1"/>
    <xf numFmtId="164" fontId="2" fillId="0" borderId="0" xfId="700" applyNumberFormat="1"/>
    <xf numFmtId="0" fontId="33" fillId="0" borderId="0" xfId="696" applyFont="1" applyFill="1" applyBorder="1"/>
    <xf numFmtId="0" fontId="0" fillId="0" borderId="0" xfId="0" applyAlignment="1">
      <alignment horizontal="right"/>
    </xf>
    <xf numFmtId="0" fontId="37" fillId="0" borderId="11" xfId="0" applyFont="1" applyFill="1" applyBorder="1" applyAlignment="1">
      <alignment horizontal="left" vertical="center" wrapText="1"/>
    </xf>
    <xf numFmtId="164" fontId="0" fillId="0" borderId="0" xfId="0" applyNumberFormat="1" applyAlignment="1">
      <alignment horizontal="right"/>
    </xf>
    <xf numFmtId="164" fontId="36" fillId="0" borderId="0" xfId="618" applyNumberFormat="1" applyFont="1" applyFill="1" applyBorder="1" applyAlignment="1">
      <alignment horizontal="left"/>
    </xf>
    <xf numFmtId="0" fontId="38" fillId="0" borderId="0" xfId="0" applyFont="1" applyFill="1" applyBorder="1"/>
    <xf numFmtId="164" fontId="38" fillId="0" borderId="0" xfId="0" applyNumberFormat="1" applyFont="1" applyFill="1" applyBorder="1"/>
    <xf numFmtId="0" fontId="34" fillId="0" borderId="11" xfId="0" applyFont="1" applyFill="1" applyBorder="1" applyAlignment="1">
      <alignment horizontal="center" vertical="center"/>
    </xf>
    <xf numFmtId="0" fontId="34" fillId="39" borderId="11" xfId="0" applyFont="1" applyFill="1" applyBorder="1" applyAlignment="1">
      <alignment horizontal="center" vertical="center"/>
    </xf>
    <xf numFmtId="0" fontId="36" fillId="0" borderId="0" xfId="0" applyFont="1" applyFill="1" applyBorder="1"/>
    <xf numFmtId="164" fontId="36" fillId="0" borderId="0" xfId="0" applyNumberFormat="1" applyFont="1" applyFill="1" applyBorder="1"/>
    <xf numFmtId="164" fontId="35" fillId="0" borderId="0" xfId="0" applyNumberFormat="1" applyFont="1" applyFill="1" applyBorder="1"/>
    <xf numFmtId="166" fontId="36" fillId="39" borderId="0" xfId="618" applyNumberFormat="1" applyFont="1" applyFill="1" applyBorder="1" applyAlignment="1">
      <alignment horizontal="right"/>
    </xf>
    <xf numFmtId="166" fontId="36" fillId="0" borderId="0" xfId="618" applyNumberFormat="1" applyFont="1" applyFill="1" applyBorder="1" applyAlignment="1">
      <alignment horizontal="right"/>
    </xf>
    <xf numFmtId="0" fontId="16" fillId="0" borderId="0" xfId="0" applyFont="1" applyBorder="1" applyAlignment="1"/>
    <xf numFmtId="0" fontId="39" fillId="0" borderId="11" xfId="0" applyFont="1" applyFill="1" applyBorder="1"/>
    <xf numFmtId="0" fontId="40" fillId="0" borderId="11" xfId="0" applyFont="1" applyFill="1" applyBorder="1"/>
    <xf numFmtId="0" fontId="0" fillId="0" borderId="0" xfId="0" applyFill="1" applyBorder="1"/>
    <xf numFmtId="0" fontId="35" fillId="0" borderId="0" xfId="0" applyFont="1" applyFill="1" applyBorder="1" applyAlignment="1">
      <alignment horizontal="left" vertical="center" wrapText="1"/>
    </xf>
    <xf numFmtId="166" fontId="35" fillId="0" borderId="0" xfId="618" applyNumberFormat="1" applyFont="1" applyFill="1" applyBorder="1" applyAlignment="1">
      <alignment horizontal="left" vertical="center" wrapText="1"/>
    </xf>
    <xf numFmtId="0" fontId="41" fillId="0" borderId="0" xfId="0" applyFont="1" applyFill="1" applyBorder="1" applyAlignment="1">
      <alignment horizontal="left" vertical="center" wrapText="1"/>
    </xf>
    <xf numFmtId="166" fontId="41" fillId="0" borderId="0" xfId="618" applyNumberFormat="1" applyFont="1" applyFill="1" applyBorder="1" applyAlignment="1">
      <alignment horizontal="left" vertical="center" wrapText="1"/>
    </xf>
    <xf numFmtId="0" fontId="0" fillId="38" borderId="0" xfId="0" applyFill="1"/>
    <xf numFmtId="0" fontId="42" fillId="38" borderId="0" xfId="0" applyFont="1" applyFill="1" applyAlignment="1">
      <alignment vertical="center"/>
    </xf>
    <xf numFmtId="0" fontId="43" fillId="38" borderId="0" xfId="0" applyFont="1" applyFill="1" applyAlignment="1">
      <alignment horizontal="left" vertical="center"/>
    </xf>
    <xf numFmtId="0" fontId="7" fillId="38" borderId="0" xfId="0" applyFont="1" applyFill="1"/>
    <xf numFmtId="0" fontId="39" fillId="38" borderId="15" xfId="0" applyFont="1" applyFill="1" applyBorder="1"/>
    <xf numFmtId="0" fontId="39" fillId="38" borderId="16" xfId="0" applyFont="1" applyFill="1" applyBorder="1" applyAlignment="1">
      <alignment wrapText="1"/>
    </xf>
    <xf numFmtId="0" fontId="35" fillId="38" borderId="17" xfId="0" applyFont="1" applyFill="1" applyBorder="1" applyAlignment="1">
      <alignment horizontal="left" vertical="center" wrapText="1"/>
    </xf>
    <xf numFmtId="0" fontId="35" fillId="38" borderId="18" xfId="0" applyFont="1" applyFill="1" applyBorder="1" applyAlignment="1">
      <alignment horizontal="left" vertical="center" wrapText="1"/>
    </xf>
    <xf numFmtId="0" fontId="35" fillId="38" borderId="19" xfId="0" applyFont="1" applyFill="1" applyBorder="1" applyAlignment="1">
      <alignment horizontal="left" vertical="center" wrapText="1"/>
    </xf>
    <xf numFmtId="0" fontId="35" fillId="38" borderId="21" xfId="0" applyFont="1" applyFill="1" applyBorder="1" applyAlignment="1">
      <alignment horizontal="left" vertical="center" wrapText="1"/>
    </xf>
    <xf numFmtId="0" fontId="35" fillId="38" borderId="24" xfId="0" applyFont="1" applyFill="1" applyBorder="1" applyAlignment="1">
      <alignment horizontal="left" vertical="center" wrapText="1"/>
    </xf>
    <xf numFmtId="0" fontId="1" fillId="38" borderId="0" xfId="708" applyFill="1"/>
    <xf numFmtId="0" fontId="1" fillId="38" borderId="25" xfId="708" applyFill="1" applyBorder="1"/>
    <xf numFmtId="0" fontId="1" fillId="38" borderId="26" xfId="708" applyFill="1" applyBorder="1"/>
    <xf numFmtId="0" fontId="1" fillId="38" borderId="27" xfId="708" applyFill="1" applyBorder="1"/>
    <xf numFmtId="0" fontId="1" fillId="38" borderId="0" xfId="708" applyFill="1" applyBorder="1"/>
    <xf numFmtId="0" fontId="1" fillId="38" borderId="28" xfId="708" applyFill="1" applyBorder="1"/>
    <xf numFmtId="0" fontId="33" fillId="38" borderId="0" xfId="709" applyFont="1" applyFill="1" applyBorder="1" applyAlignment="1"/>
    <xf numFmtId="0" fontId="16" fillId="38" borderId="0" xfId="709" applyFont="1" applyFill="1" applyBorder="1" applyAlignment="1"/>
    <xf numFmtId="0" fontId="1" fillId="38" borderId="29" xfId="708" applyFill="1" applyBorder="1"/>
    <xf numFmtId="0" fontId="39" fillId="38" borderId="11" xfId="709" applyFont="1" applyFill="1" applyBorder="1"/>
    <xf numFmtId="0" fontId="44" fillId="38" borderId="11" xfId="709" applyFont="1" applyFill="1" applyBorder="1" applyAlignment="1">
      <alignment horizontal="right" wrapText="1"/>
    </xf>
    <xf numFmtId="0" fontId="44" fillId="38" borderId="11" xfId="709" applyFont="1" applyFill="1" applyBorder="1" applyAlignment="1">
      <alignment horizontal="right"/>
    </xf>
    <xf numFmtId="0" fontId="39" fillId="38" borderId="11" xfId="709" applyFont="1" applyFill="1" applyBorder="1" applyAlignment="1">
      <alignment horizontal="right" wrapText="1"/>
    </xf>
    <xf numFmtId="0" fontId="35" fillId="38" borderId="0" xfId="709" applyFont="1" applyFill="1" applyBorder="1" applyAlignment="1">
      <alignment horizontal="left" vertical="center" wrapText="1"/>
    </xf>
    <xf numFmtId="166" fontId="35" fillId="38" borderId="0" xfId="710" applyNumberFormat="1" applyFont="1" applyFill="1" applyBorder="1" applyAlignment="1">
      <alignment horizontal="left" vertical="center" wrapText="1"/>
    </xf>
    <xf numFmtId="0" fontId="41" fillId="38" borderId="30" xfId="709" applyFont="1" applyFill="1" applyBorder="1" applyAlignment="1">
      <alignment horizontal="left" vertical="center" wrapText="1"/>
    </xf>
    <xf numFmtId="166" fontId="41" fillId="38" borderId="30" xfId="710" applyNumberFormat="1" applyFont="1" applyFill="1" applyBorder="1" applyAlignment="1">
      <alignment horizontal="left" vertical="center" wrapText="1"/>
    </xf>
    <xf numFmtId="0" fontId="1" fillId="38" borderId="31" xfId="708" applyFill="1" applyBorder="1"/>
    <xf numFmtId="0" fontId="1" fillId="38" borderId="33" xfId="708" applyFill="1" applyBorder="1"/>
    <xf numFmtId="0" fontId="1" fillId="38" borderId="32" xfId="708" applyFill="1" applyBorder="1"/>
    <xf numFmtId="0" fontId="35" fillId="38" borderId="23" xfId="0" applyFont="1" applyFill="1" applyBorder="1" applyAlignment="1">
      <alignment horizontal="left" vertical="center" wrapText="1"/>
    </xf>
    <xf numFmtId="0" fontId="0" fillId="38" borderId="0" xfId="0" applyFont="1" applyFill="1" applyAlignment="1">
      <alignment horizontal="left" vertical="center" wrapText="1"/>
    </xf>
    <xf numFmtId="0" fontId="35" fillId="38" borderId="0" xfId="0" applyFont="1" applyFill="1" applyAlignment="1">
      <alignment horizontal="left" vertical="center" wrapText="1"/>
    </xf>
    <xf numFmtId="166" fontId="41" fillId="38" borderId="0" xfId="710" applyNumberFormat="1" applyFont="1" applyFill="1" applyBorder="1" applyAlignment="1">
      <alignment horizontal="left" vertical="center" wrapText="1"/>
    </xf>
    <xf numFmtId="0" fontId="41" fillId="38" borderId="0" xfId="709" applyFont="1" applyFill="1" applyBorder="1" applyAlignment="1">
      <alignment horizontal="left" vertical="center" wrapText="1"/>
    </xf>
    <xf numFmtId="0" fontId="41" fillId="38" borderId="32" xfId="709" applyFont="1" applyFill="1" applyBorder="1" applyAlignment="1">
      <alignment horizontal="left" vertical="center" wrapText="1"/>
    </xf>
    <xf numFmtId="166" fontId="41" fillId="38" borderId="32" xfId="710" applyNumberFormat="1" applyFont="1" applyFill="1" applyBorder="1" applyAlignment="1">
      <alignment horizontal="left" vertical="center" wrapText="1"/>
    </xf>
    <xf numFmtId="0" fontId="40" fillId="38" borderId="11" xfId="709" applyFont="1" applyFill="1" applyBorder="1" applyAlignment="1">
      <alignment horizontal="right"/>
    </xf>
    <xf numFmtId="0" fontId="35" fillId="38" borderId="20" xfId="0" applyFont="1" applyFill="1" applyBorder="1" applyAlignment="1">
      <alignment horizontal="left" vertical="center" wrapText="1"/>
    </xf>
    <xf numFmtId="0" fontId="35" fillId="38" borderId="23" xfId="0" applyFont="1" applyFill="1" applyBorder="1" applyAlignment="1">
      <alignment horizontal="left" vertical="center" wrapText="1"/>
    </xf>
    <xf numFmtId="0" fontId="0" fillId="38" borderId="0" xfId="0" applyFont="1" applyFill="1" applyAlignment="1">
      <alignment horizontal="left" vertical="center" wrapText="1"/>
    </xf>
    <xf numFmtId="0" fontId="35" fillId="38" borderId="0" xfId="0" applyFont="1" applyFill="1" applyAlignment="1">
      <alignment horizontal="left" vertical="center" wrapText="1"/>
    </xf>
    <xf numFmtId="0" fontId="35" fillId="38" borderId="22" xfId="0" applyFont="1" applyFill="1" applyBorder="1" applyAlignment="1">
      <alignment horizontal="left" vertical="center" wrapText="1"/>
    </xf>
    <xf numFmtId="0" fontId="36" fillId="0" borderId="0" xfId="1" applyFont="1" applyFill="1" applyBorder="1" applyAlignment="1">
      <alignment horizontal="center" vertical="center"/>
    </xf>
    <xf numFmtId="0" fontId="36" fillId="39" borderId="0" xfId="1" applyFont="1" applyFill="1" applyBorder="1" applyAlignment="1">
      <alignment horizontal="center" vertical="center"/>
    </xf>
    <xf numFmtId="0" fontId="36" fillId="0" borderId="12" xfId="1" applyFont="1" applyFill="1" applyBorder="1" applyAlignment="1">
      <alignment horizontal="center" vertical="center"/>
    </xf>
    <xf numFmtId="0" fontId="36" fillId="0" borderId="13" xfId="1" applyFont="1" applyFill="1" applyBorder="1" applyAlignment="1">
      <alignment horizontal="center" vertical="center"/>
    </xf>
    <xf numFmtId="0" fontId="36" fillId="0" borderId="14" xfId="1" applyFont="1" applyFill="1" applyBorder="1" applyAlignment="1">
      <alignment horizontal="center" vertical="center"/>
    </xf>
    <xf numFmtId="0" fontId="36" fillId="39" borderId="12" xfId="1" applyFont="1" applyFill="1" applyBorder="1" applyAlignment="1">
      <alignment horizontal="center" vertical="center"/>
    </xf>
    <xf numFmtId="0" fontId="36" fillId="39" borderId="13" xfId="1" applyFont="1" applyFill="1" applyBorder="1" applyAlignment="1">
      <alignment horizontal="center" vertical="center"/>
    </xf>
    <xf numFmtId="0" fontId="36" fillId="39" borderId="14" xfId="1" applyFont="1" applyFill="1" applyBorder="1" applyAlignment="1">
      <alignment horizontal="center" vertical="center"/>
    </xf>
    <xf numFmtId="0" fontId="39" fillId="38" borderId="15" xfId="0" applyFont="1" applyFill="1" applyBorder="1" applyAlignment="1">
      <alignment horizontal="center"/>
    </xf>
    <xf numFmtId="0" fontId="35" fillId="38" borderId="17" xfId="0" applyFont="1" applyFill="1" applyBorder="1" applyAlignment="1">
      <alignment horizontal="center" vertical="center" wrapText="1"/>
    </xf>
    <xf numFmtId="0" fontId="35" fillId="38" borderId="34" xfId="0" applyFont="1" applyFill="1" applyBorder="1" applyAlignment="1">
      <alignment horizontal="center" vertical="center" wrapText="1"/>
    </xf>
    <xf numFmtId="0" fontId="7" fillId="38" borderId="35" xfId="0" applyFont="1" applyFill="1" applyBorder="1"/>
  </cellXfs>
  <cellStyles count="711">
    <cellStyle name="20% - Accent1" xfId="638" builtinId="30" customBuiltin="1"/>
    <cellStyle name="20% - Accent1 2" xfId="676"/>
    <cellStyle name="20% - Accent1 3" xfId="662"/>
    <cellStyle name="20% - Accent2" xfId="642" builtinId="34" customBuiltin="1"/>
    <cellStyle name="20% - Accent2 2" xfId="678"/>
    <cellStyle name="20% - Accent2 3" xfId="664"/>
    <cellStyle name="20% - Accent3" xfId="646" builtinId="38" customBuiltin="1"/>
    <cellStyle name="20% - Accent3 2" xfId="680"/>
    <cellStyle name="20% - Accent3 3" xfId="666"/>
    <cellStyle name="20% - Accent4" xfId="650" builtinId="42" customBuiltin="1"/>
    <cellStyle name="20% - Accent4 2" xfId="682"/>
    <cellStyle name="20% - Accent4 3" xfId="668"/>
    <cellStyle name="20% - Accent5" xfId="654" builtinId="46" customBuiltin="1"/>
    <cellStyle name="20% - Accent5 2" xfId="684"/>
    <cellStyle name="20% - Accent5 3" xfId="670"/>
    <cellStyle name="20% - Accent6" xfId="658" builtinId="50" customBuiltin="1"/>
    <cellStyle name="20% - Accent6 2" xfId="686"/>
    <cellStyle name="20% - Accent6 3" xfId="672"/>
    <cellStyle name="40% - Accent1" xfId="639" builtinId="31" customBuiltin="1"/>
    <cellStyle name="40% - Accent1 2" xfId="677"/>
    <cellStyle name="40% - Accent1 3" xfId="663"/>
    <cellStyle name="40% - Accent2" xfId="643" builtinId="35" customBuiltin="1"/>
    <cellStyle name="40% - Accent2 2" xfId="679"/>
    <cellStyle name="40% - Accent2 3" xfId="665"/>
    <cellStyle name="40% - Accent3" xfId="647" builtinId="39" customBuiltin="1"/>
    <cellStyle name="40% - Accent3 2" xfId="681"/>
    <cellStyle name="40% - Accent3 3" xfId="667"/>
    <cellStyle name="40% - Accent4" xfId="651" builtinId="43" customBuiltin="1"/>
    <cellStyle name="40% - Accent4 2" xfId="683"/>
    <cellStyle name="40% - Accent4 3" xfId="669"/>
    <cellStyle name="40% - Accent5" xfId="655" builtinId="47" customBuiltin="1"/>
    <cellStyle name="40% - Accent5 2" xfId="685"/>
    <cellStyle name="40% - Accent5 3" xfId="671"/>
    <cellStyle name="40% - Accent6" xfId="659" builtinId="51" customBuiltin="1"/>
    <cellStyle name="40% - Accent6 2" xfId="687"/>
    <cellStyle name="40% - Accent6 3" xfId="673"/>
    <cellStyle name="60% - Accent1" xfId="640" builtinId="32" customBuiltin="1"/>
    <cellStyle name="60% - Accent2" xfId="644" builtinId="36" customBuiltin="1"/>
    <cellStyle name="60% - Accent3" xfId="648" builtinId="40" customBuiltin="1"/>
    <cellStyle name="60% - Accent4" xfId="652" builtinId="44" customBuiltin="1"/>
    <cellStyle name="60% - Accent5" xfId="656" builtinId="48" customBuiltin="1"/>
    <cellStyle name="60% - Accent6" xfId="660" builtinId="52" customBuiltin="1"/>
    <cellStyle name="Accent1" xfId="637" builtinId="29" customBuiltin="1"/>
    <cellStyle name="Accent2" xfId="641" builtinId="33" customBuiltin="1"/>
    <cellStyle name="Accent3" xfId="645" builtinId="37" customBuiltin="1"/>
    <cellStyle name="Accent4" xfId="649" builtinId="41" customBuiltin="1"/>
    <cellStyle name="Accent5" xfId="653" builtinId="45" customBuiltin="1"/>
    <cellStyle name="Accent6" xfId="657" builtinId="49" customBuiltin="1"/>
    <cellStyle name="Bad" xfId="627" builtinId="27" customBuiltin="1"/>
    <cellStyle name="Calculation" xfId="631" builtinId="22" customBuiltin="1"/>
    <cellStyle name="Check Cell" xfId="633" builtinId="23" customBuiltin="1"/>
    <cellStyle name="Comma" xfId="618" builtinId="3"/>
    <cellStyle name="Comma 2" xfId="3"/>
    <cellStyle name="Comma 3" xfId="710"/>
    <cellStyle name="Comma 4" xfId="4"/>
    <cellStyle name="Comma 4 2" xfId="5"/>
    <cellStyle name="Currency 2" xfId="6"/>
    <cellStyle name="Explanatory Text" xfId="635" builtinId="53" customBuiltin="1"/>
    <cellStyle name="Good" xfId="626" builtinId="26" customBuiltin="1"/>
    <cellStyle name="Heading 1" xfId="622" builtinId="16" customBuiltin="1"/>
    <cellStyle name="Heading 2" xfId="623" builtinId="17" customBuiltin="1"/>
    <cellStyle name="Heading 3" xfId="624" builtinId="18" customBuiltin="1"/>
    <cellStyle name="Heading 4" xfId="625" builtinId="19" customBuiltin="1"/>
    <cellStyle name="Input" xfId="629" builtinId="20" customBuiltin="1"/>
    <cellStyle name="Linked Cell" xfId="632" builtinId="24" customBuiltin="1"/>
    <cellStyle name="Neutral" xfId="628" builtinId="28" customBuiltin="1"/>
    <cellStyle name="Normal" xfId="0" builtinId="0"/>
    <cellStyle name="Normal 10" xfId="7"/>
    <cellStyle name="Normal 10 10" xfId="8"/>
    <cellStyle name="Normal 10 13" xfId="9"/>
    <cellStyle name="Normal 10 5" xfId="10"/>
    <cellStyle name="Normal 10 8" xfId="11"/>
    <cellStyle name="Normal 10 9" xfId="12"/>
    <cellStyle name="Normal 106" xfId="13"/>
    <cellStyle name="Normal 11" xfId="14"/>
    <cellStyle name="Normal 11 2" xfId="15"/>
    <cellStyle name="Normal 12" xfId="617"/>
    <cellStyle name="Normal 12 2" xfId="692"/>
    <cellStyle name="Normal 12 2 2" xfId="696"/>
    <cellStyle name="Normal 12 3" xfId="697"/>
    <cellStyle name="Normal 12 4" xfId="695"/>
    <cellStyle name="Normal 13" xfId="698"/>
    <cellStyle name="Normal 14" xfId="699"/>
    <cellStyle name="Normal 15" xfId="708"/>
    <cellStyle name="Normal 15 2" xfId="709"/>
    <cellStyle name="Normal 160 2" xfId="16"/>
    <cellStyle name="Normal 176 2" xfId="17"/>
    <cellStyle name="Normal 177 2" xfId="18"/>
    <cellStyle name="Normal 2" xfId="1"/>
    <cellStyle name="Normal 2 2" xfId="19"/>
    <cellStyle name="Normal 2 2 2" xfId="688"/>
    <cellStyle name="Normal 2 3" xfId="20"/>
    <cellStyle name="Normal 2 3 2" xfId="674"/>
    <cellStyle name="Normal 2 4" xfId="21"/>
    <cellStyle name="Normal 2 4 2" xfId="22"/>
    <cellStyle name="Normal 2 4 2 2" xfId="23"/>
    <cellStyle name="Normal 2 4 3" xfId="24"/>
    <cellStyle name="Normal 2 4 3 2" xfId="25"/>
    <cellStyle name="Normal 2 4 4" xfId="26"/>
    <cellStyle name="Normal 2 5" xfId="27"/>
    <cellStyle name="Normal 2 5 2" xfId="28"/>
    <cellStyle name="Normal 2 6" xfId="29"/>
    <cellStyle name="Normal 2 6 2" xfId="30"/>
    <cellStyle name="Normal 2 7" xfId="31"/>
    <cellStyle name="Normal 22 2" xfId="32"/>
    <cellStyle name="Normal 23 2" xfId="33"/>
    <cellStyle name="Normal 24 2" xfId="34"/>
    <cellStyle name="Normal 25 2" xfId="35"/>
    <cellStyle name="Normal 26 2" xfId="36"/>
    <cellStyle name="Normal 28" xfId="37"/>
    <cellStyle name="Normal 3" xfId="2"/>
    <cellStyle name="Normal 3 10" xfId="700"/>
    <cellStyle name="Normal 3 2" xfId="38"/>
    <cellStyle name="Normal 3 2 2" xfId="39"/>
    <cellStyle name="Normal 3 2 2 2" xfId="40"/>
    <cellStyle name="Normal 3 2 2 2 2" xfId="41"/>
    <cellStyle name="Normal 3 2 2 2 2 2" xfId="42"/>
    <cellStyle name="Normal 3 2 2 2 3" xfId="43"/>
    <cellStyle name="Normal 3 2 2 2 3 2" xfId="44"/>
    <cellStyle name="Normal 3 2 2 2 4" xfId="45"/>
    <cellStyle name="Normal 3 2 2 3" xfId="46"/>
    <cellStyle name="Normal 3 2 2 3 2" xfId="47"/>
    <cellStyle name="Normal 3 2 2 4" xfId="48"/>
    <cellStyle name="Normal 3 2 2 4 2" xfId="49"/>
    <cellStyle name="Normal 3 2 2 5" xfId="50"/>
    <cellStyle name="Normal 3 2 3" xfId="51"/>
    <cellStyle name="Normal 3 2 3 2" xfId="52"/>
    <cellStyle name="Normal 3 2 3 2 2" xfId="53"/>
    <cellStyle name="Normal 3 2 3 2 2 2" xfId="54"/>
    <cellStyle name="Normal 3 2 3 2 3" xfId="55"/>
    <cellStyle name="Normal 3 2 3 2 3 2" xfId="56"/>
    <cellStyle name="Normal 3 2 3 2 4" xfId="57"/>
    <cellStyle name="Normal 3 2 3 3" xfId="58"/>
    <cellStyle name="Normal 3 2 3 3 2" xfId="59"/>
    <cellStyle name="Normal 3 2 3 4" xfId="60"/>
    <cellStyle name="Normal 3 2 3 4 2" xfId="61"/>
    <cellStyle name="Normal 3 2 3 5" xfId="62"/>
    <cellStyle name="Normal 3 2 4" xfId="63"/>
    <cellStyle name="Normal 3 2 4 2" xfId="64"/>
    <cellStyle name="Normal 3 2 4 2 2" xfId="65"/>
    <cellStyle name="Normal 3 2 4 3" xfId="66"/>
    <cellStyle name="Normal 3 2 4 3 2" xfId="67"/>
    <cellStyle name="Normal 3 2 4 4" xfId="68"/>
    <cellStyle name="Normal 3 2 5" xfId="69"/>
    <cellStyle name="Normal 3 2 5 2" xfId="70"/>
    <cellStyle name="Normal 3 2 6" xfId="71"/>
    <cellStyle name="Normal 3 2 6 2" xfId="72"/>
    <cellStyle name="Normal 3 2 7" xfId="73"/>
    <cellStyle name="Normal 3 3" xfId="74"/>
    <cellStyle name="Normal 3 3 2" xfId="75"/>
    <cellStyle name="Normal 3 3 2 2" xfId="76"/>
    <cellStyle name="Normal 3 3 2 2 2" xfId="77"/>
    <cellStyle name="Normal 3 3 2 2 2 2" xfId="78"/>
    <cellStyle name="Normal 3 3 2 2 3" xfId="79"/>
    <cellStyle name="Normal 3 3 2 2 3 2" xfId="80"/>
    <cellStyle name="Normal 3 3 2 2 4" xfId="81"/>
    <cellStyle name="Normal 3 3 2 3" xfId="82"/>
    <cellStyle name="Normal 3 3 2 3 2" xfId="83"/>
    <cellStyle name="Normal 3 3 2 4" xfId="84"/>
    <cellStyle name="Normal 3 3 2 4 2" xfId="85"/>
    <cellStyle name="Normal 3 3 2 5" xfId="86"/>
    <cellStyle name="Normal 3 3 3" xfId="87"/>
    <cellStyle name="Normal 3 3 3 2" xfId="88"/>
    <cellStyle name="Normal 3 3 3 2 2" xfId="89"/>
    <cellStyle name="Normal 3 3 3 2 2 2" xfId="90"/>
    <cellStyle name="Normal 3 3 3 2 3" xfId="91"/>
    <cellStyle name="Normal 3 3 3 2 3 2" xfId="92"/>
    <cellStyle name="Normal 3 3 3 2 4" xfId="93"/>
    <cellStyle name="Normal 3 3 3 3" xfId="94"/>
    <cellStyle name="Normal 3 3 3 3 2" xfId="95"/>
    <cellStyle name="Normal 3 3 3 4" xfId="96"/>
    <cellStyle name="Normal 3 3 3 4 2" xfId="97"/>
    <cellStyle name="Normal 3 3 3 5" xfId="98"/>
    <cellStyle name="Normal 3 4" xfId="99"/>
    <cellStyle name="Normal 3 4 2" xfId="100"/>
    <cellStyle name="Normal 3 4 2 2" xfId="101"/>
    <cellStyle name="Normal 3 4 2 2 2" xfId="102"/>
    <cellStyle name="Normal 3 4 2 2 2 2" xfId="103"/>
    <cellStyle name="Normal 3 4 2 2 3" xfId="104"/>
    <cellStyle name="Normal 3 4 2 2 3 2" xfId="105"/>
    <cellStyle name="Normal 3 4 2 2 4" xfId="106"/>
    <cellStyle name="Normal 3 4 2 3" xfId="107"/>
    <cellStyle name="Normal 3 4 2 3 2" xfId="108"/>
    <cellStyle name="Normal 3 4 2 4" xfId="109"/>
    <cellStyle name="Normal 3 4 2 4 2" xfId="110"/>
    <cellStyle name="Normal 3 4 2 5" xfId="111"/>
    <cellStyle name="Normal 3 4 3" xfId="112"/>
    <cellStyle name="Normal 3 4 3 2" xfId="113"/>
    <cellStyle name="Normal 3 4 3 2 2" xfId="114"/>
    <cellStyle name="Normal 3 4 3 3" xfId="115"/>
    <cellStyle name="Normal 3 4 3 3 2" xfId="116"/>
    <cellStyle name="Normal 3 4 3 4" xfId="117"/>
    <cellStyle name="Normal 3 4 4" xfId="118"/>
    <cellStyle name="Normal 3 4 4 2" xfId="119"/>
    <cellStyle name="Normal 3 4 5" xfId="120"/>
    <cellStyle name="Normal 3 4 5 2" xfId="121"/>
    <cellStyle name="Normal 3 4 6" xfId="122"/>
    <cellStyle name="Normal 3 5" xfId="123"/>
    <cellStyle name="Normal 3 5 2" xfId="124"/>
    <cellStyle name="Normal 3 5 2 2" xfId="125"/>
    <cellStyle name="Normal 3 5 2 2 2" xfId="126"/>
    <cellStyle name="Normal 3 5 2 3" xfId="127"/>
    <cellStyle name="Normal 3 5 2 3 2" xfId="128"/>
    <cellStyle name="Normal 3 5 2 4" xfId="129"/>
    <cellStyle name="Normal 3 5 3" xfId="130"/>
    <cellStyle name="Normal 3 5 3 2" xfId="131"/>
    <cellStyle name="Normal 3 5 4" xfId="132"/>
    <cellStyle name="Normal 3 5 4 2" xfId="133"/>
    <cellStyle name="Normal 3 5 5" xfId="134"/>
    <cellStyle name="Normal 3 6" xfId="135"/>
    <cellStyle name="Normal 3 6 2" xfId="136"/>
    <cellStyle name="Normal 3 6 2 2" xfId="137"/>
    <cellStyle name="Normal 3 6 2 2 2" xfId="138"/>
    <cellStyle name="Normal 3 6 2 3" xfId="139"/>
    <cellStyle name="Normal 3 6 2 3 2" xfId="140"/>
    <cellStyle name="Normal 3 6 2 4" xfId="141"/>
    <cellStyle name="Normal 3 6 3" xfId="142"/>
    <cellStyle name="Normal 3 6 3 2" xfId="143"/>
    <cellStyle name="Normal 3 6 4" xfId="144"/>
    <cellStyle name="Normal 3 6 4 2" xfId="145"/>
    <cellStyle name="Normal 3 6 5" xfId="146"/>
    <cellStyle name="Normal 3 7" xfId="619"/>
    <cellStyle name="Normal 3 7 2" xfId="693"/>
    <cellStyle name="Normal 3 7 3" xfId="701"/>
    <cellStyle name="Normal 3 7 4" xfId="702"/>
    <cellStyle name="Normal 3 8" xfId="690"/>
    <cellStyle name="Normal 3 9" xfId="703"/>
    <cellStyle name="Normal 30 2" xfId="147"/>
    <cellStyle name="Normal 30 2 2" xfId="148"/>
    <cellStyle name="Normal 30 2 2 2" xfId="149"/>
    <cellStyle name="Normal 30 2 2 2 2" xfId="150"/>
    <cellStyle name="Normal 30 2 2 3" xfId="151"/>
    <cellStyle name="Normal 30 2 2 3 2" xfId="152"/>
    <cellStyle name="Normal 30 2 2 4" xfId="153"/>
    <cellStyle name="Normal 30 2 3" xfId="154"/>
    <cellStyle name="Normal 30 2 3 2" xfId="155"/>
    <cellStyle name="Normal 30 2 4" xfId="156"/>
    <cellStyle name="Normal 30 2 4 2" xfId="157"/>
    <cellStyle name="Normal 30 2 5" xfId="158"/>
    <cellStyle name="Normal 32 3" xfId="159"/>
    <cellStyle name="Normal 36" xfId="160"/>
    <cellStyle name="Normal 37" xfId="161"/>
    <cellStyle name="Normal 39" xfId="162"/>
    <cellStyle name="Normal 4" xfId="163"/>
    <cellStyle name="Normal 4 2" xfId="164"/>
    <cellStyle name="Normal 4 2 2" xfId="165"/>
    <cellStyle name="Normal 4 2 2 2" xfId="166"/>
    <cellStyle name="Normal 4 2 2 2 2" xfId="167"/>
    <cellStyle name="Normal 4 2 2 2 2 2" xfId="168"/>
    <cellStyle name="Normal 4 2 2 2 3" xfId="169"/>
    <cellStyle name="Normal 4 2 2 2 3 2" xfId="170"/>
    <cellStyle name="Normal 4 2 2 2 4" xfId="171"/>
    <cellStyle name="Normal 4 2 2 3" xfId="172"/>
    <cellStyle name="Normal 4 2 2 3 2" xfId="173"/>
    <cellStyle name="Normal 4 2 2 4" xfId="174"/>
    <cellStyle name="Normal 4 2 2 4 2" xfId="175"/>
    <cellStyle name="Normal 4 2 2 5" xfId="176"/>
    <cellStyle name="Normal 4 2 3" xfId="177"/>
    <cellStyle name="Normal 4 2 3 2" xfId="178"/>
    <cellStyle name="Normal 4 2 3 2 2" xfId="179"/>
    <cellStyle name="Normal 4 2 3 2 2 2" xfId="180"/>
    <cellStyle name="Normal 4 2 3 2 3" xfId="181"/>
    <cellStyle name="Normal 4 2 3 2 3 2" xfId="182"/>
    <cellStyle name="Normal 4 2 3 2 4" xfId="183"/>
    <cellStyle name="Normal 4 2 3 3" xfId="184"/>
    <cellStyle name="Normal 4 2 3 3 2" xfId="185"/>
    <cellStyle name="Normal 4 2 3 4" xfId="186"/>
    <cellStyle name="Normal 4 2 3 4 2" xfId="187"/>
    <cellStyle name="Normal 4 2 3 5" xfId="188"/>
    <cellStyle name="Normal 4 3" xfId="189"/>
    <cellStyle name="Normal 4 3 2" xfId="190"/>
    <cellStyle name="Normal 4 3 2 2" xfId="191"/>
    <cellStyle name="Normal 4 3 2 2 2" xfId="192"/>
    <cellStyle name="Normal 4 3 2 2 2 2" xfId="193"/>
    <cellStyle name="Normal 4 3 2 2 3" xfId="194"/>
    <cellStyle name="Normal 4 3 2 2 3 2" xfId="195"/>
    <cellStyle name="Normal 4 3 2 2 4" xfId="196"/>
    <cellStyle name="Normal 4 3 2 3" xfId="197"/>
    <cellStyle name="Normal 4 3 2 3 2" xfId="198"/>
    <cellStyle name="Normal 4 3 2 4" xfId="199"/>
    <cellStyle name="Normal 4 3 2 4 2" xfId="200"/>
    <cellStyle name="Normal 4 3 2 5" xfId="201"/>
    <cellStyle name="Normal 4 3 3" xfId="202"/>
    <cellStyle name="Normal 4 3 3 2" xfId="203"/>
    <cellStyle name="Normal 4 3 3 2 2" xfId="204"/>
    <cellStyle name="Normal 4 3 3 3" xfId="205"/>
    <cellStyle name="Normal 4 3 3 3 2" xfId="206"/>
    <cellStyle name="Normal 4 3 3 4" xfId="207"/>
    <cellStyle name="Normal 4 3 4" xfId="208"/>
    <cellStyle name="Normal 4 3 4 2" xfId="209"/>
    <cellStyle name="Normal 4 3 5" xfId="210"/>
    <cellStyle name="Normal 4 3 5 2" xfId="211"/>
    <cellStyle name="Normal 4 3 6" xfId="212"/>
    <cellStyle name="Normal 4 4" xfId="213"/>
    <cellStyle name="Normal 4 4 2" xfId="214"/>
    <cellStyle name="Normal 4 4 2 2" xfId="215"/>
    <cellStyle name="Normal 4 4 2 2 2" xfId="216"/>
    <cellStyle name="Normal 4 4 2 2 2 2" xfId="217"/>
    <cellStyle name="Normal 4 4 2 2 3" xfId="218"/>
    <cellStyle name="Normal 4 4 2 2 3 2" xfId="219"/>
    <cellStyle name="Normal 4 4 2 2 4" xfId="220"/>
    <cellStyle name="Normal 4 4 2 3" xfId="221"/>
    <cellStyle name="Normal 4 4 2 3 2" xfId="222"/>
    <cellStyle name="Normal 4 4 2 4" xfId="223"/>
    <cellStyle name="Normal 4 4 2 4 2" xfId="224"/>
    <cellStyle name="Normal 4 4 2 5" xfId="225"/>
    <cellStyle name="Normal 4 4 3" xfId="226"/>
    <cellStyle name="Normal 4 4 3 2" xfId="227"/>
    <cellStyle name="Normal 4 4 3 2 2" xfId="228"/>
    <cellStyle name="Normal 4 4 3 3" xfId="229"/>
    <cellStyle name="Normal 4 4 3 3 2" xfId="230"/>
    <cellStyle name="Normal 4 4 3 4" xfId="231"/>
    <cellStyle name="Normal 4 4 4" xfId="232"/>
    <cellStyle name="Normal 4 4 4 2" xfId="233"/>
    <cellStyle name="Normal 4 4 5" xfId="234"/>
    <cellStyle name="Normal 4 4 5 2" xfId="235"/>
    <cellStyle name="Normal 4 4 6" xfId="236"/>
    <cellStyle name="Normal 4 5" xfId="237"/>
    <cellStyle name="Normal 4 5 2" xfId="238"/>
    <cellStyle name="Normal 4 5 2 2" xfId="239"/>
    <cellStyle name="Normal 4 5 2 2 2" xfId="240"/>
    <cellStyle name="Normal 4 5 2 3" xfId="241"/>
    <cellStyle name="Normal 4 5 2 3 2" xfId="242"/>
    <cellStyle name="Normal 4 5 2 4" xfId="243"/>
    <cellStyle name="Normal 4 5 3" xfId="244"/>
    <cellStyle name="Normal 4 5 3 2" xfId="245"/>
    <cellStyle name="Normal 4 5 4" xfId="246"/>
    <cellStyle name="Normal 4 5 4 2" xfId="247"/>
    <cellStyle name="Normal 4 5 5" xfId="248"/>
    <cellStyle name="Normal 4 6" xfId="249"/>
    <cellStyle name="Normal 4 6 2" xfId="250"/>
    <cellStyle name="Normal 4 6 2 2" xfId="251"/>
    <cellStyle name="Normal 4 6 2 2 2" xfId="252"/>
    <cellStyle name="Normal 4 6 2 3" xfId="253"/>
    <cellStyle name="Normal 4 6 2 3 2" xfId="254"/>
    <cellStyle name="Normal 4 6 2 4" xfId="255"/>
    <cellStyle name="Normal 4 6 3" xfId="256"/>
    <cellStyle name="Normal 4 6 3 2" xfId="257"/>
    <cellStyle name="Normal 4 6 4" xfId="258"/>
    <cellStyle name="Normal 4 6 4 2" xfId="259"/>
    <cellStyle name="Normal 4 6 5" xfId="260"/>
    <cellStyle name="Normal 40" xfId="261"/>
    <cellStyle name="Normal 5" xfId="262"/>
    <cellStyle name="Normal 5 2" xfId="263"/>
    <cellStyle name="Normal 5 2 2" xfId="264"/>
    <cellStyle name="Normal 5 2 2 2" xfId="265"/>
    <cellStyle name="Normal 5 2 2 2 2" xfId="266"/>
    <cellStyle name="Normal 5 2 2 2 2 2" xfId="267"/>
    <cellStyle name="Normal 5 2 2 2 2 2 2" xfId="268"/>
    <cellStyle name="Normal 5 2 2 2 2 3" xfId="269"/>
    <cellStyle name="Normal 5 2 2 2 2 3 2" xfId="270"/>
    <cellStyle name="Normal 5 2 2 2 2 4" xfId="271"/>
    <cellStyle name="Normal 5 2 2 2 3" xfId="272"/>
    <cellStyle name="Normal 5 2 2 2 3 2" xfId="273"/>
    <cellStyle name="Normal 5 2 2 2 4" xfId="274"/>
    <cellStyle name="Normal 5 2 2 2 4 2" xfId="275"/>
    <cellStyle name="Normal 5 2 2 2 5" xfId="276"/>
    <cellStyle name="Normal 5 2 2 3" xfId="277"/>
    <cellStyle name="Normal 5 2 2 3 2" xfId="278"/>
    <cellStyle name="Normal 5 2 2 3 2 2" xfId="279"/>
    <cellStyle name="Normal 5 2 2 3 3" xfId="280"/>
    <cellStyle name="Normal 5 2 2 3 3 2" xfId="281"/>
    <cellStyle name="Normal 5 2 2 3 4" xfId="282"/>
    <cellStyle name="Normal 5 2 2 4" xfId="283"/>
    <cellStyle name="Normal 5 2 2 4 2" xfId="284"/>
    <cellStyle name="Normal 5 2 2 5" xfId="285"/>
    <cellStyle name="Normal 5 2 2 5 2" xfId="286"/>
    <cellStyle name="Normal 5 2 2 6" xfId="287"/>
    <cellStyle name="Normal 5 2 3" xfId="288"/>
    <cellStyle name="Normal 5 2 3 2" xfId="289"/>
    <cellStyle name="Normal 5 2 3 2 2" xfId="290"/>
    <cellStyle name="Normal 5 2 3 2 2 2" xfId="291"/>
    <cellStyle name="Normal 5 2 3 2 2 2 2" xfId="292"/>
    <cellStyle name="Normal 5 2 3 2 2 3" xfId="293"/>
    <cellStyle name="Normal 5 2 3 2 2 3 2" xfId="294"/>
    <cellStyle name="Normal 5 2 3 2 2 4" xfId="295"/>
    <cellStyle name="Normal 5 2 3 2 3" xfId="296"/>
    <cellStyle name="Normal 5 2 3 2 3 2" xfId="297"/>
    <cellStyle name="Normal 5 2 3 2 4" xfId="298"/>
    <cellStyle name="Normal 5 2 3 2 4 2" xfId="299"/>
    <cellStyle name="Normal 5 2 3 2 5" xfId="300"/>
    <cellStyle name="Normal 5 2 3 3" xfId="301"/>
    <cellStyle name="Normal 5 2 3 3 2" xfId="302"/>
    <cellStyle name="Normal 5 2 3 3 2 2" xfId="303"/>
    <cellStyle name="Normal 5 2 3 3 3" xfId="304"/>
    <cellStyle name="Normal 5 2 3 3 3 2" xfId="305"/>
    <cellStyle name="Normal 5 2 3 3 4" xfId="306"/>
    <cellStyle name="Normal 5 2 3 4" xfId="307"/>
    <cellStyle name="Normal 5 2 3 4 2" xfId="308"/>
    <cellStyle name="Normal 5 2 3 5" xfId="309"/>
    <cellStyle name="Normal 5 2 3 5 2" xfId="310"/>
    <cellStyle name="Normal 5 2 3 6" xfId="311"/>
    <cellStyle name="Normal 5 2 4" xfId="312"/>
    <cellStyle name="Normal 5 2 4 2" xfId="313"/>
    <cellStyle name="Normal 5 2 4 2 2" xfId="314"/>
    <cellStyle name="Normal 5 2 4 2 2 2" xfId="315"/>
    <cellStyle name="Normal 5 2 4 2 2 2 2" xfId="316"/>
    <cellStyle name="Normal 5 2 4 2 2 3" xfId="317"/>
    <cellStyle name="Normal 5 2 4 2 2 3 2" xfId="318"/>
    <cellStyle name="Normal 5 2 4 2 2 4" xfId="319"/>
    <cellStyle name="Normal 5 2 4 2 3" xfId="320"/>
    <cellStyle name="Normal 5 2 4 2 3 2" xfId="321"/>
    <cellStyle name="Normal 5 2 4 2 4" xfId="322"/>
    <cellStyle name="Normal 5 2 4 2 4 2" xfId="323"/>
    <cellStyle name="Normal 5 2 4 2 5" xfId="324"/>
    <cellStyle name="Normal 5 2 4 3" xfId="325"/>
    <cellStyle name="Normal 5 2 4 3 2" xfId="326"/>
    <cellStyle name="Normal 5 2 4 3 2 2" xfId="327"/>
    <cellStyle name="Normal 5 2 4 3 3" xfId="328"/>
    <cellStyle name="Normal 5 2 4 3 3 2" xfId="329"/>
    <cellStyle name="Normal 5 2 4 3 4" xfId="330"/>
    <cellStyle name="Normal 5 2 4 4" xfId="331"/>
    <cellStyle name="Normal 5 2 4 4 2" xfId="332"/>
    <cellStyle name="Normal 5 2 4 5" xfId="333"/>
    <cellStyle name="Normal 5 2 4 5 2" xfId="334"/>
    <cellStyle name="Normal 5 2 4 6" xfId="335"/>
    <cellStyle name="Normal 5 2 5" xfId="336"/>
    <cellStyle name="Normal 5 2 5 2" xfId="337"/>
    <cellStyle name="Normal 5 2 5 2 2" xfId="338"/>
    <cellStyle name="Normal 5 2 5 2 2 2" xfId="339"/>
    <cellStyle name="Normal 5 2 5 2 3" xfId="340"/>
    <cellStyle name="Normal 5 2 5 2 3 2" xfId="341"/>
    <cellStyle name="Normal 5 2 5 2 4" xfId="342"/>
    <cellStyle name="Normal 5 2 5 3" xfId="343"/>
    <cellStyle name="Normal 5 2 5 3 2" xfId="344"/>
    <cellStyle name="Normal 5 2 5 4" xfId="345"/>
    <cellStyle name="Normal 5 2 5 4 2" xfId="346"/>
    <cellStyle name="Normal 5 2 5 5" xfId="347"/>
    <cellStyle name="Normal 5 2 6" xfId="348"/>
    <cellStyle name="Normal 5 2 6 2" xfId="349"/>
    <cellStyle name="Normal 5 2 6 2 2" xfId="350"/>
    <cellStyle name="Normal 5 2 6 2 2 2" xfId="351"/>
    <cellStyle name="Normal 5 2 6 2 3" xfId="352"/>
    <cellStyle name="Normal 5 2 6 2 3 2" xfId="353"/>
    <cellStyle name="Normal 5 2 6 2 4" xfId="354"/>
    <cellStyle name="Normal 5 2 6 3" xfId="355"/>
    <cellStyle name="Normal 5 2 6 3 2" xfId="356"/>
    <cellStyle name="Normal 5 2 6 4" xfId="357"/>
    <cellStyle name="Normal 5 2 6 4 2" xfId="358"/>
    <cellStyle name="Normal 5 2 6 5" xfId="359"/>
    <cellStyle name="Normal 5 3" xfId="360"/>
    <cellStyle name="Normal 5 3 2" xfId="361"/>
    <cellStyle name="Normal 5 3 2 2" xfId="362"/>
    <cellStyle name="Normal 5 3 3" xfId="363"/>
    <cellStyle name="Normal 5 3 3 2" xfId="364"/>
    <cellStyle name="Normal 5 3 4" xfId="365"/>
    <cellStyle name="Normal 5 4" xfId="366"/>
    <cellStyle name="Normal 5 4 2" xfId="367"/>
    <cellStyle name="Normal 5 5" xfId="368"/>
    <cellStyle name="Normal 5 5 2" xfId="369"/>
    <cellStyle name="Normal 5 6" xfId="370"/>
    <cellStyle name="Normal 6" xfId="371"/>
    <cellStyle name="Normal 6 2" xfId="372"/>
    <cellStyle name="Normal 7" xfId="373"/>
    <cellStyle name="Normal 70 2" xfId="374"/>
    <cellStyle name="Normal 70 2 2" xfId="375"/>
    <cellStyle name="Normal 70 2 2 2" xfId="376"/>
    <cellStyle name="Normal 70 2 2 2 2" xfId="377"/>
    <cellStyle name="Normal 70 2 2 3" xfId="378"/>
    <cellStyle name="Normal 70 2 2 3 2" xfId="379"/>
    <cellStyle name="Normal 70 2 2 4" xfId="380"/>
    <cellStyle name="Normal 70 2 3" xfId="381"/>
    <cellStyle name="Normal 70 2 3 2" xfId="382"/>
    <cellStyle name="Normal 70 2 4" xfId="383"/>
    <cellStyle name="Normal 70 2 4 2" xfId="384"/>
    <cellStyle name="Normal 70 2 5" xfId="385"/>
    <cellStyle name="Normal 72 2" xfId="386"/>
    <cellStyle name="Normal 72 2 2" xfId="387"/>
    <cellStyle name="Normal 72 2 2 2" xfId="388"/>
    <cellStyle name="Normal 72 2 2 2 2" xfId="389"/>
    <cellStyle name="Normal 72 2 2 3" xfId="390"/>
    <cellStyle name="Normal 72 2 2 3 2" xfId="391"/>
    <cellStyle name="Normal 72 2 2 4" xfId="392"/>
    <cellStyle name="Normal 72 2 3" xfId="393"/>
    <cellStyle name="Normal 72 2 3 2" xfId="394"/>
    <cellStyle name="Normal 72 2 4" xfId="395"/>
    <cellStyle name="Normal 72 2 4 2" xfId="396"/>
    <cellStyle name="Normal 72 2 5" xfId="397"/>
    <cellStyle name="Normal 8" xfId="398"/>
    <cellStyle name="Normal 8 2" xfId="399"/>
    <cellStyle name="Normal 8 3" xfId="620"/>
    <cellStyle name="Normal 8 3 2" xfId="694"/>
    <cellStyle name="Normal 8 3 3" xfId="704"/>
    <cellStyle name="Normal 8 3 4" xfId="705"/>
    <cellStyle name="Normal 8 4" xfId="691"/>
    <cellStyle name="Normal 8 5" xfId="706"/>
    <cellStyle name="Normal 8 6" xfId="707"/>
    <cellStyle name="Normal 80 2" xfId="400"/>
    <cellStyle name="Normal 9" xfId="401"/>
    <cellStyle name="Normal 9 2" xfId="402"/>
    <cellStyle name="Normal 9 3" xfId="403"/>
    <cellStyle name="Normal 9 3 2" xfId="404"/>
    <cellStyle name="Normal 9 4" xfId="405"/>
    <cellStyle name="Normal 9 4 2" xfId="406"/>
    <cellStyle name="Normal 9 5" xfId="407"/>
    <cellStyle name="Note 2" xfId="408"/>
    <cellStyle name="Note 2 2" xfId="689"/>
    <cellStyle name="Note 2 3" xfId="675"/>
    <cellStyle name="Note 2 4" xfId="661"/>
    <cellStyle name="OK Heading" xfId="409"/>
    <cellStyle name="OK Heading 10" xfId="410"/>
    <cellStyle name="OK Heading 100" xfId="411"/>
    <cellStyle name="OK Heading 11" xfId="412"/>
    <cellStyle name="OK Heading 12" xfId="413"/>
    <cellStyle name="OK Heading 13" xfId="414"/>
    <cellStyle name="OK Heading 14" xfId="415"/>
    <cellStyle name="OK Heading 15" xfId="416"/>
    <cellStyle name="OK Heading 16" xfId="417"/>
    <cellStyle name="OK Heading 17" xfId="418"/>
    <cellStyle name="OK Heading 18" xfId="419"/>
    <cellStyle name="OK Heading 19" xfId="420"/>
    <cellStyle name="OK Heading 2" xfId="421"/>
    <cellStyle name="OK Heading 2 2" xfId="422"/>
    <cellStyle name="OK Heading 20" xfId="423"/>
    <cellStyle name="OK Heading 21" xfId="424"/>
    <cellStyle name="OK Heading 22" xfId="425"/>
    <cellStyle name="OK Heading 23" xfId="426"/>
    <cellStyle name="OK Heading 24" xfId="427"/>
    <cellStyle name="OK Heading 25" xfId="428"/>
    <cellStyle name="OK Heading 26" xfId="429"/>
    <cellStyle name="OK Heading 27" xfId="430"/>
    <cellStyle name="OK Heading 28" xfId="431"/>
    <cellStyle name="OK Heading 29" xfId="432"/>
    <cellStyle name="OK Heading 3" xfId="433"/>
    <cellStyle name="OK Heading 30" xfId="434"/>
    <cellStyle name="OK Heading 31" xfId="435"/>
    <cellStyle name="OK Heading 32" xfId="436"/>
    <cellStyle name="OK Heading 33" xfId="437"/>
    <cellStyle name="OK Heading 34" xfId="438"/>
    <cellStyle name="OK Heading 35" xfId="439"/>
    <cellStyle name="OK Heading 36" xfId="440"/>
    <cellStyle name="OK Heading 37" xfId="441"/>
    <cellStyle name="OK Heading 38" xfId="442"/>
    <cellStyle name="OK Heading 39" xfId="443"/>
    <cellStyle name="OK Heading 4" xfId="444"/>
    <cellStyle name="OK Heading 40" xfId="445"/>
    <cellStyle name="OK Heading 41" xfId="446"/>
    <cellStyle name="OK Heading 42" xfId="447"/>
    <cellStyle name="OK Heading 43" xfId="448"/>
    <cellStyle name="OK Heading 44" xfId="449"/>
    <cellStyle name="OK Heading 45" xfId="450"/>
    <cellStyle name="OK Heading 46" xfId="451"/>
    <cellStyle name="OK Heading 47" xfId="452"/>
    <cellStyle name="OK Heading 48" xfId="453"/>
    <cellStyle name="OK Heading 49" xfId="454"/>
    <cellStyle name="OK Heading 5" xfId="455"/>
    <cellStyle name="OK Heading 50" xfId="456"/>
    <cellStyle name="OK Heading 51" xfId="457"/>
    <cellStyle name="OK Heading 52" xfId="458"/>
    <cellStyle name="OK Heading 53" xfId="459"/>
    <cellStyle name="OK Heading 54" xfId="460"/>
    <cellStyle name="OK Heading 55" xfId="461"/>
    <cellStyle name="OK Heading 56" xfId="462"/>
    <cellStyle name="OK Heading 57" xfId="463"/>
    <cellStyle name="OK Heading 58" xfId="464"/>
    <cellStyle name="OK Heading 59" xfId="465"/>
    <cellStyle name="OK Heading 6" xfId="466"/>
    <cellStyle name="OK Heading 60" xfId="467"/>
    <cellStyle name="OK Heading 61" xfId="468"/>
    <cellStyle name="OK Heading 62" xfId="469"/>
    <cellStyle name="OK Heading 63" xfId="470"/>
    <cellStyle name="OK Heading 64" xfId="471"/>
    <cellStyle name="OK Heading 65" xfId="472"/>
    <cellStyle name="OK Heading 66" xfId="473"/>
    <cellStyle name="OK Heading 67" xfId="474"/>
    <cellStyle name="OK Heading 68" xfId="475"/>
    <cellStyle name="OK Heading 69" xfId="476"/>
    <cellStyle name="OK Heading 7" xfId="477"/>
    <cellStyle name="OK Heading 70" xfId="478"/>
    <cellStyle name="OK Heading 71" xfId="479"/>
    <cellStyle name="OK Heading 72" xfId="480"/>
    <cellStyle name="OK Heading 73" xfId="481"/>
    <cellStyle name="OK Heading 74" xfId="482"/>
    <cellStyle name="OK Heading 75" xfId="483"/>
    <cellStyle name="OK Heading 76" xfId="484"/>
    <cellStyle name="OK Heading 77" xfId="485"/>
    <cellStyle name="OK Heading 78" xfId="486"/>
    <cellStyle name="OK Heading 79" xfId="487"/>
    <cellStyle name="OK Heading 8" xfId="488"/>
    <cellStyle name="OK Heading 80" xfId="489"/>
    <cellStyle name="OK Heading 81" xfId="490"/>
    <cellStyle name="OK Heading 82" xfId="491"/>
    <cellStyle name="OK Heading 83" xfId="492"/>
    <cellStyle name="OK Heading 84" xfId="493"/>
    <cellStyle name="OK Heading 85" xfId="494"/>
    <cellStyle name="OK Heading 86" xfId="495"/>
    <cellStyle name="OK Heading 87" xfId="496"/>
    <cellStyle name="OK Heading 88" xfId="497"/>
    <cellStyle name="OK Heading 89" xfId="498"/>
    <cellStyle name="OK Heading 9" xfId="499"/>
    <cellStyle name="OK Heading 90" xfId="500"/>
    <cellStyle name="OK Heading 91" xfId="501"/>
    <cellStyle name="OK Heading 92" xfId="502"/>
    <cellStyle name="OK Heading 93" xfId="503"/>
    <cellStyle name="OK Heading 94" xfId="504"/>
    <cellStyle name="OK Heading 95" xfId="505"/>
    <cellStyle name="OK Heading 96" xfId="506"/>
    <cellStyle name="OK Heading 97" xfId="507"/>
    <cellStyle name="OK Heading 98" xfId="508"/>
    <cellStyle name="OK Heading 99" xfId="509"/>
    <cellStyle name="Output" xfId="630" builtinId="21" customBuiltin="1"/>
    <cellStyle name="Percent 5" xfId="510"/>
    <cellStyle name="Percent 5 2" xfId="511"/>
    <cellStyle name="Report Body" xfId="512"/>
    <cellStyle name="Report Heading" xfId="513"/>
    <cellStyle name="SOO Table Footnote" xfId="514"/>
    <cellStyle name="SOO Table Footnote 2" xfId="515"/>
    <cellStyle name="Sub Heading" xfId="516"/>
    <cellStyle name="Sub Heading 10" xfId="517"/>
    <cellStyle name="Sub Heading 100" xfId="518"/>
    <cellStyle name="Sub Heading 11" xfId="519"/>
    <cellStyle name="Sub Heading 12" xfId="520"/>
    <cellStyle name="Sub Heading 13" xfId="521"/>
    <cellStyle name="Sub Heading 14" xfId="522"/>
    <cellStyle name="Sub Heading 15" xfId="523"/>
    <cellStyle name="Sub Heading 16" xfId="524"/>
    <cellStyle name="Sub Heading 17" xfId="525"/>
    <cellStyle name="Sub Heading 18" xfId="526"/>
    <cellStyle name="Sub Heading 19" xfId="527"/>
    <cellStyle name="Sub Heading 2" xfId="528"/>
    <cellStyle name="Sub Heading 2 2" xfId="529"/>
    <cellStyle name="Sub Heading 20" xfId="530"/>
    <cellStyle name="Sub Heading 21" xfId="531"/>
    <cellStyle name="Sub Heading 22" xfId="532"/>
    <cellStyle name="Sub Heading 23" xfId="533"/>
    <cellStyle name="Sub Heading 24" xfId="534"/>
    <cellStyle name="Sub Heading 25" xfId="535"/>
    <cellStyle name="Sub Heading 26" xfId="536"/>
    <cellStyle name="Sub Heading 27" xfId="537"/>
    <cellStyle name="Sub Heading 28" xfId="538"/>
    <cellStyle name="Sub Heading 29" xfId="539"/>
    <cellStyle name="Sub Heading 3" xfId="540"/>
    <cellStyle name="Sub Heading 30" xfId="541"/>
    <cellStyle name="Sub Heading 31" xfId="542"/>
    <cellStyle name="Sub Heading 32" xfId="543"/>
    <cellStyle name="Sub Heading 33" xfId="544"/>
    <cellStyle name="Sub Heading 34" xfId="545"/>
    <cellStyle name="Sub Heading 35" xfId="546"/>
    <cellStyle name="Sub Heading 36" xfId="547"/>
    <cellStyle name="Sub Heading 37" xfId="548"/>
    <cellStyle name="Sub Heading 38" xfId="549"/>
    <cellStyle name="Sub Heading 39" xfId="550"/>
    <cellStyle name="Sub Heading 4" xfId="551"/>
    <cellStyle name="Sub Heading 40" xfId="552"/>
    <cellStyle name="Sub Heading 41" xfId="553"/>
    <cellStyle name="Sub Heading 42" xfId="554"/>
    <cellStyle name="Sub Heading 43" xfId="555"/>
    <cellStyle name="Sub Heading 44" xfId="556"/>
    <cellStyle name="Sub Heading 45" xfId="557"/>
    <cellStyle name="Sub Heading 46" xfId="558"/>
    <cellStyle name="Sub Heading 47" xfId="559"/>
    <cellStyle name="Sub Heading 48" xfId="560"/>
    <cellStyle name="Sub Heading 49" xfId="561"/>
    <cellStyle name="Sub Heading 5" xfId="562"/>
    <cellStyle name="Sub Heading 50" xfId="563"/>
    <cellStyle name="Sub Heading 51" xfId="564"/>
    <cellStyle name="Sub Heading 52" xfId="565"/>
    <cellStyle name="Sub Heading 53" xfId="566"/>
    <cellStyle name="Sub Heading 54" xfId="567"/>
    <cellStyle name="Sub Heading 55" xfId="568"/>
    <cellStyle name="Sub Heading 56" xfId="569"/>
    <cellStyle name="Sub Heading 57" xfId="570"/>
    <cellStyle name="Sub Heading 58" xfId="571"/>
    <cellStyle name="Sub Heading 59" xfId="572"/>
    <cellStyle name="Sub Heading 6" xfId="573"/>
    <cellStyle name="Sub Heading 60" xfId="574"/>
    <cellStyle name="Sub Heading 61" xfId="575"/>
    <cellStyle name="Sub Heading 62" xfId="576"/>
    <cellStyle name="Sub Heading 63" xfId="577"/>
    <cellStyle name="Sub Heading 64" xfId="578"/>
    <cellStyle name="Sub Heading 65" xfId="579"/>
    <cellStyle name="Sub Heading 66" xfId="580"/>
    <cellStyle name="Sub Heading 67" xfId="581"/>
    <cellStyle name="Sub Heading 68" xfId="582"/>
    <cellStyle name="Sub Heading 69" xfId="583"/>
    <cellStyle name="Sub Heading 7" xfId="584"/>
    <cellStyle name="Sub Heading 70" xfId="585"/>
    <cellStyle name="Sub Heading 71" xfId="586"/>
    <cellStyle name="Sub Heading 72" xfId="587"/>
    <cellStyle name="Sub Heading 73" xfId="588"/>
    <cellStyle name="Sub Heading 74" xfId="589"/>
    <cellStyle name="Sub Heading 75" xfId="590"/>
    <cellStyle name="Sub Heading 76" xfId="591"/>
    <cellStyle name="Sub Heading 77" xfId="592"/>
    <cellStyle name="Sub Heading 78" xfId="593"/>
    <cellStyle name="Sub Heading 79" xfId="594"/>
    <cellStyle name="Sub Heading 8" xfId="595"/>
    <cellStyle name="Sub Heading 80" xfId="596"/>
    <cellStyle name="Sub Heading 81" xfId="597"/>
    <cellStyle name="Sub Heading 82" xfId="598"/>
    <cellStyle name="Sub Heading 83" xfId="599"/>
    <cellStyle name="Sub Heading 84" xfId="600"/>
    <cellStyle name="Sub Heading 85" xfId="601"/>
    <cellStyle name="Sub Heading 86" xfId="602"/>
    <cellStyle name="Sub Heading 87" xfId="603"/>
    <cellStyle name="Sub Heading 88" xfId="604"/>
    <cellStyle name="Sub Heading 89" xfId="605"/>
    <cellStyle name="Sub Heading 9" xfId="606"/>
    <cellStyle name="Sub Heading 90" xfId="607"/>
    <cellStyle name="Sub Heading 91" xfId="608"/>
    <cellStyle name="Sub Heading 92" xfId="609"/>
    <cellStyle name="Sub Heading 93" xfId="610"/>
    <cellStyle name="Sub Heading 94" xfId="611"/>
    <cellStyle name="Sub Heading 95" xfId="612"/>
    <cellStyle name="Sub Heading 96" xfId="613"/>
    <cellStyle name="Sub Heading 97" xfId="614"/>
    <cellStyle name="Sub Heading 98" xfId="615"/>
    <cellStyle name="Sub Heading 99" xfId="616"/>
    <cellStyle name="Title" xfId="621" builtinId="15" customBuiltin="1"/>
    <cellStyle name="Total" xfId="636" builtinId="25" customBuiltin="1"/>
    <cellStyle name="Warning Text" xfId="634" builtinId="11" customBuiltin="1"/>
  </cellStyles>
  <dxfs count="0"/>
  <tableStyles count="0" defaultTableStyle="TableStyleMedium2" defaultPivotStyle="PivotStyleLight16"/>
  <colors>
    <mruColors>
      <color rgb="FFC41230"/>
      <color rgb="FFADE0EE"/>
      <color rgb="FFC0AF2C"/>
      <color rgb="FFFBB483"/>
      <color rgb="FFCB7E80"/>
      <color rgb="FFA9C3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3.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5.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theme" Target="theme/theme1.xml"/><Relationship Id="rId5" Type="http://schemas.openxmlformats.org/officeDocument/2006/relationships/worksheet" Target="worksheets/sheet4.xml"/><Relationship Id="rId15" Type="http://schemas.openxmlformats.org/officeDocument/2006/relationships/customXml" Target="../customXml/item1.xml"/><Relationship Id="rId10" Type="http://schemas.openxmlformats.org/officeDocument/2006/relationships/worksheet" Target="worksheets/sheet7.xml"/><Relationship Id="rId4" Type="http://schemas.openxmlformats.org/officeDocument/2006/relationships/chartsheet" Target="chartsheets/sheet1.xml"/><Relationship Id="rId9" Type="http://schemas.openxmlformats.org/officeDocument/2006/relationships/worksheet" Target="worksheets/sheet6.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526772857308464"/>
          <c:y val="3.2648402413411041E-2"/>
          <c:w val="0.84059724936764346"/>
          <c:h val="0.66226524758683436"/>
        </c:manualLayout>
      </c:layout>
      <c:barChart>
        <c:barDir val="col"/>
        <c:grouping val="stacked"/>
        <c:varyColors val="0"/>
        <c:ser>
          <c:idx val="0"/>
          <c:order val="0"/>
          <c:tx>
            <c:strRef>
              <c:f>'NEMInstalledCapacity Data'!$B$3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0FC-BFA0-494B-8C8A-5AA147911084}"/>
              </c:ext>
            </c:extLst>
          </c:dPt>
          <c:dPt>
            <c:idx val="1"/>
            <c:invertIfNegative val="0"/>
            <c:bubble3D val="0"/>
            <c:extLst>
              <c:ext xmlns:c16="http://schemas.microsoft.com/office/drawing/2014/chart" uri="{C3380CC4-5D6E-409C-BE32-E72D297353CC}">
                <c16:uniqueId val="{000000FE-BFA0-494B-8C8A-5AA147911084}"/>
              </c:ext>
            </c:extLst>
          </c:dPt>
          <c:dPt>
            <c:idx val="2"/>
            <c:invertIfNegative val="0"/>
            <c:bubble3D val="0"/>
            <c:extLst>
              <c:ext xmlns:c16="http://schemas.microsoft.com/office/drawing/2014/chart" uri="{C3380CC4-5D6E-409C-BE32-E72D297353CC}">
                <c16:uniqueId val="{00000100-BFA0-494B-8C8A-5AA147911084}"/>
              </c:ext>
            </c:extLst>
          </c:dPt>
          <c:dPt>
            <c:idx val="3"/>
            <c:invertIfNegative val="0"/>
            <c:bubble3D val="0"/>
            <c:extLst>
              <c:ext xmlns:c16="http://schemas.microsoft.com/office/drawing/2014/chart" uri="{C3380CC4-5D6E-409C-BE32-E72D297353CC}">
                <c16:uniqueId val="{00000102-BFA0-494B-8C8A-5AA147911084}"/>
              </c:ext>
            </c:extLst>
          </c:dPt>
          <c:dPt>
            <c:idx val="4"/>
            <c:invertIfNegative val="0"/>
            <c:bubble3D val="0"/>
            <c:extLst>
              <c:ext xmlns:c16="http://schemas.microsoft.com/office/drawing/2014/chart" uri="{C3380CC4-5D6E-409C-BE32-E72D297353CC}">
                <c16:uniqueId val="{00000104-BFA0-494B-8C8A-5AA147911084}"/>
              </c:ext>
            </c:extLst>
          </c:dPt>
          <c:dPt>
            <c:idx val="5"/>
            <c:invertIfNegative val="0"/>
            <c:bubble3D val="0"/>
            <c:extLst>
              <c:ext xmlns:c16="http://schemas.microsoft.com/office/drawing/2014/chart" uri="{C3380CC4-5D6E-409C-BE32-E72D297353CC}">
                <c16:uniqueId val="{00000106-BFA0-494B-8C8A-5AA147911084}"/>
              </c:ext>
            </c:extLst>
          </c:dPt>
          <c:dPt>
            <c:idx val="6"/>
            <c:invertIfNegative val="0"/>
            <c:bubble3D val="0"/>
            <c:extLst>
              <c:ext xmlns:c16="http://schemas.microsoft.com/office/drawing/2014/chart" uri="{C3380CC4-5D6E-409C-BE32-E72D297353CC}">
                <c16:uniqueId val="{00000108-BFA0-494B-8C8A-5AA147911084}"/>
              </c:ext>
            </c:extLst>
          </c:dPt>
          <c:dPt>
            <c:idx val="7"/>
            <c:invertIfNegative val="0"/>
            <c:bubble3D val="0"/>
            <c:extLst>
              <c:ext xmlns:c16="http://schemas.microsoft.com/office/drawing/2014/chart" uri="{C3380CC4-5D6E-409C-BE32-E72D297353CC}">
                <c16:uniqueId val="{0000010A-BFA0-494B-8C8A-5AA147911084}"/>
              </c:ext>
            </c:extLst>
          </c:dPt>
          <c:dPt>
            <c:idx val="8"/>
            <c:invertIfNegative val="0"/>
            <c:bubble3D val="0"/>
            <c:extLst>
              <c:ext xmlns:c16="http://schemas.microsoft.com/office/drawing/2014/chart" uri="{C3380CC4-5D6E-409C-BE32-E72D297353CC}">
                <c16:uniqueId val="{0000010C-BFA0-494B-8C8A-5AA147911084}"/>
              </c:ext>
            </c:extLst>
          </c:dPt>
          <c:dPt>
            <c:idx val="9"/>
            <c:invertIfNegative val="0"/>
            <c:bubble3D val="0"/>
            <c:extLst>
              <c:ext xmlns:c16="http://schemas.microsoft.com/office/drawing/2014/chart" uri="{C3380CC4-5D6E-409C-BE32-E72D297353CC}">
                <c16:uniqueId val="{0000010E-BFA0-494B-8C8A-5AA147911084}"/>
              </c:ext>
            </c:extLst>
          </c:dPt>
          <c:dPt>
            <c:idx val="10"/>
            <c:invertIfNegative val="0"/>
            <c:bubble3D val="0"/>
            <c:extLst>
              <c:ext xmlns:c16="http://schemas.microsoft.com/office/drawing/2014/chart" uri="{C3380CC4-5D6E-409C-BE32-E72D297353CC}">
                <c16:uniqueId val="{00000110-BFA0-494B-8C8A-5AA147911084}"/>
              </c:ext>
            </c:extLst>
          </c:dPt>
          <c:dPt>
            <c:idx val="11"/>
            <c:invertIfNegative val="0"/>
            <c:bubble3D val="0"/>
            <c:extLst>
              <c:ext xmlns:c16="http://schemas.microsoft.com/office/drawing/2014/chart" uri="{C3380CC4-5D6E-409C-BE32-E72D297353CC}">
                <c16:uniqueId val="{00000112-BFA0-494B-8C8A-5AA147911084}"/>
              </c:ext>
            </c:extLst>
          </c:dPt>
          <c:dPt>
            <c:idx val="12"/>
            <c:invertIfNegative val="0"/>
            <c:bubble3D val="0"/>
            <c:extLst>
              <c:ext xmlns:c16="http://schemas.microsoft.com/office/drawing/2014/chart" uri="{C3380CC4-5D6E-409C-BE32-E72D297353CC}">
                <c16:uniqueId val="{00000114-BFA0-494B-8C8A-5AA147911084}"/>
              </c:ext>
            </c:extLst>
          </c:dPt>
          <c:dPt>
            <c:idx val="13"/>
            <c:invertIfNegative val="0"/>
            <c:bubble3D val="0"/>
            <c:extLst>
              <c:ext xmlns:c16="http://schemas.microsoft.com/office/drawing/2014/chart" uri="{C3380CC4-5D6E-409C-BE32-E72D297353CC}">
                <c16:uniqueId val="{00000116-BFA0-494B-8C8A-5AA147911084}"/>
              </c:ext>
            </c:extLst>
          </c:dPt>
          <c:dPt>
            <c:idx val="14"/>
            <c:invertIfNegative val="0"/>
            <c:bubble3D val="0"/>
            <c:extLst>
              <c:ext xmlns:c16="http://schemas.microsoft.com/office/drawing/2014/chart" uri="{C3380CC4-5D6E-409C-BE32-E72D297353CC}">
                <c16:uniqueId val="{00000118-BFA0-494B-8C8A-5AA147911084}"/>
              </c:ext>
            </c:extLst>
          </c:dPt>
          <c:dPt>
            <c:idx val="15"/>
            <c:invertIfNegative val="0"/>
            <c:bubble3D val="0"/>
            <c:extLst>
              <c:ext xmlns:c16="http://schemas.microsoft.com/office/drawing/2014/chart" uri="{C3380CC4-5D6E-409C-BE32-E72D297353CC}">
                <c16:uniqueId val="{0000011A-BFA0-494B-8C8A-5AA147911084}"/>
              </c:ext>
            </c:extLst>
          </c:dPt>
          <c:dPt>
            <c:idx val="16"/>
            <c:invertIfNegative val="0"/>
            <c:bubble3D val="0"/>
            <c:extLst>
              <c:ext xmlns:c16="http://schemas.microsoft.com/office/drawing/2014/chart" uri="{C3380CC4-5D6E-409C-BE32-E72D297353CC}">
                <c16:uniqueId val="{0000011C-BFA0-494B-8C8A-5AA147911084}"/>
              </c:ext>
            </c:extLst>
          </c:dPt>
          <c:dPt>
            <c:idx val="17"/>
            <c:invertIfNegative val="0"/>
            <c:bubble3D val="0"/>
            <c:extLst>
              <c:ext xmlns:c16="http://schemas.microsoft.com/office/drawing/2014/chart" uri="{C3380CC4-5D6E-409C-BE32-E72D297353CC}">
                <c16:uniqueId val="{0000011E-BFA0-494B-8C8A-5AA147911084}"/>
              </c:ext>
            </c:extLst>
          </c:dPt>
          <c:dPt>
            <c:idx val="18"/>
            <c:invertIfNegative val="0"/>
            <c:bubble3D val="0"/>
            <c:extLst>
              <c:ext xmlns:c16="http://schemas.microsoft.com/office/drawing/2014/chart" uri="{C3380CC4-5D6E-409C-BE32-E72D297353CC}">
                <c16:uniqueId val="{00000120-BFA0-494B-8C8A-5AA147911084}"/>
              </c:ext>
            </c:extLst>
          </c:dPt>
          <c:dPt>
            <c:idx val="19"/>
            <c:invertIfNegative val="0"/>
            <c:bubble3D val="0"/>
            <c:extLst>
              <c:ext xmlns:c16="http://schemas.microsoft.com/office/drawing/2014/chart" uri="{C3380CC4-5D6E-409C-BE32-E72D297353CC}">
                <c16:uniqueId val="{00000122-BFA0-494B-8C8A-5AA147911084}"/>
              </c:ext>
            </c:extLst>
          </c:dPt>
          <c:dPt>
            <c:idx val="20"/>
            <c:invertIfNegative val="0"/>
            <c:bubble3D val="0"/>
            <c:extLst>
              <c:ext xmlns:c16="http://schemas.microsoft.com/office/drawing/2014/chart" uri="{C3380CC4-5D6E-409C-BE32-E72D297353CC}">
                <c16:uniqueId val="{00000124-BFA0-494B-8C8A-5AA147911084}"/>
              </c:ext>
            </c:extLst>
          </c:dPt>
          <c:dPt>
            <c:idx val="21"/>
            <c:invertIfNegative val="0"/>
            <c:bubble3D val="0"/>
            <c:extLst>
              <c:ext xmlns:c16="http://schemas.microsoft.com/office/drawing/2014/chart" uri="{C3380CC4-5D6E-409C-BE32-E72D297353CC}">
                <c16:uniqueId val="{00000126-BFA0-494B-8C8A-5AA147911084}"/>
              </c:ext>
            </c:extLst>
          </c:dPt>
          <c:dPt>
            <c:idx val="22"/>
            <c:invertIfNegative val="0"/>
            <c:bubble3D val="0"/>
            <c:extLst>
              <c:ext xmlns:c16="http://schemas.microsoft.com/office/drawing/2014/chart" uri="{C3380CC4-5D6E-409C-BE32-E72D297353CC}">
                <c16:uniqueId val="{00000128-BFA0-494B-8C8A-5AA147911084}"/>
              </c:ext>
            </c:extLst>
          </c:dPt>
          <c:dPt>
            <c:idx val="23"/>
            <c:invertIfNegative val="0"/>
            <c:bubble3D val="0"/>
            <c:extLst>
              <c:ext xmlns:c16="http://schemas.microsoft.com/office/drawing/2014/chart" uri="{C3380CC4-5D6E-409C-BE32-E72D297353CC}">
                <c16:uniqueId val="{0000012A-BFA0-494B-8C8A-5AA147911084}"/>
              </c:ext>
            </c:extLst>
          </c:dPt>
          <c:dPt>
            <c:idx val="24"/>
            <c:invertIfNegative val="0"/>
            <c:bubble3D val="0"/>
            <c:extLst>
              <c:ext xmlns:c16="http://schemas.microsoft.com/office/drawing/2014/chart" uri="{C3380CC4-5D6E-409C-BE32-E72D297353CC}">
                <c16:uniqueId val="{0000012C-BFA0-494B-8C8A-5AA14791108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Data'!$C$3:$X$3</c:f>
              <c:numCache>
                <c:formatCode>#,##0_ ;\-#,##0\ </c:formatCode>
                <c:ptCount val="22"/>
                <c:pt idx="0">
                  <c:v>18219</c:v>
                </c:pt>
                <c:pt idx="1">
                  <c:v>18219</c:v>
                </c:pt>
                <c:pt idx="2">
                  <c:v>18219</c:v>
                </c:pt>
                <c:pt idx="3">
                  <c:v>18219</c:v>
                </c:pt>
                <c:pt idx="4">
                  <c:v>16419</c:v>
                </c:pt>
                <c:pt idx="5">
                  <c:v>16419</c:v>
                </c:pt>
                <c:pt idx="6">
                  <c:v>16419</c:v>
                </c:pt>
                <c:pt idx="7">
                  <c:v>16419</c:v>
                </c:pt>
                <c:pt idx="8">
                  <c:v>16419</c:v>
                </c:pt>
                <c:pt idx="9">
                  <c:v>16419</c:v>
                </c:pt>
                <c:pt idx="10">
                  <c:v>15099</c:v>
                </c:pt>
                <c:pt idx="11">
                  <c:v>13419</c:v>
                </c:pt>
                <c:pt idx="12">
                  <c:v>13419</c:v>
                </c:pt>
                <c:pt idx="13">
                  <c:v>13419</c:v>
                </c:pt>
                <c:pt idx="14">
                  <c:v>13419</c:v>
                </c:pt>
                <c:pt idx="15">
                  <c:v>13419</c:v>
                </c:pt>
                <c:pt idx="16">
                  <c:v>10539</c:v>
                </c:pt>
                <c:pt idx="17">
                  <c:v>7899</c:v>
                </c:pt>
                <c:pt idx="18">
                  <c:v>6499</c:v>
                </c:pt>
                <c:pt idx="19">
                  <c:v>6499</c:v>
                </c:pt>
                <c:pt idx="20">
                  <c:v>5799</c:v>
                </c:pt>
                <c:pt idx="21">
                  <c:v>5799</c:v>
                </c:pt>
              </c:numCache>
            </c:numRef>
          </c:val>
          <c:extLst>
            <c:ext xmlns:c16="http://schemas.microsoft.com/office/drawing/2014/chart" uri="{C3380CC4-5D6E-409C-BE32-E72D297353CC}">
              <c16:uniqueId val="{0000012D-BFA0-494B-8C8A-5AA147911084}"/>
            </c:ext>
          </c:extLst>
        </c:ser>
        <c:ser>
          <c:idx val="1"/>
          <c:order val="1"/>
          <c:tx>
            <c:strRef>
              <c:f>'NEMInstalledCapacity Data'!$B$4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130-BFA0-494B-8C8A-5AA147911084}"/>
              </c:ext>
            </c:extLst>
          </c:dPt>
          <c:dPt>
            <c:idx val="1"/>
            <c:invertIfNegative val="0"/>
            <c:bubble3D val="0"/>
            <c:extLst>
              <c:ext xmlns:c16="http://schemas.microsoft.com/office/drawing/2014/chart" uri="{C3380CC4-5D6E-409C-BE32-E72D297353CC}">
                <c16:uniqueId val="{00000132-BFA0-494B-8C8A-5AA147911084}"/>
              </c:ext>
            </c:extLst>
          </c:dPt>
          <c:dPt>
            <c:idx val="2"/>
            <c:invertIfNegative val="0"/>
            <c:bubble3D val="0"/>
            <c:extLst>
              <c:ext xmlns:c16="http://schemas.microsoft.com/office/drawing/2014/chart" uri="{C3380CC4-5D6E-409C-BE32-E72D297353CC}">
                <c16:uniqueId val="{00000134-BFA0-494B-8C8A-5AA147911084}"/>
              </c:ext>
            </c:extLst>
          </c:dPt>
          <c:dPt>
            <c:idx val="3"/>
            <c:invertIfNegative val="0"/>
            <c:bubble3D val="0"/>
            <c:extLst>
              <c:ext xmlns:c16="http://schemas.microsoft.com/office/drawing/2014/chart" uri="{C3380CC4-5D6E-409C-BE32-E72D297353CC}">
                <c16:uniqueId val="{00000136-BFA0-494B-8C8A-5AA147911084}"/>
              </c:ext>
            </c:extLst>
          </c:dPt>
          <c:dPt>
            <c:idx val="4"/>
            <c:invertIfNegative val="0"/>
            <c:bubble3D val="0"/>
            <c:extLst>
              <c:ext xmlns:c16="http://schemas.microsoft.com/office/drawing/2014/chart" uri="{C3380CC4-5D6E-409C-BE32-E72D297353CC}">
                <c16:uniqueId val="{00000138-BFA0-494B-8C8A-5AA147911084}"/>
              </c:ext>
            </c:extLst>
          </c:dPt>
          <c:dPt>
            <c:idx val="5"/>
            <c:invertIfNegative val="0"/>
            <c:bubble3D val="0"/>
            <c:extLst>
              <c:ext xmlns:c16="http://schemas.microsoft.com/office/drawing/2014/chart" uri="{C3380CC4-5D6E-409C-BE32-E72D297353CC}">
                <c16:uniqueId val="{0000013A-BFA0-494B-8C8A-5AA147911084}"/>
              </c:ext>
            </c:extLst>
          </c:dPt>
          <c:dPt>
            <c:idx val="6"/>
            <c:invertIfNegative val="0"/>
            <c:bubble3D val="0"/>
            <c:extLst>
              <c:ext xmlns:c16="http://schemas.microsoft.com/office/drawing/2014/chart" uri="{C3380CC4-5D6E-409C-BE32-E72D297353CC}">
                <c16:uniqueId val="{0000013C-BFA0-494B-8C8A-5AA147911084}"/>
              </c:ext>
            </c:extLst>
          </c:dPt>
          <c:dPt>
            <c:idx val="7"/>
            <c:invertIfNegative val="0"/>
            <c:bubble3D val="0"/>
            <c:extLst>
              <c:ext xmlns:c16="http://schemas.microsoft.com/office/drawing/2014/chart" uri="{C3380CC4-5D6E-409C-BE32-E72D297353CC}">
                <c16:uniqueId val="{0000013E-BFA0-494B-8C8A-5AA147911084}"/>
              </c:ext>
            </c:extLst>
          </c:dPt>
          <c:dPt>
            <c:idx val="8"/>
            <c:invertIfNegative val="0"/>
            <c:bubble3D val="0"/>
            <c:extLst>
              <c:ext xmlns:c16="http://schemas.microsoft.com/office/drawing/2014/chart" uri="{C3380CC4-5D6E-409C-BE32-E72D297353CC}">
                <c16:uniqueId val="{00000140-BFA0-494B-8C8A-5AA147911084}"/>
              </c:ext>
            </c:extLst>
          </c:dPt>
          <c:dPt>
            <c:idx val="9"/>
            <c:invertIfNegative val="0"/>
            <c:bubble3D val="0"/>
            <c:extLst>
              <c:ext xmlns:c16="http://schemas.microsoft.com/office/drawing/2014/chart" uri="{C3380CC4-5D6E-409C-BE32-E72D297353CC}">
                <c16:uniqueId val="{00000142-BFA0-494B-8C8A-5AA147911084}"/>
              </c:ext>
            </c:extLst>
          </c:dPt>
          <c:dPt>
            <c:idx val="10"/>
            <c:invertIfNegative val="0"/>
            <c:bubble3D val="0"/>
            <c:extLst>
              <c:ext xmlns:c16="http://schemas.microsoft.com/office/drawing/2014/chart" uri="{C3380CC4-5D6E-409C-BE32-E72D297353CC}">
                <c16:uniqueId val="{00000144-BFA0-494B-8C8A-5AA147911084}"/>
              </c:ext>
            </c:extLst>
          </c:dPt>
          <c:dPt>
            <c:idx val="11"/>
            <c:invertIfNegative val="0"/>
            <c:bubble3D val="0"/>
            <c:extLst>
              <c:ext xmlns:c16="http://schemas.microsoft.com/office/drawing/2014/chart" uri="{C3380CC4-5D6E-409C-BE32-E72D297353CC}">
                <c16:uniqueId val="{00000146-BFA0-494B-8C8A-5AA147911084}"/>
              </c:ext>
            </c:extLst>
          </c:dPt>
          <c:dPt>
            <c:idx val="12"/>
            <c:invertIfNegative val="0"/>
            <c:bubble3D val="0"/>
            <c:extLst>
              <c:ext xmlns:c16="http://schemas.microsoft.com/office/drawing/2014/chart" uri="{C3380CC4-5D6E-409C-BE32-E72D297353CC}">
                <c16:uniqueId val="{00000148-BFA0-494B-8C8A-5AA147911084}"/>
              </c:ext>
            </c:extLst>
          </c:dPt>
          <c:dPt>
            <c:idx val="13"/>
            <c:invertIfNegative val="0"/>
            <c:bubble3D val="0"/>
            <c:extLst>
              <c:ext xmlns:c16="http://schemas.microsoft.com/office/drawing/2014/chart" uri="{C3380CC4-5D6E-409C-BE32-E72D297353CC}">
                <c16:uniqueId val="{0000014A-BFA0-494B-8C8A-5AA147911084}"/>
              </c:ext>
            </c:extLst>
          </c:dPt>
          <c:dPt>
            <c:idx val="14"/>
            <c:invertIfNegative val="0"/>
            <c:bubble3D val="0"/>
            <c:extLst>
              <c:ext xmlns:c16="http://schemas.microsoft.com/office/drawing/2014/chart" uri="{C3380CC4-5D6E-409C-BE32-E72D297353CC}">
                <c16:uniqueId val="{0000014C-BFA0-494B-8C8A-5AA147911084}"/>
              </c:ext>
            </c:extLst>
          </c:dPt>
          <c:dPt>
            <c:idx val="15"/>
            <c:invertIfNegative val="0"/>
            <c:bubble3D val="0"/>
            <c:extLst>
              <c:ext xmlns:c16="http://schemas.microsoft.com/office/drawing/2014/chart" uri="{C3380CC4-5D6E-409C-BE32-E72D297353CC}">
                <c16:uniqueId val="{0000014E-BFA0-494B-8C8A-5AA147911084}"/>
              </c:ext>
            </c:extLst>
          </c:dPt>
          <c:dPt>
            <c:idx val="16"/>
            <c:invertIfNegative val="0"/>
            <c:bubble3D val="0"/>
            <c:extLst>
              <c:ext xmlns:c16="http://schemas.microsoft.com/office/drawing/2014/chart" uri="{C3380CC4-5D6E-409C-BE32-E72D297353CC}">
                <c16:uniqueId val="{00000150-BFA0-494B-8C8A-5AA147911084}"/>
              </c:ext>
            </c:extLst>
          </c:dPt>
          <c:dPt>
            <c:idx val="17"/>
            <c:invertIfNegative val="0"/>
            <c:bubble3D val="0"/>
            <c:extLst>
              <c:ext xmlns:c16="http://schemas.microsoft.com/office/drawing/2014/chart" uri="{C3380CC4-5D6E-409C-BE32-E72D297353CC}">
                <c16:uniqueId val="{00000152-BFA0-494B-8C8A-5AA147911084}"/>
              </c:ext>
            </c:extLst>
          </c:dPt>
          <c:dPt>
            <c:idx val="18"/>
            <c:invertIfNegative val="0"/>
            <c:bubble3D val="0"/>
            <c:extLst>
              <c:ext xmlns:c16="http://schemas.microsoft.com/office/drawing/2014/chart" uri="{C3380CC4-5D6E-409C-BE32-E72D297353CC}">
                <c16:uniqueId val="{00000154-BFA0-494B-8C8A-5AA147911084}"/>
              </c:ext>
            </c:extLst>
          </c:dPt>
          <c:dPt>
            <c:idx val="19"/>
            <c:invertIfNegative val="0"/>
            <c:bubble3D val="0"/>
            <c:extLst>
              <c:ext xmlns:c16="http://schemas.microsoft.com/office/drawing/2014/chart" uri="{C3380CC4-5D6E-409C-BE32-E72D297353CC}">
                <c16:uniqueId val="{00000156-BFA0-494B-8C8A-5AA147911084}"/>
              </c:ext>
            </c:extLst>
          </c:dPt>
          <c:dPt>
            <c:idx val="20"/>
            <c:invertIfNegative val="0"/>
            <c:bubble3D val="0"/>
            <c:extLst>
              <c:ext xmlns:c16="http://schemas.microsoft.com/office/drawing/2014/chart" uri="{C3380CC4-5D6E-409C-BE32-E72D297353CC}">
                <c16:uniqueId val="{00000158-BFA0-494B-8C8A-5AA147911084}"/>
              </c:ext>
            </c:extLst>
          </c:dPt>
          <c:dPt>
            <c:idx val="21"/>
            <c:invertIfNegative val="0"/>
            <c:bubble3D val="0"/>
            <c:extLst>
              <c:ext xmlns:c16="http://schemas.microsoft.com/office/drawing/2014/chart" uri="{C3380CC4-5D6E-409C-BE32-E72D297353CC}">
                <c16:uniqueId val="{0000015A-BFA0-494B-8C8A-5AA147911084}"/>
              </c:ext>
            </c:extLst>
          </c:dPt>
          <c:dPt>
            <c:idx val="22"/>
            <c:invertIfNegative val="0"/>
            <c:bubble3D val="0"/>
            <c:extLst>
              <c:ext xmlns:c16="http://schemas.microsoft.com/office/drawing/2014/chart" uri="{C3380CC4-5D6E-409C-BE32-E72D297353CC}">
                <c16:uniqueId val="{0000015C-BFA0-494B-8C8A-5AA147911084}"/>
              </c:ext>
            </c:extLst>
          </c:dPt>
          <c:dPt>
            <c:idx val="23"/>
            <c:invertIfNegative val="0"/>
            <c:bubble3D val="0"/>
            <c:extLst>
              <c:ext xmlns:c16="http://schemas.microsoft.com/office/drawing/2014/chart" uri="{C3380CC4-5D6E-409C-BE32-E72D297353CC}">
                <c16:uniqueId val="{0000015E-BFA0-494B-8C8A-5AA147911084}"/>
              </c:ext>
            </c:extLst>
          </c:dPt>
          <c:dPt>
            <c:idx val="24"/>
            <c:invertIfNegative val="0"/>
            <c:bubble3D val="0"/>
            <c:extLst>
              <c:ext xmlns:c16="http://schemas.microsoft.com/office/drawing/2014/chart" uri="{C3380CC4-5D6E-409C-BE32-E72D297353CC}">
                <c16:uniqueId val="{00000160-BFA0-494B-8C8A-5AA14791108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Data'!$C$4:$X$4</c:f>
              <c:numCache>
                <c:formatCode>#,##0_ ;\-#,##0\ </c:formatCode>
                <c:ptCount val="22"/>
                <c:pt idx="0">
                  <c:v>4808</c:v>
                </c:pt>
                <c:pt idx="1">
                  <c:v>4808</c:v>
                </c:pt>
                <c:pt idx="2">
                  <c:v>4808</c:v>
                </c:pt>
                <c:pt idx="3">
                  <c:v>4808</c:v>
                </c:pt>
                <c:pt idx="4">
                  <c:v>4808</c:v>
                </c:pt>
                <c:pt idx="5">
                  <c:v>4808</c:v>
                </c:pt>
                <c:pt idx="6">
                  <c:v>4808</c:v>
                </c:pt>
                <c:pt idx="7">
                  <c:v>4808</c:v>
                </c:pt>
                <c:pt idx="8">
                  <c:v>4808</c:v>
                </c:pt>
                <c:pt idx="9">
                  <c:v>4808</c:v>
                </c:pt>
                <c:pt idx="10">
                  <c:v>4808</c:v>
                </c:pt>
                <c:pt idx="11">
                  <c:v>4808</c:v>
                </c:pt>
                <c:pt idx="12">
                  <c:v>4808</c:v>
                </c:pt>
                <c:pt idx="13">
                  <c:v>4808</c:v>
                </c:pt>
                <c:pt idx="14">
                  <c:v>3280</c:v>
                </c:pt>
                <c:pt idx="15">
                  <c:v>3280</c:v>
                </c:pt>
                <c:pt idx="16">
                  <c:v>3280</c:v>
                </c:pt>
                <c:pt idx="17">
                  <c:v>3280</c:v>
                </c:pt>
                <c:pt idx="18">
                  <c:v>3280</c:v>
                </c:pt>
                <c:pt idx="19">
                  <c:v>3280</c:v>
                </c:pt>
                <c:pt idx="20">
                  <c:v>3280</c:v>
                </c:pt>
                <c:pt idx="21">
                  <c:v>3280</c:v>
                </c:pt>
              </c:numCache>
            </c:numRef>
          </c:val>
          <c:extLst>
            <c:ext xmlns:c16="http://schemas.microsoft.com/office/drawing/2014/chart" uri="{C3380CC4-5D6E-409C-BE32-E72D297353CC}">
              <c16:uniqueId val="{00000161-BFA0-494B-8C8A-5AA147911084}"/>
            </c:ext>
          </c:extLst>
        </c:ser>
        <c:ser>
          <c:idx val="2"/>
          <c:order val="2"/>
          <c:tx>
            <c:strRef>
              <c:f>'NEMInstalledCapacity Data'!$B$5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164-BFA0-494B-8C8A-5AA147911084}"/>
              </c:ext>
            </c:extLst>
          </c:dPt>
          <c:dPt>
            <c:idx val="1"/>
            <c:invertIfNegative val="0"/>
            <c:bubble3D val="0"/>
            <c:extLst>
              <c:ext xmlns:c16="http://schemas.microsoft.com/office/drawing/2014/chart" uri="{C3380CC4-5D6E-409C-BE32-E72D297353CC}">
                <c16:uniqueId val="{00000166-BFA0-494B-8C8A-5AA147911084}"/>
              </c:ext>
            </c:extLst>
          </c:dPt>
          <c:dPt>
            <c:idx val="2"/>
            <c:invertIfNegative val="0"/>
            <c:bubble3D val="0"/>
            <c:extLst>
              <c:ext xmlns:c16="http://schemas.microsoft.com/office/drawing/2014/chart" uri="{C3380CC4-5D6E-409C-BE32-E72D297353CC}">
                <c16:uniqueId val="{00000168-BFA0-494B-8C8A-5AA147911084}"/>
              </c:ext>
            </c:extLst>
          </c:dPt>
          <c:dPt>
            <c:idx val="3"/>
            <c:invertIfNegative val="0"/>
            <c:bubble3D val="0"/>
            <c:extLst>
              <c:ext xmlns:c16="http://schemas.microsoft.com/office/drawing/2014/chart" uri="{C3380CC4-5D6E-409C-BE32-E72D297353CC}">
                <c16:uniqueId val="{0000016A-BFA0-494B-8C8A-5AA147911084}"/>
              </c:ext>
            </c:extLst>
          </c:dPt>
          <c:dPt>
            <c:idx val="4"/>
            <c:invertIfNegative val="0"/>
            <c:bubble3D val="0"/>
            <c:extLst>
              <c:ext xmlns:c16="http://schemas.microsoft.com/office/drawing/2014/chart" uri="{C3380CC4-5D6E-409C-BE32-E72D297353CC}">
                <c16:uniqueId val="{0000016C-BFA0-494B-8C8A-5AA147911084}"/>
              </c:ext>
            </c:extLst>
          </c:dPt>
          <c:dPt>
            <c:idx val="5"/>
            <c:invertIfNegative val="0"/>
            <c:bubble3D val="0"/>
            <c:extLst>
              <c:ext xmlns:c16="http://schemas.microsoft.com/office/drawing/2014/chart" uri="{C3380CC4-5D6E-409C-BE32-E72D297353CC}">
                <c16:uniqueId val="{0000016E-BFA0-494B-8C8A-5AA147911084}"/>
              </c:ext>
            </c:extLst>
          </c:dPt>
          <c:dPt>
            <c:idx val="6"/>
            <c:invertIfNegative val="0"/>
            <c:bubble3D val="0"/>
            <c:extLst>
              <c:ext xmlns:c16="http://schemas.microsoft.com/office/drawing/2014/chart" uri="{C3380CC4-5D6E-409C-BE32-E72D297353CC}">
                <c16:uniqueId val="{00000170-BFA0-494B-8C8A-5AA147911084}"/>
              </c:ext>
            </c:extLst>
          </c:dPt>
          <c:dPt>
            <c:idx val="7"/>
            <c:invertIfNegative val="0"/>
            <c:bubble3D val="0"/>
            <c:extLst>
              <c:ext xmlns:c16="http://schemas.microsoft.com/office/drawing/2014/chart" uri="{C3380CC4-5D6E-409C-BE32-E72D297353CC}">
                <c16:uniqueId val="{00000172-BFA0-494B-8C8A-5AA147911084}"/>
              </c:ext>
            </c:extLst>
          </c:dPt>
          <c:dPt>
            <c:idx val="8"/>
            <c:invertIfNegative val="0"/>
            <c:bubble3D val="0"/>
            <c:extLst>
              <c:ext xmlns:c16="http://schemas.microsoft.com/office/drawing/2014/chart" uri="{C3380CC4-5D6E-409C-BE32-E72D297353CC}">
                <c16:uniqueId val="{00000174-BFA0-494B-8C8A-5AA147911084}"/>
              </c:ext>
            </c:extLst>
          </c:dPt>
          <c:dPt>
            <c:idx val="9"/>
            <c:invertIfNegative val="0"/>
            <c:bubble3D val="0"/>
            <c:extLst>
              <c:ext xmlns:c16="http://schemas.microsoft.com/office/drawing/2014/chart" uri="{C3380CC4-5D6E-409C-BE32-E72D297353CC}">
                <c16:uniqueId val="{00000176-BFA0-494B-8C8A-5AA147911084}"/>
              </c:ext>
            </c:extLst>
          </c:dPt>
          <c:dPt>
            <c:idx val="10"/>
            <c:invertIfNegative val="0"/>
            <c:bubble3D val="0"/>
            <c:extLst>
              <c:ext xmlns:c16="http://schemas.microsoft.com/office/drawing/2014/chart" uri="{C3380CC4-5D6E-409C-BE32-E72D297353CC}">
                <c16:uniqueId val="{00000178-BFA0-494B-8C8A-5AA147911084}"/>
              </c:ext>
            </c:extLst>
          </c:dPt>
          <c:dPt>
            <c:idx val="11"/>
            <c:invertIfNegative val="0"/>
            <c:bubble3D val="0"/>
            <c:extLst>
              <c:ext xmlns:c16="http://schemas.microsoft.com/office/drawing/2014/chart" uri="{C3380CC4-5D6E-409C-BE32-E72D297353CC}">
                <c16:uniqueId val="{0000017A-BFA0-494B-8C8A-5AA147911084}"/>
              </c:ext>
            </c:extLst>
          </c:dPt>
          <c:dPt>
            <c:idx val="12"/>
            <c:invertIfNegative val="0"/>
            <c:bubble3D val="0"/>
            <c:extLst>
              <c:ext xmlns:c16="http://schemas.microsoft.com/office/drawing/2014/chart" uri="{C3380CC4-5D6E-409C-BE32-E72D297353CC}">
                <c16:uniqueId val="{0000017C-BFA0-494B-8C8A-5AA147911084}"/>
              </c:ext>
            </c:extLst>
          </c:dPt>
          <c:dPt>
            <c:idx val="13"/>
            <c:invertIfNegative val="0"/>
            <c:bubble3D val="0"/>
            <c:extLst>
              <c:ext xmlns:c16="http://schemas.microsoft.com/office/drawing/2014/chart" uri="{C3380CC4-5D6E-409C-BE32-E72D297353CC}">
                <c16:uniqueId val="{0000017E-BFA0-494B-8C8A-5AA147911084}"/>
              </c:ext>
            </c:extLst>
          </c:dPt>
          <c:dPt>
            <c:idx val="14"/>
            <c:invertIfNegative val="0"/>
            <c:bubble3D val="0"/>
            <c:extLst>
              <c:ext xmlns:c16="http://schemas.microsoft.com/office/drawing/2014/chart" uri="{C3380CC4-5D6E-409C-BE32-E72D297353CC}">
                <c16:uniqueId val="{00000180-BFA0-494B-8C8A-5AA147911084}"/>
              </c:ext>
            </c:extLst>
          </c:dPt>
          <c:dPt>
            <c:idx val="15"/>
            <c:invertIfNegative val="0"/>
            <c:bubble3D val="0"/>
            <c:extLst>
              <c:ext xmlns:c16="http://schemas.microsoft.com/office/drawing/2014/chart" uri="{C3380CC4-5D6E-409C-BE32-E72D297353CC}">
                <c16:uniqueId val="{00000182-BFA0-494B-8C8A-5AA147911084}"/>
              </c:ext>
            </c:extLst>
          </c:dPt>
          <c:dPt>
            <c:idx val="16"/>
            <c:invertIfNegative val="0"/>
            <c:bubble3D val="0"/>
            <c:extLst>
              <c:ext xmlns:c16="http://schemas.microsoft.com/office/drawing/2014/chart" uri="{C3380CC4-5D6E-409C-BE32-E72D297353CC}">
                <c16:uniqueId val="{00000184-BFA0-494B-8C8A-5AA147911084}"/>
              </c:ext>
            </c:extLst>
          </c:dPt>
          <c:dPt>
            <c:idx val="17"/>
            <c:invertIfNegative val="0"/>
            <c:bubble3D val="0"/>
            <c:extLst>
              <c:ext xmlns:c16="http://schemas.microsoft.com/office/drawing/2014/chart" uri="{C3380CC4-5D6E-409C-BE32-E72D297353CC}">
                <c16:uniqueId val="{00000186-BFA0-494B-8C8A-5AA147911084}"/>
              </c:ext>
            </c:extLst>
          </c:dPt>
          <c:dPt>
            <c:idx val="18"/>
            <c:invertIfNegative val="0"/>
            <c:bubble3D val="0"/>
            <c:extLst>
              <c:ext xmlns:c16="http://schemas.microsoft.com/office/drawing/2014/chart" uri="{C3380CC4-5D6E-409C-BE32-E72D297353CC}">
                <c16:uniqueId val="{00000188-BFA0-494B-8C8A-5AA147911084}"/>
              </c:ext>
            </c:extLst>
          </c:dPt>
          <c:dPt>
            <c:idx val="19"/>
            <c:invertIfNegative val="0"/>
            <c:bubble3D val="0"/>
            <c:extLst>
              <c:ext xmlns:c16="http://schemas.microsoft.com/office/drawing/2014/chart" uri="{C3380CC4-5D6E-409C-BE32-E72D297353CC}">
                <c16:uniqueId val="{0000018A-BFA0-494B-8C8A-5AA147911084}"/>
              </c:ext>
            </c:extLst>
          </c:dPt>
          <c:dPt>
            <c:idx val="20"/>
            <c:invertIfNegative val="0"/>
            <c:bubble3D val="0"/>
            <c:extLst>
              <c:ext xmlns:c16="http://schemas.microsoft.com/office/drawing/2014/chart" uri="{C3380CC4-5D6E-409C-BE32-E72D297353CC}">
                <c16:uniqueId val="{0000018C-BFA0-494B-8C8A-5AA147911084}"/>
              </c:ext>
            </c:extLst>
          </c:dPt>
          <c:dPt>
            <c:idx val="21"/>
            <c:invertIfNegative val="0"/>
            <c:bubble3D val="0"/>
            <c:extLst>
              <c:ext xmlns:c16="http://schemas.microsoft.com/office/drawing/2014/chart" uri="{C3380CC4-5D6E-409C-BE32-E72D297353CC}">
                <c16:uniqueId val="{0000018E-BFA0-494B-8C8A-5AA147911084}"/>
              </c:ext>
            </c:extLst>
          </c:dPt>
          <c:dPt>
            <c:idx val="22"/>
            <c:invertIfNegative val="0"/>
            <c:bubble3D val="0"/>
            <c:extLst>
              <c:ext xmlns:c16="http://schemas.microsoft.com/office/drawing/2014/chart" uri="{C3380CC4-5D6E-409C-BE32-E72D297353CC}">
                <c16:uniqueId val="{00000190-BFA0-494B-8C8A-5AA147911084}"/>
              </c:ext>
            </c:extLst>
          </c:dPt>
          <c:dPt>
            <c:idx val="23"/>
            <c:invertIfNegative val="0"/>
            <c:bubble3D val="0"/>
            <c:extLst>
              <c:ext xmlns:c16="http://schemas.microsoft.com/office/drawing/2014/chart" uri="{C3380CC4-5D6E-409C-BE32-E72D297353CC}">
                <c16:uniqueId val="{00000192-BFA0-494B-8C8A-5AA147911084}"/>
              </c:ext>
            </c:extLst>
          </c:dPt>
          <c:dPt>
            <c:idx val="24"/>
            <c:invertIfNegative val="0"/>
            <c:bubble3D val="0"/>
            <c:extLst>
              <c:ext xmlns:c16="http://schemas.microsoft.com/office/drawing/2014/chart" uri="{C3380CC4-5D6E-409C-BE32-E72D297353CC}">
                <c16:uniqueId val="{00000194-BFA0-494B-8C8A-5AA14791108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Data'!$C$5:$X$5</c:f>
              <c:numCache>
                <c:formatCode>#,##0_ ;\-#,##0\ </c:formatCode>
                <c:ptCount val="22"/>
                <c:pt idx="0">
                  <c:v>5363.5</c:v>
                </c:pt>
                <c:pt idx="1">
                  <c:v>5363.5</c:v>
                </c:pt>
                <c:pt idx="2">
                  <c:v>5363.5</c:v>
                </c:pt>
                <c:pt idx="3">
                  <c:v>5363.5</c:v>
                </c:pt>
                <c:pt idx="4">
                  <c:v>5363.5</c:v>
                </c:pt>
                <c:pt idx="5">
                  <c:v>5363.5</c:v>
                </c:pt>
                <c:pt idx="6">
                  <c:v>5363.5</c:v>
                </c:pt>
                <c:pt idx="7">
                  <c:v>5363.5</c:v>
                </c:pt>
                <c:pt idx="8">
                  <c:v>5363.5</c:v>
                </c:pt>
                <c:pt idx="9">
                  <c:v>5363.5</c:v>
                </c:pt>
                <c:pt idx="10">
                  <c:v>5363.5</c:v>
                </c:pt>
                <c:pt idx="11">
                  <c:v>5363.5</c:v>
                </c:pt>
                <c:pt idx="12">
                  <c:v>5363.5</c:v>
                </c:pt>
                <c:pt idx="13">
                  <c:v>5363.5</c:v>
                </c:pt>
                <c:pt idx="14">
                  <c:v>5363.5</c:v>
                </c:pt>
                <c:pt idx="15">
                  <c:v>5363.5</c:v>
                </c:pt>
                <c:pt idx="16">
                  <c:v>5363.5</c:v>
                </c:pt>
                <c:pt idx="17">
                  <c:v>5363.5</c:v>
                </c:pt>
                <c:pt idx="18">
                  <c:v>5363.5</c:v>
                </c:pt>
                <c:pt idx="19">
                  <c:v>5363.5</c:v>
                </c:pt>
                <c:pt idx="20">
                  <c:v>5363.5</c:v>
                </c:pt>
                <c:pt idx="21">
                  <c:v>5363.5</c:v>
                </c:pt>
              </c:numCache>
            </c:numRef>
          </c:val>
          <c:extLst>
            <c:ext xmlns:c16="http://schemas.microsoft.com/office/drawing/2014/chart" uri="{C3380CC4-5D6E-409C-BE32-E72D297353CC}">
              <c16:uniqueId val="{00000195-BFA0-494B-8C8A-5AA147911084}"/>
            </c:ext>
          </c:extLst>
        </c:ser>
        <c:ser>
          <c:idx val="3"/>
          <c:order val="3"/>
          <c:tx>
            <c:strRef>
              <c:f>'NEMInstalledCapacity Data'!$B$6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197-BFA0-494B-8C8A-5AA147911084}"/>
              </c:ext>
            </c:extLst>
          </c:dPt>
          <c:dPt>
            <c:idx val="1"/>
            <c:invertIfNegative val="0"/>
            <c:bubble3D val="0"/>
            <c:extLst>
              <c:ext xmlns:c16="http://schemas.microsoft.com/office/drawing/2014/chart" uri="{C3380CC4-5D6E-409C-BE32-E72D297353CC}">
                <c16:uniqueId val="{00000198-BFA0-494B-8C8A-5AA147911084}"/>
              </c:ext>
            </c:extLst>
          </c:dPt>
          <c:dPt>
            <c:idx val="2"/>
            <c:invertIfNegative val="0"/>
            <c:bubble3D val="0"/>
            <c:extLst>
              <c:ext xmlns:c16="http://schemas.microsoft.com/office/drawing/2014/chart" uri="{C3380CC4-5D6E-409C-BE32-E72D297353CC}">
                <c16:uniqueId val="{00000199-BFA0-494B-8C8A-5AA147911084}"/>
              </c:ext>
            </c:extLst>
          </c:dPt>
          <c:dPt>
            <c:idx val="3"/>
            <c:invertIfNegative val="0"/>
            <c:bubble3D val="0"/>
            <c:extLst>
              <c:ext xmlns:c16="http://schemas.microsoft.com/office/drawing/2014/chart" uri="{C3380CC4-5D6E-409C-BE32-E72D297353CC}">
                <c16:uniqueId val="{0000019A-BFA0-494B-8C8A-5AA147911084}"/>
              </c:ext>
            </c:extLst>
          </c:dPt>
          <c:dPt>
            <c:idx val="4"/>
            <c:invertIfNegative val="0"/>
            <c:bubble3D val="0"/>
            <c:extLst>
              <c:ext xmlns:c16="http://schemas.microsoft.com/office/drawing/2014/chart" uri="{C3380CC4-5D6E-409C-BE32-E72D297353CC}">
                <c16:uniqueId val="{0000019B-BFA0-494B-8C8A-5AA147911084}"/>
              </c:ext>
            </c:extLst>
          </c:dPt>
          <c:dPt>
            <c:idx val="5"/>
            <c:invertIfNegative val="0"/>
            <c:bubble3D val="0"/>
            <c:extLst>
              <c:ext xmlns:c16="http://schemas.microsoft.com/office/drawing/2014/chart" uri="{C3380CC4-5D6E-409C-BE32-E72D297353CC}">
                <c16:uniqueId val="{0000019C-BFA0-494B-8C8A-5AA147911084}"/>
              </c:ext>
            </c:extLst>
          </c:dPt>
          <c:dPt>
            <c:idx val="6"/>
            <c:invertIfNegative val="0"/>
            <c:bubble3D val="0"/>
            <c:extLst>
              <c:ext xmlns:c16="http://schemas.microsoft.com/office/drawing/2014/chart" uri="{C3380CC4-5D6E-409C-BE32-E72D297353CC}">
                <c16:uniqueId val="{0000019D-BFA0-494B-8C8A-5AA147911084}"/>
              </c:ext>
            </c:extLst>
          </c:dPt>
          <c:dPt>
            <c:idx val="7"/>
            <c:invertIfNegative val="0"/>
            <c:bubble3D val="0"/>
            <c:extLst>
              <c:ext xmlns:c16="http://schemas.microsoft.com/office/drawing/2014/chart" uri="{C3380CC4-5D6E-409C-BE32-E72D297353CC}">
                <c16:uniqueId val="{0000019E-BFA0-494B-8C8A-5AA147911084}"/>
              </c:ext>
            </c:extLst>
          </c:dPt>
          <c:dPt>
            <c:idx val="8"/>
            <c:invertIfNegative val="0"/>
            <c:bubble3D val="0"/>
            <c:extLst>
              <c:ext xmlns:c16="http://schemas.microsoft.com/office/drawing/2014/chart" uri="{C3380CC4-5D6E-409C-BE32-E72D297353CC}">
                <c16:uniqueId val="{0000019F-BFA0-494B-8C8A-5AA147911084}"/>
              </c:ext>
            </c:extLst>
          </c:dPt>
          <c:dPt>
            <c:idx val="9"/>
            <c:invertIfNegative val="0"/>
            <c:bubble3D val="0"/>
            <c:extLst>
              <c:ext xmlns:c16="http://schemas.microsoft.com/office/drawing/2014/chart" uri="{C3380CC4-5D6E-409C-BE32-E72D297353CC}">
                <c16:uniqueId val="{000001A0-BFA0-494B-8C8A-5AA147911084}"/>
              </c:ext>
            </c:extLst>
          </c:dPt>
          <c:dPt>
            <c:idx val="10"/>
            <c:invertIfNegative val="0"/>
            <c:bubble3D val="0"/>
            <c:extLst>
              <c:ext xmlns:c16="http://schemas.microsoft.com/office/drawing/2014/chart" uri="{C3380CC4-5D6E-409C-BE32-E72D297353CC}">
                <c16:uniqueId val="{000001A1-BFA0-494B-8C8A-5AA147911084}"/>
              </c:ext>
            </c:extLst>
          </c:dPt>
          <c:dPt>
            <c:idx val="11"/>
            <c:invertIfNegative val="0"/>
            <c:bubble3D val="0"/>
            <c:extLst>
              <c:ext xmlns:c16="http://schemas.microsoft.com/office/drawing/2014/chart" uri="{C3380CC4-5D6E-409C-BE32-E72D297353CC}">
                <c16:uniqueId val="{000001A2-BFA0-494B-8C8A-5AA147911084}"/>
              </c:ext>
            </c:extLst>
          </c:dPt>
          <c:dPt>
            <c:idx val="12"/>
            <c:invertIfNegative val="0"/>
            <c:bubble3D val="0"/>
            <c:extLst>
              <c:ext xmlns:c16="http://schemas.microsoft.com/office/drawing/2014/chart" uri="{C3380CC4-5D6E-409C-BE32-E72D297353CC}">
                <c16:uniqueId val="{000001A3-BFA0-494B-8C8A-5AA147911084}"/>
              </c:ext>
            </c:extLst>
          </c:dPt>
          <c:dPt>
            <c:idx val="13"/>
            <c:invertIfNegative val="0"/>
            <c:bubble3D val="0"/>
            <c:extLst>
              <c:ext xmlns:c16="http://schemas.microsoft.com/office/drawing/2014/chart" uri="{C3380CC4-5D6E-409C-BE32-E72D297353CC}">
                <c16:uniqueId val="{000001A4-BFA0-494B-8C8A-5AA147911084}"/>
              </c:ext>
            </c:extLst>
          </c:dPt>
          <c:dPt>
            <c:idx val="14"/>
            <c:invertIfNegative val="0"/>
            <c:bubble3D val="0"/>
            <c:extLst>
              <c:ext xmlns:c16="http://schemas.microsoft.com/office/drawing/2014/chart" uri="{C3380CC4-5D6E-409C-BE32-E72D297353CC}">
                <c16:uniqueId val="{000001A5-BFA0-494B-8C8A-5AA147911084}"/>
              </c:ext>
            </c:extLst>
          </c:dPt>
          <c:dPt>
            <c:idx val="15"/>
            <c:invertIfNegative val="0"/>
            <c:bubble3D val="0"/>
            <c:extLst>
              <c:ext xmlns:c16="http://schemas.microsoft.com/office/drawing/2014/chart" uri="{C3380CC4-5D6E-409C-BE32-E72D297353CC}">
                <c16:uniqueId val="{000001A6-BFA0-494B-8C8A-5AA147911084}"/>
              </c:ext>
            </c:extLst>
          </c:dPt>
          <c:dPt>
            <c:idx val="16"/>
            <c:invertIfNegative val="0"/>
            <c:bubble3D val="0"/>
            <c:extLst>
              <c:ext xmlns:c16="http://schemas.microsoft.com/office/drawing/2014/chart" uri="{C3380CC4-5D6E-409C-BE32-E72D297353CC}">
                <c16:uniqueId val="{000001A7-BFA0-494B-8C8A-5AA147911084}"/>
              </c:ext>
            </c:extLst>
          </c:dPt>
          <c:dPt>
            <c:idx val="17"/>
            <c:invertIfNegative val="0"/>
            <c:bubble3D val="0"/>
            <c:extLst>
              <c:ext xmlns:c16="http://schemas.microsoft.com/office/drawing/2014/chart" uri="{C3380CC4-5D6E-409C-BE32-E72D297353CC}">
                <c16:uniqueId val="{000001A8-BFA0-494B-8C8A-5AA147911084}"/>
              </c:ext>
            </c:extLst>
          </c:dPt>
          <c:dPt>
            <c:idx val="18"/>
            <c:invertIfNegative val="0"/>
            <c:bubble3D val="0"/>
            <c:extLst>
              <c:ext xmlns:c16="http://schemas.microsoft.com/office/drawing/2014/chart" uri="{C3380CC4-5D6E-409C-BE32-E72D297353CC}">
                <c16:uniqueId val="{000001A9-BFA0-494B-8C8A-5AA147911084}"/>
              </c:ext>
            </c:extLst>
          </c:dPt>
          <c:dPt>
            <c:idx val="19"/>
            <c:invertIfNegative val="0"/>
            <c:bubble3D val="0"/>
            <c:extLst>
              <c:ext xmlns:c16="http://schemas.microsoft.com/office/drawing/2014/chart" uri="{C3380CC4-5D6E-409C-BE32-E72D297353CC}">
                <c16:uniqueId val="{000001AA-BFA0-494B-8C8A-5AA147911084}"/>
              </c:ext>
            </c:extLst>
          </c:dPt>
          <c:dPt>
            <c:idx val="20"/>
            <c:invertIfNegative val="0"/>
            <c:bubble3D val="0"/>
            <c:extLst>
              <c:ext xmlns:c16="http://schemas.microsoft.com/office/drawing/2014/chart" uri="{C3380CC4-5D6E-409C-BE32-E72D297353CC}">
                <c16:uniqueId val="{000001AB-BFA0-494B-8C8A-5AA147911084}"/>
              </c:ext>
            </c:extLst>
          </c:dPt>
          <c:dPt>
            <c:idx val="21"/>
            <c:invertIfNegative val="0"/>
            <c:bubble3D val="0"/>
            <c:extLst>
              <c:ext xmlns:c16="http://schemas.microsoft.com/office/drawing/2014/chart" uri="{C3380CC4-5D6E-409C-BE32-E72D297353CC}">
                <c16:uniqueId val="{000001AC-BFA0-494B-8C8A-5AA147911084}"/>
              </c:ext>
            </c:extLst>
          </c:dPt>
          <c:dPt>
            <c:idx val="22"/>
            <c:invertIfNegative val="0"/>
            <c:bubble3D val="0"/>
            <c:extLst>
              <c:ext xmlns:c16="http://schemas.microsoft.com/office/drawing/2014/chart" uri="{C3380CC4-5D6E-409C-BE32-E72D297353CC}">
                <c16:uniqueId val="{000001AD-BFA0-494B-8C8A-5AA147911084}"/>
              </c:ext>
            </c:extLst>
          </c:dPt>
          <c:dPt>
            <c:idx val="23"/>
            <c:invertIfNegative val="0"/>
            <c:bubble3D val="0"/>
            <c:extLst>
              <c:ext xmlns:c16="http://schemas.microsoft.com/office/drawing/2014/chart" uri="{C3380CC4-5D6E-409C-BE32-E72D297353CC}">
                <c16:uniqueId val="{000001AE-BFA0-494B-8C8A-5AA147911084}"/>
              </c:ext>
            </c:extLst>
          </c:dPt>
          <c:dPt>
            <c:idx val="24"/>
            <c:invertIfNegative val="0"/>
            <c:bubble3D val="0"/>
            <c:extLst>
              <c:ext xmlns:c16="http://schemas.microsoft.com/office/drawing/2014/chart" uri="{C3380CC4-5D6E-409C-BE32-E72D297353CC}">
                <c16:uniqueId val="{000001AF-BFA0-494B-8C8A-5AA14791108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Data'!$C$6:$X$6</c:f>
              <c:numCache>
                <c:formatCode>#,##0_ ;\-#,##0\ </c:formatCode>
                <c:ptCount val="22"/>
                <c:pt idx="0">
                  <c:v>4111</c:v>
                </c:pt>
                <c:pt idx="1">
                  <c:v>4111</c:v>
                </c:pt>
                <c:pt idx="2">
                  <c:v>4111</c:v>
                </c:pt>
                <c:pt idx="3">
                  <c:v>4111</c:v>
                </c:pt>
                <c:pt idx="4">
                  <c:v>4111</c:v>
                </c:pt>
                <c:pt idx="5">
                  <c:v>4111</c:v>
                </c:pt>
                <c:pt idx="6">
                  <c:v>2649</c:v>
                </c:pt>
                <c:pt idx="7">
                  <c:v>2649</c:v>
                </c:pt>
                <c:pt idx="8">
                  <c:v>2649</c:v>
                </c:pt>
                <c:pt idx="9">
                  <c:v>2649</c:v>
                </c:pt>
                <c:pt idx="10">
                  <c:v>2649</c:v>
                </c:pt>
                <c:pt idx="11">
                  <c:v>2649</c:v>
                </c:pt>
                <c:pt idx="12">
                  <c:v>2649</c:v>
                </c:pt>
                <c:pt idx="13">
                  <c:v>2139</c:v>
                </c:pt>
                <c:pt idx="14">
                  <c:v>2139</c:v>
                </c:pt>
                <c:pt idx="15">
                  <c:v>2139</c:v>
                </c:pt>
                <c:pt idx="16">
                  <c:v>2139</c:v>
                </c:pt>
                <c:pt idx="17">
                  <c:v>2139</c:v>
                </c:pt>
                <c:pt idx="18">
                  <c:v>2139</c:v>
                </c:pt>
                <c:pt idx="19">
                  <c:v>2139</c:v>
                </c:pt>
                <c:pt idx="20">
                  <c:v>2139</c:v>
                </c:pt>
                <c:pt idx="21">
                  <c:v>2139</c:v>
                </c:pt>
              </c:numCache>
            </c:numRef>
          </c:val>
          <c:extLst>
            <c:ext xmlns:c16="http://schemas.microsoft.com/office/drawing/2014/chart" uri="{C3380CC4-5D6E-409C-BE32-E72D297353CC}">
              <c16:uniqueId val="{000001B0-BFA0-494B-8C8A-5AA147911084}"/>
            </c:ext>
          </c:extLst>
        </c:ser>
        <c:ser>
          <c:idx val="4"/>
          <c:order val="4"/>
          <c:tx>
            <c:strRef>
              <c:f>'NEMInstalledCapacity Data'!$B$7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1B3-BFA0-494B-8C8A-5AA147911084}"/>
              </c:ext>
            </c:extLst>
          </c:dPt>
          <c:dPt>
            <c:idx val="1"/>
            <c:invertIfNegative val="0"/>
            <c:bubble3D val="0"/>
            <c:extLst>
              <c:ext xmlns:c16="http://schemas.microsoft.com/office/drawing/2014/chart" uri="{C3380CC4-5D6E-409C-BE32-E72D297353CC}">
                <c16:uniqueId val="{000001B5-BFA0-494B-8C8A-5AA147911084}"/>
              </c:ext>
            </c:extLst>
          </c:dPt>
          <c:dPt>
            <c:idx val="2"/>
            <c:invertIfNegative val="0"/>
            <c:bubble3D val="0"/>
            <c:extLst>
              <c:ext xmlns:c16="http://schemas.microsoft.com/office/drawing/2014/chart" uri="{C3380CC4-5D6E-409C-BE32-E72D297353CC}">
                <c16:uniqueId val="{000001B7-BFA0-494B-8C8A-5AA147911084}"/>
              </c:ext>
            </c:extLst>
          </c:dPt>
          <c:dPt>
            <c:idx val="3"/>
            <c:invertIfNegative val="0"/>
            <c:bubble3D val="0"/>
            <c:extLst>
              <c:ext xmlns:c16="http://schemas.microsoft.com/office/drawing/2014/chart" uri="{C3380CC4-5D6E-409C-BE32-E72D297353CC}">
                <c16:uniqueId val="{000001B9-BFA0-494B-8C8A-5AA147911084}"/>
              </c:ext>
            </c:extLst>
          </c:dPt>
          <c:dPt>
            <c:idx val="4"/>
            <c:invertIfNegative val="0"/>
            <c:bubble3D val="0"/>
            <c:extLst>
              <c:ext xmlns:c16="http://schemas.microsoft.com/office/drawing/2014/chart" uri="{C3380CC4-5D6E-409C-BE32-E72D297353CC}">
                <c16:uniqueId val="{000001BB-BFA0-494B-8C8A-5AA147911084}"/>
              </c:ext>
            </c:extLst>
          </c:dPt>
          <c:dPt>
            <c:idx val="5"/>
            <c:invertIfNegative val="0"/>
            <c:bubble3D val="0"/>
            <c:extLst>
              <c:ext xmlns:c16="http://schemas.microsoft.com/office/drawing/2014/chart" uri="{C3380CC4-5D6E-409C-BE32-E72D297353CC}">
                <c16:uniqueId val="{000001BD-BFA0-494B-8C8A-5AA147911084}"/>
              </c:ext>
            </c:extLst>
          </c:dPt>
          <c:dPt>
            <c:idx val="6"/>
            <c:invertIfNegative val="0"/>
            <c:bubble3D val="0"/>
            <c:extLst>
              <c:ext xmlns:c16="http://schemas.microsoft.com/office/drawing/2014/chart" uri="{C3380CC4-5D6E-409C-BE32-E72D297353CC}">
                <c16:uniqueId val="{000001BF-BFA0-494B-8C8A-5AA147911084}"/>
              </c:ext>
            </c:extLst>
          </c:dPt>
          <c:dPt>
            <c:idx val="7"/>
            <c:invertIfNegative val="0"/>
            <c:bubble3D val="0"/>
            <c:extLst>
              <c:ext xmlns:c16="http://schemas.microsoft.com/office/drawing/2014/chart" uri="{C3380CC4-5D6E-409C-BE32-E72D297353CC}">
                <c16:uniqueId val="{000001C1-BFA0-494B-8C8A-5AA147911084}"/>
              </c:ext>
            </c:extLst>
          </c:dPt>
          <c:dPt>
            <c:idx val="8"/>
            <c:invertIfNegative val="0"/>
            <c:bubble3D val="0"/>
            <c:extLst>
              <c:ext xmlns:c16="http://schemas.microsoft.com/office/drawing/2014/chart" uri="{C3380CC4-5D6E-409C-BE32-E72D297353CC}">
                <c16:uniqueId val="{000001C3-BFA0-494B-8C8A-5AA147911084}"/>
              </c:ext>
            </c:extLst>
          </c:dPt>
          <c:dPt>
            <c:idx val="9"/>
            <c:invertIfNegative val="0"/>
            <c:bubble3D val="0"/>
            <c:extLst>
              <c:ext xmlns:c16="http://schemas.microsoft.com/office/drawing/2014/chart" uri="{C3380CC4-5D6E-409C-BE32-E72D297353CC}">
                <c16:uniqueId val="{000001C5-BFA0-494B-8C8A-5AA147911084}"/>
              </c:ext>
            </c:extLst>
          </c:dPt>
          <c:dPt>
            <c:idx val="10"/>
            <c:invertIfNegative val="0"/>
            <c:bubble3D val="0"/>
            <c:extLst>
              <c:ext xmlns:c16="http://schemas.microsoft.com/office/drawing/2014/chart" uri="{C3380CC4-5D6E-409C-BE32-E72D297353CC}">
                <c16:uniqueId val="{000001C7-BFA0-494B-8C8A-5AA147911084}"/>
              </c:ext>
            </c:extLst>
          </c:dPt>
          <c:dPt>
            <c:idx val="11"/>
            <c:invertIfNegative val="0"/>
            <c:bubble3D val="0"/>
            <c:extLst>
              <c:ext xmlns:c16="http://schemas.microsoft.com/office/drawing/2014/chart" uri="{C3380CC4-5D6E-409C-BE32-E72D297353CC}">
                <c16:uniqueId val="{000001C9-BFA0-494B-8C8A-5AA147911084}"/>
              </c:ext>
            </c:extLst>
          </c:dPt>
          <c:dPt>
            <c:idx val="12"/>
            <c:invertIfNegative val="0"/>
            <c:bubble3D val="0"/>
            <c:extLst>
              <c:ext xmlns:c16="http://schemas.microsoft.com/office/drawing/2014/chart" uri="{C3380CC4-5D6E-409C-BE32-E72D297353CC}">
                <c16:uniqueId val="{000001CB-BFA0-494B-8C8A-5AA147911084}"/>
              </c:ext>
            </c:extLst>
          </c:dPt>
          <c:dPt>
            <c:idx val="13"/>
            <c:invertIfNegative val="0"/>
            <c:bubble3D val="0"/>
            <c:extLst>
              <c:ext xmlns:c16="http://schemas.microsoft.com/office/drawing/2014/chart" uri="{C3380CC4-5D6E-409C-BE32-E72D297353CC}">
                <c16:uniqueId val="{000001CD-BFA0-494B-8C8A-5AA147911084}"/>
              </c:ext>
            </c:extLst>
          </c:dPt>
          <c:dPt>
            <c:idx val="14"/>
            <c:invertIfNegative val="0"/>
            <c:bubble3D val="0"/>
            <c:extLst>
              <c:ext xmlns:c16="http://schemas.microsoft.com/office/drawing/2014/chart" uri="{C3380CC4-5D6E-409C-BE32-E72D297353CC}">
                <c16:uniqueId val="{000001CF-BFA0-494B-8C8A-5AA147911084}"/>
              </c:ext>
            </c:extLst>
          </c:dPt>
          <c:dPt>
            <c:idx val="15"/>
            <c:invertIfNegative val="0"/>
            <c:bubble3D val="0"/>
            <c:extLst>
              <c:ext xmlns:c16="http://schemas.microsoft.com/office/drawing/2014/chart" uri="{C3380CC4-5D6E-409C-BE32-E72D297353CC}">
                <c16:uniqueId val="{000001D1-BFA0-494B-8C8A-5AA147911084}"/>
              </c:ext>
            </c:extLst>
          </c:dPt>
          <c:dPt>
            <c:idx val="16"/>
            <c:invertIfNegative val="0"/>
            <c:bubble3D val="0"/>
            <c:extLst>
              <c:ext xmlns:c16="http://schemas.microsoft.com/office/drawing/2014/chart" uri="{C3380CC4-5D6E-409C-BE32-E72D297353CC}">
                <c16:uniqueId val="{000001D3-BFA0-494B-8C8A-5AA147911084}"/>
              </c:ext>
            </c:extLst>
          </c:dPt>
          <c:dPt>
            <c:idx val="17"/>
            <c:invertIfNegative val="0"/>
            <c:bubble3D val="0"/>
            <c:extLst>
              <c:ext xmlns:c16="http://schemas.microsoft.com/office/drawing/2014/chart" uri="{C3380CC4-5D6E-409C-BE32-E72D297353CC}">
                <c16:uniqueId val="{000001D5-BFA0-494B-8C8A-5AA147911084}"/>
              </c:ext>
            </c:extLst>
          </c:dPt>
          <c:dPt>
            <c:idx val="18"/>
            <c:invertIfNegative val="0"/>
            <c:bubble3D val="0"/>
            <c:extLst>
              <c:ext xmlns:c16="http://schemas.microsoft.com/office/drawing/2014/chart" uri="{C3380CC4-5D6E-409C-BE32-E72D297353CC}">
                <c16:uniqueId val="{000001D7-BFA0-494B-8C8A-5AA147911084}"/>
              </c:ext>
            </c:extLst>
          </c:dPt>
          <c:dPt>
            <c:idx val="19"/>
            <c:invertIfNegative val="0"/>
            <c:bubble3D val="0"/>
            <c:extLst>
              <c:ext xmlns:c16="http://schemas.microsoft.com/office/drawing/2014/chart" uri="{C3380CC4-5D6E-409C-BE32-E72D297353CC}">
                <c16:uniqueId val="{000001D9-BFA0-494B-8C8A-5AA147911084}"/>
              </c:ext>
            </c:extLst>
          </c:dPt>
          <c:dPt>
            <c:idx val="20"/>
            <c:invertIfNegative val="0"/>
            <c:bubble3D val="0"/>
            <c:extLst>
              <c:ext xmlns:c16="http://schemas.microsoft.com/office/drawing/2014/chart" uri="{C3380CC4-5D6E-409C-BE32-E72D297353CC}">
                <c16:uniqueId val="{000001DB-BFA0-494B-8C8A-5AA147911084}"/>
              </c:ext>
            </c:extLst>
          </c:dPt>
          <c:dPt>
            <c:idx val="21"/>
            <c:invertIfNegative val="0"/>
            <c:bubble3D val="0"/>
            <c:extLst>
              <c:ext xmlns:c16="http://schemas.microsoft.com/office/drawing/2014/chart" uri="{C3380CC4-5D6E-409C-BE32-E72D297353CC}">
                <c16:uniqueId val="{000001DD-BFA0-494B-8C8A-5AA147911084}"/>
              </c:ext>
            </c:extLst>
          </c:dPt>
          <c:dPt>
            <c:idx val="22"/>
            <c:invertIfNegative val="0"/>
            <c:bubble3D val="0"/>
            <c:extLst>
              <c:ext xmlns:c16="http://schemas.microsoft.com/office/drawing/2014/chart" uri="{C3380CC4-5D6E-409C-BE32-E72D297353CC}">
                <c16:uniqueId val="{000001DF-BFA0-494B-8C8A-5AA147911084}"/>
              </c:ext>
            </c:extLst>
          </c:dPt>
          <c:dPt>
            <c:idx val="23"/>
            <c:invertIfNegative val="0"/>
            <c:bubble3D val="0"/>
            <c:extLst>
              <c:ext xmlns:c16="http://schemas.microsoft.com/office/drawing/2014/chart" uri="{C3380CC4-5D6E-409C-BE32-E72D297353CC}">
                <c16:uniqueId val="{000001E1-BFA0-494B-8C8A-5AA147911084}"/>
              </c:ext>
            </c:extLst>
          </c:dPt>
          <c:dPt>
            <c:idx val="24"/>
            <c:invertIfNegative val="0"/>
            <c:bubble3D val="0"/>
            <c:extLst>
              <c:ext xmlns:c16="http://schemas.microsoft.com/office/drawing/2014/chart" uri="{C3380CC4-5D6E-409C-BE32-E72D297353CC}">
                <c16:uniqueId val="{000001E3-BFA0-494B-8C8A-5AA14791108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Data'!$C$7:$X$7</c:f>
              <c:numCache>
                <c:formatCode>#,##0_ ;\-#,##0\ </c:formatCode>
                <c:ptCount val="22"/>
                <c:pt idx="0">
                  <c:v>6968</c:v>
                </c:pt>
                <c:pt idx="1">
                  <c:v>6944</c:v>
                </c:pt>
                <c:pt idx="2">
                  <c:v>6944</c:v>
                </c:pt>
                <c:pt idx="3">
                  <c:v>6670</c:v>
                </c:pt>
                <c:pt idx="4">
                  <c:v>6971</c:v>
                </c:pt>
                <c:pt idx="5">
                  <c:v>6971</c:v>
                </c:pt>
                <c:pt idx="6">
                  <c:v>7061</c:v>
                </c:pt>
                <c:pt idx="7">
                  <c:v>7061</c:v>
                </c:pt>
                <c:pt idx="8">
                  <c:v>7061</c:v>
                </c:pt>
                <c:pt idx="9">
                  <c:v>7061</c:v>
                </c:pt>
                <c:pt idx="10">
                  <c:v>7061</c:v>
                </c:pt>
                <c:pt idx="11">
                  <c:v>7061</c:v>
                </c:pt>
                <c:pt idx="12">
                  <c:v>7061</c:v>
                </c:pt>
                <c:pt idx="13">
                  <c:v>7061</c:v>
                </c:pt>
                <c:pt idx="14">
                  <c:v>7061</c:v>
                </c:pt>
                <c:pt idx="15">
                  <c:v>7061</c:v>
                </c:pt>
                <c:pt idx="16">
                  <c:v>7061</c:v>
                </c:pt>
                <c:pt idx="17">
                  <c:v>7061</c:v>
                </c:pt>
                <c:pt idx="18">
                  <c:v>7061</c:v>
                </c:pt>
                <c:pt idx="19">
                  <c:v>7061</c:v>
                </c:pt>
                <c:pt idx="20">
                  <c:v>7061</c:v>
                </c:pt>
                <c:pt idx="21">
                  <c:v>7061</c:v>
                </c:pt>
              </c:numCache>
            </c:numRef>
          </c:val>
          <c:extLst>
            <c:ext xmlns:c16="http://schemas.microsoft.com/office/drawing/2014/chart" uri="{C3380CC4-5D6E-409C-BE32-E72D297353CC}">
              <c16:uniqueId val="{000001E4-BFA0-494B-8C8A-5AA147911084}"/>
            </c:ext>
          </c:extLst>
        </c:ser>
        <c:ser>
          <c:idx val="5"/>
          <c:order val="5"/>
          <c:tx>
            <c:strRef>
              <c:f>'NEMInstalledCapacity Data'!$B$8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1E6-BFA0-494B-8C8A-5AA147911084}"/>
              </c:ext>
            </c:extLst>
          </c:dPt>
          <c:dPt>
            <c:idx val="1"/>
            <c:invertIfNegative val="0"/>
            <c:bubble3D val="0"/>
            <c:extLst>
              <c:ext xmlns:c16="http://schemas.microsoft.com/office/drawing/2014/chart" uri="{C3380CC4-5D6E-409C-BE32-E72D297353CC}">
                <c16:uniqueId val="{000001E7-BFA0-494B-8C8A-5AA147911084}"/>
              </c:ext>
            </c:extLst>
          </c:dPt>
          <c:dPt>
            <c:idx val="2"/>
            <c:invertIfNegative val="0"/>
            <c:bubble3D val="0"/>
            <c:extLst>
              <c:ext xmlns:c16="http://schemas.microsoft.com/office/drawing/2014/chart" uri="{C3380CC4-5D6E-409C-BE32-E72D297353CC}">
                <c16:uniqueId val="{000001E8-BFA0-494B-8C8A-5AA147911084}"/>
              </c:ext>
            </c:extLst>
          </c:dPt>
          <c:dPt>
            <c:idx val="3"/>
            <c:invertIfNegative val="0"/>
            <c:bubble3D val="0"/>
            <c:extLst>
              <c:ext xmlns:c16="http://schemas.microsoft.com/office/drawing/2014/chart" uri="{C3380CC4-5D6E-409C-BE32-E72D297353CC}">
                <c16:uniqueId val="{000001E9-BFA0-494B-8C8A-5AA147911084}"/>
              </c:ext>
            </c:extLst>
          </c:dPt>
          <c:dPt>
            <c:idx val="4"/>
            <c:invertIfNegative val="0"/>
            <c:bubble3D val="0"/>
            <c:extLst>
              <c:ext xmlns:c16="http://schemas.microsoft.com/office/drawing/2014/chart" uri="{C3380CC4-5D6E-409C-BE32-E72D297353CC}">
                <c16:uniqueId val="{000001EA-BFA0-494B-8C8A-5AA147911084}"/>
              </c:ext>
            </c:extLst>
          </c:dPt>
          <c:dPt>
            <c:idx val="5"/>
            <c:invertIfNegative val="0"/>
            <c:bubble3D val="0"/>
            <c:extLst>
              <c:ext xmlns:c16="http://schemas.microsoft.com/office/drawing/2014/chart" uri="{C3380CC4-5D6E-409C-BE32-E72D297353CC}">
                <c16:uniqueId val="{000001EB-BFA0-494B-8C8A-5AA147911084}"/>
              </c:ext>
            </c:extLst>
          </c:dPt>
          <c:dPt>
            <c:idx val="6"/>
            <c:invertIfNegative val="0"/>
            <c:bubble3D val="0"/>
            <c:extLst>
              <c:ext xmlns:c16="http://schemas.microsoft.com/office/drawing/2014/chart" uri="{C3380CC4-5D6E-409C-BE32-E72D297353CC}">
                <c16:uniqueId val="{000001EC-BFA0-494B-8C8A-5AA147911084}"/>
              </c:ext>
            </c:extLst>
          </c:dPt>
          <c:dPt>
            <c:idx val="7"/>
            <c:invertIfNegative val="0"/>
            <c:bubble3D val="0"/>
            <c:extLst>
              <c:ext xmlns:c16="http://schemas.microsoft.com/office/drawing/2014/chart" uri="{C3380CC4-5D6E-409C-BE32-E72D297353CC}">
                <c16:uniqueId val="{000001ED-BFA0-494B-8C8A-5AA147911084}"/>
              </c:ext>
            </c:extLst>
          </c:dPt>
          <c:dPt>
            <c:idx val="8"/>
            <c:invertIfNegative val="0"/>
            <c:bubble3D val="0"/>
            <c:extLst>
              <c:ext xmlns:c16="http://schemas.microsoft.com/office/drawing/2014/chart" uri="{C3380CC4-5D6E-409C-BE32-E72D297353CC}">
                <c16:uniqueId val="{000001EE-BFA0-494B-8C8A-5AA147911084}"/>
              </c:ext>
            </c:extLst>
          </c:dPt>
          <c:dPt>
            <c:idx val="9"/>
            <c:invertIfNegative val="0"/>
            <c:bubble3D val="0"/>
            <c:extLst>
              <c:ext xmlns:c16="http://schemas.microsoft.com/office/drawing/2014/chart" uri="{C3380CC4-5D6E-409C-BE32-E72D297353CC}">
                <c16:uniqueId val="{000001EF-BFA0-494B-8C8A-5AA147911084}"/>
              </c:ext>
            </c:extLst>
          </c:dPt>
          <c:dPt>
            <c:idx val="10"/>
            <c:invertIfNegative val="0"/>
            <c:bubble3D val="0"/>
            <c:extLst>
              <c:ext xmlns:c16="http://schemas.microsoft.com/office/drawing/2014/chart" uri="{C3380CC4-5D6E-409C-BE32-E72D297353CC}">
                <c16:uniqueId val="{000001F0-BFA0-494B-8C8A-5AA147911084}"/>
              </c:ext>
            </c:extLst>
          </c:dPt>
          <c:dPt>
            <c:idx val="11"/>
            <c:invertIfNegative val="0"/>
            <c:bubble3D val="0"/>
            <c:extLst>
              <c:ext xmlns:c16="http://schemas.microsoft.com/office/drawing/2014/chart" uri="{C3380CC4-5D6E-409C-BE32-E72D297353CC}">
                <c16:uniqueId val="{000001F1-BFA0-494B-8C8A-5AA147911084}"/>
              </c:ext>
            </c:extLst>
          </c:dPt>
          <c:dPt>
            <c:idx val="12"/>
            <c:invertIfNegative val="0"/>
            <c:bubble3D val="0"/>
            <c:extLst>
              <c:ext xmlns:c16="http://schemas.microsoft.com/office/drawing/2014/chart" uri="{C3380CC4-5D6E-409C-BE32-E72D297353CC}">
                <c16:uniqueId val="{000001F2-BFA0-494B-8C8A-5AA147911084}"/>
              </c:ext>
            </c:extLst>
          </c:dPt>
          <c:dPt>
            <c:idx val="13"/>
            <c:invertIfNegative val="0"/>
            <c:bubble3D val="0"/>
            <c:extLst>
              <c:ext xmlns:c16="http://schemas.microsoft.com/office/drawing/2014/chart" uri="{C3380CC4-5D6E-409C-BE32-E72D297353CC}">
                <c16:uniqueId val="{000001F3-BFA0-494B-8C8A-5AA147911084}"/>
              </c:ext>
            </c:extLst>
          </c:dPt>
          <c:dPt>
            <c:idx val="14"/>
            <c:invertIfNegative val="0"/>
            <c:bubble3D val="0"/>
            <c:extLst>
              <c:ext xmlns:c16="http://schemas.microsoft.com/office/drawing/2014/chart" uri="{C3380CC4-5D6E-409C-BE32-E72D297353CC}">
                <c16:uniqueId val="{000001F4-BFA0-494B-8C8A-5AA147911084}"/>
              </c:ext>
            </c:extLst>
          </c:dPt>
          <c:dPt>
            <c:idx val="15"/>
            <c:invertIfNegative val="0"/>
            <c:bubble3D val="0"/>
            <c:extLst>
              <c:ext xmlns:c16="http://schemas.microsoft.com/office/drawing/2014/chart" uri="{C3380CC4-5D6E-409C-BE32-E72D297353CC}">
                <c16:uniqueId val="{000001F5-BFA0-494B-8C8A-5AA147911084}"/>
              </c:ext>
            </c:extLst>
          </c:dPt>
          <c:dPt>
            <c:idx val="16"/>
            <c:invertIfNegative val="0"/>
            <c:bubble3D val="0"/>
            <c:extLst>
              <c:ext xmlns:c16="http://schemas.microsoft.com/office/drawing/2014/chart" uri="{C3380CC4-5D6E-409C-BE32-E72D297353CC}">
                <c16:uniqueId val="{000001F6-BFA0-494B-8C8A-5AA147911084}"/>
              </c:ext>
            </c:extLst>
          </c:dPt>
          <c:dPt>
            <c:idx val="17"/>
            <c:invertIfNegative val="0"/>
            <c:bubble3D val="0"/>
            <c:extLst>
              <c:ext xmlns:c16="http://schemas.microsoft.com/office/drawing/2014/chart" uri="{C3380CC4-5D6E-409C-BE32-E72D297353CC}">
                <c16:uniqueId val="{000001F7-BFA0-494B-8C8A-5AA147911084}"/>
              </c:ext>
            </c:extLst>
          </c:dPt>
          <c:dPt>
            <c:idx val="18"/>
            <c:invertIfNegative val="0"/>
            <c:bubble3D val="0"/>
            <c:extLst>
              <c:ext xmlns:c16="http://schemas.microsoft.com/office/drawing/2014/chart" uri="{C3380CC4-5D6E-409C-BE32-E72D297353CC}">
                <c16:uniqueId val="{000001F8-BFA0-494B-8C8A-5AA147911084}"/>
              </c:ext>
            </c:extLst>
          </c:dPt>
          <c:dPt>
            <c:idx val="19"/>
            <c:invertIfNegative val="0"/>
            <c:bubble3D val="0"/>
            <c:extLst>
              <c:ext xmlns:c16="http://schemas.microsoft.com/office/drawing/2014/chart" uri="{C3380CC4-5D6E-409C-BE32-E72D297353CC}">
                <c16:uniqueId val="{000001F9-BFA0-494B-8C8A-5AA147911084}"/>
              </c:ext>
            </c:extLst>
          </c:dPt>
          <c:dPt>
            <c:idx val="20"/>
            <c:invertIfNegative val="0"/>
            <c:bubble3D val="0"/>
            <c:extLst>
              <c:ext xmlns:c16="http://schemas.microsoft.com/office/drawing/2014/chart" uri="{C3380CC4-5D6E-409C-BE32-E72D297353CC}">
                <c16:uniqueId val="{000001FA-BFA0-494B-8C8A-5AA147911084}"/>
              </c:ext>
            </c:extLst>
          </c:dPt>
          <c:dPt>
            <c:idx val="21"/>
            <c:invertIfNegative val="0"/>
            <c:bubble3D val="0"/>
            <c:extLst>
              <c:ext xmlns:c16="http://schemas.microsoft.com/office/drawing/2014/chart" uri="{C3380CC4-5D6E-409C-BE32-E72D297353CC}">
                <c16:uniqueId val="{000001FB-BFA0-494B-8C8A-5AA147911084}"/>
              </c:ext>
            </c:extLst>
          </c:dPt>
          <c:dPt>
            <c:idx val="22"/>
            <c:invertIfNegative val="0"/>
            <c:bubble3D val="0"/>
            <c:extLst>
              <c:ext xmlns:c16="http://schemas.microsoft.com/office/drawing/2014/chart" uri="{C3380CC4-5D6E-409C-BE32-E72D297353CC}">
                <c16:uniqueId val="{000001FC-BFA0-494B-8C8A-5AA147911084}"/>
              </c:ext>
            </c:extLst>
          </c:dPt>
          <c:dPt>
            <c:idx val="23"/>
            <c:invertIfNegative val="0"/>
            <c:bubble3D val="0"/>
            <c:extLst>
              <c:ext xmlns:c16="http://schemas.microsoft.com/office/drawing/2014/chart" uri="{C3380CC4-5D6E-409C-BE32-E72D297353CC}">
                <c16:uniqueId val="{000001FD-BFA0-494B-8C8A-5AA147911084}"/>
              </c:ext>
            </c:extLst>
          </c:dPt>
          <c:dPt>
            <c:idx val="24"/>
            <c:invertIfNegative val="0"/>
            <c:bubble3D val="0"/>
            <c:extLst>
              <c:ext xmlns:c16="http://schemas.microsoft.com/office/drawing/2014/chart" uri="{C3380CC4-5D6E-409C-BE32-E72D297353CC}">
                <c16:uniqueId val="{000001FE-BFA0-494B-8C8A-5AA14791108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Data'!$C$8:$X$8</c:f>
              <c:numCache>
                <c:formatCode>#,##0_ ;\-#,##0\ </c:formatCode>
                <c:ptCount val="22"/>
                <c:pt idx="0">
                  <c:v>5824.2999999999993</c:v>
                </c:pt>
                <c:pt idx="1">
                  <c:v>7718.3</c:v>
                </c:pt>
                <c:pt idx="2">
                  <c:v>8118.3</c:v>
                </c:pt>
                <c:pt idx="3">
                  <c:v>8518.2999999999993</c:v>
                </c:pt>
                <c:pt idx="4">
                  <c:v>8918.2999999999993</c:v>
                </c:pt>
                <c:pt idx="5">
                  <c:v>9811.2999999999993</c:v>
                </c:pt>
                <c:pt idx="6">
                  <c:v>10211.299999999999</c:v>
                </c:pt>
                <c:pt idx="7">
                  <c:v>10211.299999999999</c:v>
                </c:pt>
                <c:pt idx="8">
                  <c:v>10301.787195910001</c:v>
                </c:pt>
                <c:pt idx="9">
                  <c:v>10461.05180782</c:v>
                </c:pt>
                <c:pt idx="10">
                  <c:v>10719.24109392</c:v>
                </c:pt>
                <c:pt idx="11">
                  <c:v>10866.10361201</c:v>
                </c:pt>
                <c:pt idx="12">
                  <c:v>10866.10361201</c:v>
                </c:pt>
                <c:pt idx="13">
                  <c:v>10866.10361201</c:v>
                </c:pt>
                <c:pt idx="14">
                  <c:v>11214.18443888</c:v>
                </c:pt>
                <c:pt idx="15">
                  <c:v>11330.096377710001</c:v>
                </c:pt>
                <c:pt idx="16">
                  <c:v>12418.41252331</c:v>
                </c:pt>
                <c:pt idx="17">
                  <c:v>13518.547842260001</c:v>
                </c:pt>
                <c:pt idx="18">
                  <c:v>15481.055504460001</c:v>
                </c:pt>
                <c:pt idx="19">
                  <c:v>15481.055504460001</c:v>
                </c:pt>
                <c:pt idx="20">
                  <c:v>15935.33921154</c:v>
                </c:pt>
                <c:pt idx="21">
                  <c:v>15952.045189190001</c:v>
                </c:pt>
              </c:numCache>
            </c:numRef>
          </c:val>
          <c:extLst>
            <c:ext xmlns:c16="http://schemas.microsoft.com/office/drawing/2014/chart" uri="{C3380CC4-5D6E-409C-BE32-E72D297353CC}">
              <c16:uniqueId val="{000001FF-BFA0-494B-8C8A-5AA147911084}"/>
            </c:ext>
          </c:extLst>
        </c:ser>
        <c:ser>
          <c:idx val="9"/>
          <c:order val="6"/>
          <c:tx>
            <c:strRef>
              <c:f>'NEMInstalledCapacity Data'!$B$11</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202-BFA0-494B-8C8A-5AA147911084}"/>
              </c:ext>
            </c:extLst>
          </c:dPt>
          <c:dPt>
            <c:idx val="1"/>
            <c:invertIfNegative val="0"/>
            <c:bubble3D val="0"/>
            <c:extLst>
              <c:ext xmlns:c16="http://schemas.microsoft.com/office/drawing/2014/chart" uri="{C3380CC4-5D6E-409C-BE32-E72D297353CC}">
                <c16:uniqueId val="{00000204-BFA0-494B-8C8A-5AA147911084}"/>
              </c:ext>
            </c:extLst>
          </c:dPt>
          <c:dPt>
            <c:idx val="2"/>
            <c:invertIfNegative val="0"/>
            <c:bubble3D val="0"/>
            <c:extLst>
              <c:ext xmlns:c16="http://schemas.microsoft.com/office/drawing/2014/chart" uri="{C3380CC4-5D6E-409C-BE32-E72D297353CC}">
                <c16:uniqueId val="{00000206-BFA0-494B-8C8A-5AA147911084}"/>
              </c:ext>
            </c:extLst>
          </c:dPt>
          <c:dPt>
            <c:idx val="3"/>
            <c:invertIfNegative val="0"/>
            <c:bubble3D val="0"/>
            <c:extLst>
              <c:ext xmlns:c16="http://schemas.microsoft.com/office/drawing/2014/chart" uri="{C3380CC4-5D6E-409C-BE32-E72D297353CC}">
                <c16:uniqueId val="{00000208-BFA0-494B-8C8A-5AA147911084}"/>
              </c:ext>
            </c:extLst>
          </c:dPt>
          <c:dPt>
            <c:idx val="4"/>
            <c:invertIfNegative val="0"/>
            <c:bubble3D val="0"/>
            <c:extLst>
              <c:ext xmlns:c16="http://schemas.microsoft.com/office/drawing/2014/chart" uri="{C3380CC4-5D6E-409C-BE32-E72D297353CC}">
                <c16:uniqueId val="{0000020A-BFA0-494B-8C8A-5AA147911084}"/>
              </c:ext>
            </c:extLst>
          </c:dPt>
          <c:dPt>
            <c:idx val="5"/>
            <c:invertIfNegative val="0"/>
            <c:bubble3D val="0"/>
            <c:extLst>
              <c:ext xmlns:c16="http://schemas.microsoft.com/office/drawing/2014/chart" uri="{C3380CC4-5D6E-409C-BE32-E72D297353CC}">
                <c16:uniqueId val="{0000020C-BFA0-494B-8C8A-5AA147911084}"/>
              </c:ext>
            </c:extLst>
          </c:dPt>
          <c:dPt>
            <c:idx val="6"/>
            <c:invertIfNegative val="0"/>
            <c:bubble3D val="0"/>
            <c:extLst>
              <c:ext xmlns:c16="http://schemas.microsoft.com/office/drawing/2014/chart" uri="{C3380CC4-5D6E-409C-BE32-E72D297353CC}">
                <c16:uniqueId val="{0000020E-BFA0-494B-8C8A-5AA147911084}"/>
              </c:ext>
            </c:extLst>
          </c:dPt>
          <c:dPt>
            <c:idx val="7"/>
            <c:invertIfNegative val="0"/>
            <c:bubble3D val="0"/>
            <c:extLst>
              <c:ext xmlns:c16="http://schemas.microsoft.com/office/drawing/2014/chart" uri="{C3380CC4-5D6E-409C-BE32-E72D297353CC}">
                <c16:uniqueId val="{00000210-BFA0-494B-8C8A-5AA147911084}"/>
              </c:ext>
            </c:extLst>
          </c:dPt>
          <c:dPt>
            <c:idx val="8"/>
            <c:invertIfNegative val="0"/>
            <c:bubble3D val="0"/>
            <c:extLst>
              <c:ext xmlns:c16="http://schemas.microsoft.com/office/drawing/2014/chart" uri="{C3380CC4-5D6E-409C-BE32-E72D297353CC}">
                <c16:uniqueId val="{00000212-BFA0-494B-8C8A-5AA147911084}"/>
              </c:ext>
            </c:extLst>
          </c:dPt>
          <c:dPt>
            <c:idx val="9"/>
            <c:invertIfNegative val="0"/>
            <c:bubble3D val="0"/>
            <c:extLst>
              <c:ext xmlns:c16="http://schemas.microsoft.com/office/drawing/2014/chart" uri="{C3380CC4-5D6E-409C-BE32-E72D297353CC}">
                <c16:uniqueId val="{00000214-BFA0-494B-8C8A-5AA147911084}"/>
              </c:ext>
            </c:extLst>
          </c:dPt>
          <c:dPt>
            <c:idx val="10"/>
            <c:invertIfNegative val="0"/>
            <c:bubble3D val="0"/>
            <c:extLst>
              <c:ext xmlns:c16="http://schemas.microsoft.com/office/drawing/2014/chart" uri="{C3380CC4-5D6E-409C-BE32-E72D297353CC}">
                <c16:uniqueId val="{00000216-BFA0-494B-8C8A-5AA147911084}"/>
              </c:ext>
            </c:extLst>
          </c:dPt>
          <c:dPt>
            <c:idx val="11"/>
            <c:invertIfNegative val="0"/>
            <c:bubble3D val="0"/>
            <c:extLst>
              <c:ext xmlns:c16="http://schemas.microsoft.com/office/drawing/2014/chart" uri="{C3380CC4-5D6E-409C-BE32-E72D297353CC}">
                <c16:uniqueId val="{00000218-BFA0-494B-8C8A-5AA147911084}"/>
              </c:ext>
            </c:extLst>
          </c:dPt>
          <c:dPt>
            <c:idx val="12"/>
            <c:invertIfNegative val="0"/>
            <c:bubble3D val="0"/>
            <c:extLst>
              <c:ext xmlns:c16="http://schemas.microsoft.com/office/drawing/2014/chart" uri="{C3380CC4-5D6E-409C-BE32-E72D297353CC}">
                <c16:uniqueId val="{0000021A-BFA0-494B-8C8A-5AA147911084}"/>
              </c:ext>
            </c:extLst>
          </c:dPt>
          <c:dPt>
            <c:idx val="13"/>
            <c:invertIfNegative val="0"/>
            <c:bubble3D val="0"/>
            <c:extLst>
              <c:ext xmlns:c16="http://schemas.microsoft.com/office/drawing/2014/chart" uri="{C3380CC4-5D6E-409C-BE32-E72D297353CC}">
                <c16:uniqueId val="{0000021C-BFA0-494B-8C8A-5AA147911084}"/>
              </c:ext>
            </c:extLst>
          </c:dPt>
          <c:dPt>
            <c:idx val="14"/>
            <c:invertIfNegative val="0"/>
            <c:bubble3D val="0"/>
            <c:extLst>
              <c:ext xmlns:c16="http://schemas.microsoft.com/office/drawing/2014/chart" uri="{C3380CC4-5D6E-409C-BE32-E72D297353CC}">
                <c16:uniqueId val="{0000021E-BFA0-494B-8C8A-5AA147911084}"/>
              </c:ext>
            </c:extLst>
          </c:dPt>
          <c:dPt>
            <c:idx val="15"/>
            <c:invertIfNegative val="0"/>
            <c:bubble3D val="0"/>
            <c:extLst>
              <c:ext xmlns:c16="http://schemas.microsoft.com/office/drawing/2014/chart" uri="{C3380CC4-5D6E-409C-BE32-E72D297353CC}">
                <c16:uniqueId val="{00000220-BFA0-494B-8C8A-5AA147911084}"/>
              </c:ext>
            </c:extLst>
          </c:dPt>
          <c:dPt>
            <c:idx val="16"/>
            <c:invertIfNegative val="0"/>
            <c:bubble3D val="0"/>
            <c:extLst>
              <c:ext xmlns:c16="http://schemas.microsoft.com/office/drawing/2014/chart" uri="{C3380CC4-5D6E-409C-BE32-E72D297353CC}">
                <c16:uniqueId val="{00000222-BFA0-494B-8C8A-5AA147911084}"/>
              </c:ext>
            </c:extLst>
          </c:dPt>
          <c:dPt>
            <c:idx val="17"/>
            <c:invertIfNegative val="0"/>
            <c:bubble3D val="0"/>
            <c:extLst>
              <c:ext xmlns:c16="http://schemas.microsoft.com/office/drawing/2014/chart" uri="{C3380CC4-5D6E-409C-BE32-E72D297353CC}">
                <c16:uniqueId val="{00000224-BFA0-494B-8C8A-5AA147911084}"/>
              </c:ext>
            </c:extLst>
          </c:dPt>
          <c:dPt>
            <c:idx val="18"/>
            <c:invertIfNegative val="0"/>
            <c:bubble3D val="0"/>
            <c:extLst>
              <c:ext xmlns:c16="http://schemas.microsoft.com/office/drawing/2014/chart" uri="{C3380CC4-5D6E-409C-BE32-E72D297353CC}">
                <c16:uniqueId val="{00000226-BFA0-494B-8C8A-5AA147911084}"/>
              </c:ext>
            </c:extLst>
          </c:dPt>
          <c:dPt>
            <c:idx val="19"/>
            <c:invertIfNegative val="0"/>
            <c:bubble3D val="0"/>
            <c:extLst>
              <c:ext xmlns:c16="http://schemas.microsoft.com/office/drawing/2014/chart" uri="{C3380CC4-5D6E-409C-BE32-E72D297353CC}">
                <c16:uniqueId val="{00000228-BFA0-494B-8C8A-5AA147911084}"/>
              </c:ext>
            </c:extLst>
          </c:dPt>
          <c:dPt>
            <c:idx val="20"/>
            <c:invertIfNegative val="0"/>
            <c:bubble3D val="0"/>
            <c:extLst>
              <c:ext xmlns:c16="http://schemas.microsoft.com/office/drawing/2014/chart" uri="{C3380CC4-5D6E-409C-BE32-E72D297353CC}">
                <c16:uniqueId val="{0000022A-BFA0-494B-8C8A-5AA147911084}"/>
              </c:ext>
            </c:extLst>
          </c:dPt>
          <c:dPt>
            <c:idx val="21"/>
            <c:invertIfNegative val="0"/>
            <c:bubble3D val="0"/>
            <c:extLst>
              <c:ext xmlns:c16="http://schemas.microsoft.com/office/drawing/2014/chart" uri="{C3380CC4-5D6E-409C-BE32-E72D297353CC}">
                <c16:uniqueId val="{0000022C-BFA0-494B-8C8A-5AA147911084}"/>
              </c:ext>
            </c:extLst>
          </c:dPt>
          <c:dPt>
            <c:idx val="22"/>
            <c:invertIfNegative val="0"/>
            <c:bubble3D val="0"/>
            <c:extLst>
              <c:ext xmlns:c16="http://schemas.microsoft.com/office/drawing/2014/chart" uri="{C3380CC4-5D6E-409C-BE32-E72D297353CC}">
                <c16:uniqueId val="{0000022E-BFA0-494B-8C8A-5AA147911084}"/>
              </c:ext>
            </c:extLst>
          </c:dPt>
          <c:dPt>
            <c:idx val="23"/>
            <c:invertIfNegative val="0"/>
            <c:bubble3D val="0"/>
            <c:extLst>
              <c:ext xmlns:c16="http://schemas.microsoft.com/office/drawing/2014/chart" uri="{C3380CC4-5D6E-409C-BE32-E72D297353CC}">
                <c16:uniqueId val="{00000230-BFA0-494B-8C8A-5AA147911084}"/>
              </c:ext>
            </c:extLst>
          </c:dPt>
          <c:dPt>
            <c:idx val="24"/>
            <c:invertIfNegative val="0"/>
            <c:bubble3D val="0"/>
            <c:extLst>
              <c:ext xmlns:c16="http://schemas.microsoft.com/office/drawing/2014/chart" uri="{C3380CC4-5D6E-409C-BE32-E72D297353CC}">
                <c16:uniqueId val="{00000232-BFA0-494B-8C8A-5AA14791108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Data'!$C$11:$X$11</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233-BFA0-494B-8C8A-5AA147911084}"/>
            </c:ext>
          </c:extLst>
        </c:ser>
        <c:ser>
          <c:idx val="6"/>
          <c:order val="7"/>
          <c:tx>
            <c:strRef>
              <c:f>'NEMInstalledCapacity Data'!$B$9</c:f>
              <c:strCache>
                <c:ptCount val="1"/>
                <c:pt idx="0">
                  <c:v>Utility Solar</c:v>
                </c:pt>
              </c:strCache>
            </c:strRef>
          </c:tx>
          <c:spPr>
            <a:solidFill>
              <a:srgbClr val="FFC222"/>
            </a:solidFill>
            <a:ln>
              <a:noFill/>
            </a:ln>
            <a:effectLst/>
          </c:spPr>
          <c:invertIfNegative val="0"/>
          <c:dPt>
            <c:idx val="0"/>
            <c:invertIfNegative val="0"/>
            <c:bubble3D val="0"/>
            <c:extLst>
              <c:ext xmlns:c16="http://schemas.microsoft.com/office/drawing/2014/chart" uri="{C3380CC4-5D6E-409C-BE32-E72D297353CC}">
                <c16:uniqueId val="{00000236-BFA0-494B-8C8A-5AA147911084}"/>
              </c:ext>
            </c:extLst>
          </c:dPt>
          <c:dPt>
            <c:idx val="1"/>
            <c:invertIfNegative val="0"/>
            <c:bubble3D val="0"/>
            <c:extLst>
              <c:ext xmlns:c16="http://schemas.microsoft.com/office/drawing/2014/chart" uri="{C3380CC4-5D6E-409C-BE32-E72D297353CC}">
                <c16:uniqueId val="{00000238-BFA0-494B-8C8A-5AA147911084}"/>
              </c:ext>
            </c:extLst>
          </c:dPt>
          <c:dPt>
            <c:idx val="2"/>
            <c:invertIfNegative val="0"/>
            <c:bubble3D val="0"/>
            <c:extLst>
              <c:ext xmlns:c16="http://schemas.microsoft.com/office/drawing/2014/chart" uri="{C3380CC4-5D6E-409C-BE32-E72D297353CC}">
                <c16:uniqueId val="{0000023A-BFA0-494B-8C8A-5AA147911084}"/>
              </c:ext>
            </c:extLst>
          </c:dPt>
          <c:dPt>
            <c:idx val="3"/>
            <c:invertIfNegative val="0"/>
            <c:bubble3D val="0"/>
            <c:extLst>
              <c:ext xmlns:c16="http://schemas.microsoft.com/office/drawing/2014/chart" uri="{C3380CC4-5D6E-409C-BE32-E72D297353CC}">
                <c16:uniqueId val="{0000023C-BFA0-494B-8C8A-5AA147911084}"/>
              </c:ext>
            </c:extLst>
          </c:dPt>
          <c:dPt>
            <c:idx val="4"/>
            <c:invertIfNegative val="0"/>
            <c:bubble3D val="0"/>
            <c:extLst>
              <c:ext xmlns:c16="http://schemas.microsoft.com/office/drawing/2014/chart" uri="{C3380CC4-5D6E-409C-BE32-E72D297353CC}">
                <c16:uniqueId val="{0000023E-BFA0-494B-8C8A-5AA147911084}"/>
              </c:ext>
            </c:extLst>
          </c:dPt>
          <c:dPt>
            <c:idx val="5"/>
            <c:invertIfNegative val="0"/>
            <c:bubble3D val="0"/>
            <c:extLst>
              <c:ext xmlns:c16="http://schemas.microsoft.com/office/drawing/2014/chart" uri="{C3380CC4-5D6E-409C-BE32-E72D297353CC}">
                <c16:uniqueId val="{00000240-BFA0-494B-8C8A-5AA147911084}"/>
              </c:ext>
            </c:extLst>
          </c:dPt>
          <c:dPt>
            <c:idx val="6"/>
            <c:invertIfNegative val="0"/>
            <c:bubble3D val="0"/>
            <c:extLst>
              <c:ext xmlns:c16="http://schemas.microsoft.com/office/drawing/2014/chart" uri="{C3380CC4-5D6E-409C-BE32-E72D297353CC}">
                <c16:uniqueId val="{00000242-BFA0-494B-8C8A-5AA147911084}"/>
              </c:ext>
            </c:extLst>
          </c:dPt>
          <c:dPt>
            <c:idx val="7"/>
            <c:invertIfNegative val="0"/>
            <c:bubble3D val="0"/>
            <c:extLst>
              <c:ext xmlns:c16="http://schemas.microsoft.com/office/drawing/2014/chart" uri="{C3380CC4-5D6E-409C-BE32-E72D297353CC}">
                <c16:uniqueId val="{00000244-BFA0-494B-8C8A-5AA147911084}"/>
              </c:ext>
            </c:extLst>
          </c:dPt>
          <c:dPt>
            <c:idx val="8"/>
            <c:invertIfNegative val="0"/>
            <c:bubble3D val="0"/>
            <c:extLst>
              <c:ext xmlns:c16="http://schemas.microsoft.com/office/drawing/2014/chart" uri="{C3380CC4-5D6E-409C-BE32-E72D297353CC}">
                <c16:uniqueId val="{00000246-BFA0-494B-8C8A-5AA147911084}"/>
              </c:ext>
            </c:extLst>
          </c:dPt>
          <c:dPt>
            <c:idx val="9"/>
            <c:invertIfNegative val="0"/>
            <c:bubble3D val="0"/>
            <c:extLst>
              <c:ext xmlns:c16="http://schemas.microsoft.com/office/drawing/2014/chart" uri="{C3380CC4-5D6E-409C-BE32-E72D297353CC}">
                <c16:uniqueId val="{00000248-BFA0-494B-8C8A-5AA147911084}"/>
              </c:ext>
            </c:extLst>
          </c:dPt>
          <c:dPt>
            <c:idx val="10"/>
            <c:invertIfNegative val="0"/>
            <c:bubble3D val="0"/>
            <c:extLst>
              <c:ext xmlns:c16="http://schemas.microsoft.com/office/drawing/2014/chart" uri="{C3380CC4-5D6E-409C-BE32-E72D297353CC}">
                <c16:uniqueId val="{0000024A-BFA0-494B-8C8A-5AA147911084}"/>
              </c:ext>
            </c:extLst>
          </c:dPt>
          <c:dPt>
            <c:idx val="11"/>
            <c:invertIfNegative val="0"/>
            <c:bubble3D val="0"/>
            <c:extLst>
              <c:ext xmlns:c16="http://schemas.microsoft.com/office/drawing/2014/chart" uri="{C3380CC4-5D6E-409C-BE32-E72D297353CC}">
                <c16:uniqueId val="{0000024C-BFA0-494B-8C8A-5AA147911084}"/>
              </c:ext>
            </c:extLst>
          </c:dPt>
          <c:dPt>
            <c:idx val="12"/>
            <c:invertIfNegative val="0"/>
            <c:bubble3D val="0"/>
            <c:extLst>
              <c:ext xmlns:c16="http://schemas.microsoft.com/office/drawing/2014/chart" uri="{C3380CC4-5D6E-409C-BE32-E72D297353CC}">
                <c16:uniqueId val="{0000024E-BFA0-494B-8C8A-5AA147911084}"/>
              </c:ext>
            </c:extLst>
          </c:dPt>
          <c:dPt>
            <c:idx val="13"/>
            <c:invertIfNegative val="0"/>
            <c:bubble3D val="0"/>
            <c:extLst>
              <c:ext xmlns:c16="http://schemas.microsoft.com/office/drawing/2014/chart" uri="{C3380CC4-5D6E-409C-BE32-E72D297353CC}">
                <c16:uniqueId val="{00000250-BFA0-494B-8C8A-5AA147911084}"/>
              </c:ext>
            </c:extLst>
          </c:dPt>
          <c:dPt>
            <c:idx val="14"/>
            <c:invertIfNegative val="0"/>
            <c:bubble3D val="0"/>
            <c:extLst>
              <c:ext xmlns:c16="http://schemas.microsoft.com/office/drawing/2014/chart" uri="{C3380CC4-5D6E-409C-BE32-E72D297353CC}">
                <c16:uniqueId val="{00000252-BFA0-494B-8C8A-5AA147911084}"/>
              </c:ext>
            </c:extLst>
          </c:dPt>
          <c:dPt>
            <c:idx val="15"/>
            <c:invertIfNegative val="0"/>
            <c:bubble3D val="0"/>
            <c:extLst>
              <c:ext xmlns:c16="http://schemas.microsoft.com/office/drawing/2014/chart" uri="{C3380CC4-5D6E-409C-BE32-E72D297353CC}">
                <c16:uniqueId val="{00000254-BFA0-494B-8C8A-5AA147911084}"/>
              </c:ext>
            </c:extLst>
          </c:dPt>
          <c:dPt>
            <c:idx val="16"/>
            <c:invertIfNegative val="0"/>
            <c:bubble3D val="0"/>
            <c:extLst>
              <c:ext xmlns:c16="http://schemas.microsoft.com/office/drawing/2014/chart" uri="{C3380CC4-5D6E-409C-BE32-E72D297353CC}">
                <c16:uniqueId val="{00000256-BFA0-494B-8C8A-5AA147911084}"/>
              </c:ext>
            </c:extLst>
          </c:dPt>
          <c:dPt>
            <c:idx val="17"/>
            <c:invertIfNegative val="0"/>
            <c:bubble3D val="0"/>
            <c:extLst>
              <c:ext xmlns:c16="http://schemas.microsoft.com/office/drawing/2014/chart" uri="{C3380CC4-5D6E-409C-BE32-E72D297353CC}">
                <c16:uniqueId val="{00000258-BFA0-494B-8C8A-5AA147911084}"/>
              </c:ext>
            </c:extLst>
          </c:dPt>
          <c:dPt>
            <c:idx val="18"/>
            <c:invertIfNegative val="0"/>
            <c:bubble3D val="0"/>
            <c:extLst>
              <c:ext xmlns:c16="http://schemas.microsoft.com/office/drawing/2014/chart" uri="{C3380CC4-5D6E-409C-BE32-E72D297353CC}">
                <c16:uniqueId val="{0000025A-BFA0-494B-8C8A-5AA147911084}"/>
              </c:ext>
            </c:extLst>
          </c:dPt>
          <c:dPt>
            <c:idx val="19"/>
            <c:invertIfNegative val="0"/>
            <c:bubble3D val="0"/>
            <c:extLst>
              <c:ext xmlns:c16="http://schemas.microsoft.com/office/drawing/2014/chart" uri="{C3380CC4-5D6E-409C-BE32-E72D297353CC}">
                <c16:uniqueId val="{0000025C-BFA0-494B-8C8A-5AA147911084}"/>
              </c:ext>
            </c:extLst>
          </c:dPt>
          <c:dPt>
            <c:idx val="20"/>
            <c:invertIfNegative val="0"/>
            <c:bubble3D val="0"/>
            <c:extLst>
              <c:ext xmlns:c16="http://schemas.microsoft.com/office/drawing/2014/chart" uri="{C3380CC4-5D6E-409C-BE32-E72D297353CC}">
                <c16:uniqueId val="{0000025E-BFA0-494B-8C8A-5AA147911084}"/>
              </c:ext>
            </c:extLst>
          </c:dPt>
          <c:dPt>
            <c:idx val="21"/>
            <c:invertIfNegative val="0"/>
            <c:bubble3D val="0"/>
            <c:extLst>
              <c:ext xmlns:c16="http://schemas.microsoft.com/office/drawing/2014/chart" uri="{C3380CC4-5D6E-409C-BE32-E72D297353CC}">
                <c16:uniqueId val="{00000260-BFA0-494B-8C8A-5AA147911084}"/>
              </c:ext>
            </c:extLst>
          </c:dPt>
          <c:dPt>
            <c:idx val="22"/>
            <c:invertIfNegative val="0"/>
            <c:bubble3D val="0"/>
            <c:extLst>
              <c:ext xmlns:c16="http://schemas.microsoft.com/office/drawing/2014/chart" uri="{C3380CC4-5D6E-409C-BE32-E72D297353CC}">
                <c16:uniqueId val="{00000262-BFA0-494B-8C8A-5AA147911084}"/>
              </c:ext>
            </c:extLst>
          </c:dPt>
          <c:dPt>
            <c:idx val="23"/>
            <c:invertIfNegative val="0"/>
            <c:bubble3D val="0"/>
            <c:extLst>
              <c:ext xmlns:c16="http://schemas.microsoft.com/office/drawing/2014/chart" uri="{C3380CC4-5D6E-409C-BE32-E72D297353CC}">
                <c16:uniqueId val="{00000264-BFA0-494B-8C8A-5AA147911084}"/>
              </c:ext>
            </c:extLst>
          </c:dPt>
          <c:dPt>
            <c:idx val="24"/>
            <c:invertIfNegative val="0"/>
            <c:bubble3D val="0"/>
            <c:extLst>
              <c:ext xmlns:c16="http://schemas.microsoft.com/office/drawing/2014/chart" uri="{C3380CC4-5D6E-409C-BE32-E72D297353CC}">
                <c16:uniqueId val="{00000266-BFA0-494B-8C8A-5AA14791108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Data'!$C$9:$X$9</c:f>
              <c:numCache>
                <c:formatCode>#,##0_ ;\-#,##0\ </c:formatCode>
                <c:ptCount val="22"/>
                <c:pt idx="0">
                  <c:v>2211.9</c:v>
                </c:pt>
                <c:pt idx="1">
                  <c:v>2836.9606544900003</c:v>
                </c:pt>
                <c:pt idx="2">
                  <c:v>2836.9606544900003</c:v>
                </c:pt>
                <c:pt idx="3">
                  <c:v>2897.8224824100002</c:v>
                </c:pt>
                <c:pt idx="4">
                  <c:v>3743.48250641</c:v>
                </c:pt>
                <c:pt idx="5">
                  <c:v>4327.4825064100005</c:v>
                </c:pt>
                <c:pt idx="6">
                  <c:v>4955.0903160300004</c:v>
                </c:pt>
                <c:pt idx="7">
                  <c:v>5994.0609541699996</c:v>
                </c:pt>
                <c:pt idx="8">
                  <c:v>6730.9551526999994</c:v>
                </c:pt>
                <c:pt idx="9">
                  <c:v>7405.2703489099995</c:v>
                </c:pt>
                <c:pt idx="10">
                  <c:v>8192.2791690900012</c:v>
                </c:pt>
                <c:pt idx="11">
                  <c:v>9758.8422559200008</c:v>
                </c:pt>
                <c:pt idx="12">
                  <c:v>9758.8422559200008</c:v>
                </c:pt>
                <c:pt idx="13">
                  <c:v>10062.30698331</c:v>
                </c:pt>
                <c:pt idx="14">
                  <c:v>12888.920985280001</c:v>
                </c:pt>
                <c:pt idx="15">
                  <c:v>13276.460501610001</c:v>
                </c:pt>
                <c:pt idx="16">
                  <c:v>16454.09250201</c:v>
                </c:pt>
                <c:pt idx="17">
                  <c:v>21352.694298990002</c:v>
                </c:pt>
                <c:pt idx="18">
                  <c:v>24574.901108729999</c:v>
                </c:pt>
                <c:pt idx="19">
                  <c:v>25475.605204709998</c:v>
                </c:pt>
                <c:pt idx="20">
                  <c:v>26688.241579089998</c:v>
                </c:pt>
                <c:pt idx="21">
                  <c:v>27337.76901697</c:v>
                </c:pt>
              </c:numCache>
            </c:numRef>
          </c:val>
          <c:extLst>
            <c:ext xmlns:c16="http://schemas.microsoft.com/office/drawing/2014/chart" uri="{C3380CC4-5D6E-409C-BE32-E72D297353CC}">
              <c16:uniqueId val="{00000267-BFA0-494B-8C8A-5AA147911084}"/>
            </c:ext>
          </c:extLst>
        </c:ser>
        <c:ser>
          <c:idx val="7"/>
          <c:order val="8"/>
          <c:tx>
            <c:strRef>
              <c:f>'NEMInstalledCapacity Data'!$B$10</c:f>
              <c:strCache>
                <c:ptCount val="1"/>
                <c:pt idx="0">
                  <c:v>Utility storage</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26A-BFA0-494B-8C8A-5AA147911084}"/>
              </c:ext>
            </c:extLst>
          </c:dPt>
          <c:dPt>
            <c:idx val="1"/>
            <c:invertIfNegative val="0"/>
            <c:bubble3D val="0"/>
            <c:extLst>
              <c:ext xmlns:c16="http://schemas.microsoft.com/office/drawing/2014/chart" uri="{C3380CC4-5D6E-409C-BE32-E72D297353CC}">
                <c16:uniqueId val="{0000026C-BFA0-494B-8C8A-5AA147911084}"/>
              </c:ext>
            </c:extLst>
          </c:dPt>
          <c:dPt>
            <c:idx val="2"/>
            <c:invertIfNegative val="0"/>
            <c:bubble3D val="0"/>
            <c:extLst>
              <c:ext xmlns:c16="http://schemas.microsoft.com/office/drawing/2014/chart" uri="{C3380CC4-5D6E-409C-BE32-E72D297353CC}">
                <c16:uniqueId val="{0000026E-BFA0-494B-8C8A-5AA147911084}"/>
              </c:ext>
            </c:extLst>
          </c:dPt>
          <c:dPt>
            <c:idx val="3"/>
            <c:invertIfNegative val="0"/>
            <c:bubble3D val="0"/>
            <c:extLst>
              <c:ext xmlns:c16="http://schemas.microsoft.com/office/drawing/2014/chart" uri="{C3380CC4-5D6E-409C-BE32-E72D297353CC}">
                <c16:uniqueId val="{00000270-BFA0-494B-8C8A-5AA147911084}"/>
              </c:ext>
            </c:extLst>
          </c:dPt>
          <c:dPt>
            <c:idx val="4"/>
            <c:invertIfNegative val="0"/>
            <c:bubble3D val="0"/>
            <c:extLst>
              <c:ext xmlns:c16="http://schemas.microsoft.com/office/drawing/2014/chart" uri="{C3380CC4-5D6E-409C-BE32-E72D297353CC}">
                <c16:uniqueId val="{00000272-BFA0-494B-8C8A-5AA147911084}"/>
              </c:ext>
            </c:extLst>
          </c:dPt>
          <c:dPt>
            <c:idx val="5"/>
            <c:invertIfNegative val="0"/>
            <c:bubble3D val="0"/>
            <c:extLst>
              <c:ext xmlns:c16="http://schemas.microsoft.com/office/drawing/2014/chart" uri="{C3380CC4-5D6E-409C-BE32-E72D297353CC}">
                <c16:uniqueId val="{00000274-BFA0-494B-8C8A-5AA147911084}"/>
              </c:ext>
            </c:extLst>
          </c:dPt>
          <c:dPt>
            <c:idx val="6"/>
            <c:invertIfNegative val="0"/>
            <c:bubble3D val="0"/>
            <c:extLst>
              <c:ext xmlns:c16="http://schemas.microsoft.com/office/drawing/2014/chart" uri="{C3380CC4-5D6E-409C-BE32-E72D297353CC}">
                <c16:uniqueId val="{00000276-BFA0-494B-8C8A-5AA147911084}"/>
              </c:ext>
            </c:extLst>
          </c:dPt>
          <c:dPt>
            <c:idx val="7"/>
            <c:invertIfNegative val="0"/>
            <c:bubble3D val="0"/>
            <c:extLst>
              <c:ext xmlns:c16="http://schemas.microsoft.com/office/drawing/2014/chart" uri="{C3380CC4-5D6E-409C-BE32-E72D297353CC}">
                <c16:uniqueId val="{00000278-BFA0-494B-8C8A-5AA147911084}"/>
              </c:ext>
            </c:extLst>
          </c:dPt>
          <c:dPt>
            <c:idx val="8"/>
            <c:invertIfNegative val="0"/>
            <c:bubble3D val="0"/>
            <c:extLst>
              <c:ext xmlns:c16="http://schemas.microsoft.com/office/drawing/2014/chart" uri="{C3380CC4-5D6E-409C-BE32-E72D297353CC}">
                <c16:uniqueId val="{0000027A-BFA0-494B-8C8A-5AA147911084}"/>
              </c:ext>
            </c:extLst>
          </c:dPt>
          <c:dPt>
            <c:idx val="9"/>
            <c:invertIfNegative val="0"/>
            <c:bubble3D val="0"/>
            <c:extLst>
              <c:ext xmlns:c16="http://schemas.microsoft.com/office/drawing/2014/chart" uri="{C3380CC4-5D6E-409C-BE32-E72D297353CC}">
                <c16:uniqueId val="{0000027C-BFA0-494B-8C8A-5AA147911084}"/>
              </c:ext>
            </c:extLst>
          </c:dPt>
          <c:dPt>
            <c:idx val="10"/>
            <c:invertIfNegative val="0"/>
            <c:bubble3D val="0"/>
            <c:extLst>
              <c:ext xmlns:c16="http://schemas.microsoft.com/office/drawing/2014/chart" uri="{C3380CC4-5D6E-409C-BE32-E72D297353CC}">
                <c16:uniqueId val="{0000027E-BFA0-494B-8C8A-5AA147911084}"/>
              </c:ext>
            </c:extLst>
          </c:dPt>
          <c:dPt>
            <c:idx val="11"/>
            <c:invertIfNegative val="0"/>
            <c:bubble3D val="0"/>
            <c:extLst>
              <c:ext xmlns:c16="http://schemas.microsoft.com/office/drawing/2014/chart" uri="{C3380CC4-5D6E-409C-BE32-E72D297353CC}">
                <c16:uniqueId val="{00000280-BFA0-494B-8C8A-5AA147911084}"/>
              </c:ext>
            </c:extLst>
          </c:dPt>
          <c:dPt>
            <c:idx val="12"/>
            <c:invertIfNegative val="0"/>
            <c:bubble3D val="0"/>
            <c:extLst>
              <c:ext xmlns:c16="http://schemas.microsoft.com/office/drawing/2014/chart" uri="{C3380CC4-5D6E-409C-BE32-E72D297353CC}">
                <c16:uniqueId val="{00000282-BFA0-494B-8C8A-5AA147911084}"/>
              </c:ext>
            </c:extLst>
          </c:dPt>
          <c:dPt>
            <c:idx val="13"/>
            <c:invertIfNegative val="0"/>
            <c:bubble3D val="0"/>
            <c:extLst>
              <c:ext xmlns:c16="http://schemas.microsoft.com/office/drawing/2014/chart" uri="{C3380CC4-5D6E-409C-BE32-E72D297353CC}">
                <c16:uniqueId val="{00000284-BFA0-494B-8C8A-5AA147911084}"/>
              </c:ext>
            </c:extLst>
          </c:dPt>
          <c:dPt>
            <c:idx val="14"/>
            <c:invertIfNegative val="0"/>
            <c:bubble3D val="0"/>
            <c:extLst>
              <c:ext xmlns:c16="http://schemas.microsoft.com/office/drawing/2014/chart" uri="{C3380CC4-5D6E-409C-BE32-E72D297353CC}">
                <c16:uniqueId val="{00000286-BFA0-494B-8C8A-5AA147911084}"/>
              </c:ext>
            </c:extLst>
          </c:dPt>
          <c:dPt>
            <c:idx val="15"/>
            <c:invertIfNegative val="0"/>
            <c:bubble3D val="0"/>
            <c:extLst>
              <c:ext xmlns:c16="http://schemas.microsoft.com/office/drawing/2014/chart" uri="{C3380CC4-5D6E-409C-BE32-E72D297353CC}">
                <c16:uniqueId val="{00000288-BFA0-494B-8C8A-5AA147911084}"/>
              </c:ext>
            </c:extLst>
          </c:dPt>
          <c:dPt>
            <c:idx val="16"/>
            <c:invertIfNegative val="0"/>
            <c:bubble3D val="0"/>
            <c:extLst>
              <c:ext xmlns:c16="http://schemas.microsoft.com/office/drawing/2014/chart" uri="{C3380CC4-5D6E-409C-BE32-E72D297353CC}">
                <c16:uniqueId val="{0000028A-BFA0-494B-8C8A-5AA147911084}"/>
              </c:ext>
            </c:extLst>
          </c:dPt>
          <c:dPt>
            <c:idx val="17"/>
            <c:invertIfNegative val="0"/>
            <c:bubble3D val="0"/>
            <c:extLst>
              <c:ext xmlns:c16="http://schemas.microsoft.com/office/drawing/2014/chart" uri="{C3380CC4-5D6E-409C-BE32-E72D297353CC}">
                <c16:uniqueId val="{0000028C-BFA0-494B-8C8A-5AA147911084}"/>
              </c:ext>
            </c:extLst>
          </c:dPt>
          <c:dPt>
            <c:idx val="18"/>
            <c:invertIfNegative val="0"/>
            <c:bubble3D val="0"/>
            <c:extLst>
              <c:ext xmlns:c16="http://schemas.microsoft.com/office/drawing/2014/chart" uri="{C3380CC4-5D6E-409C-BE32-E72D297353CC}">
                <c16:uniqueId val="{0000028E-BFA0-494B-8C8A-5AA147911084}"/>
              </c:ext>
            </c:extLst>
          </c:dPt>
          <c:dPt>
            <c:idx val="19"/>
            <c:invertIfNegative val="0"/>
            <c:bubble3D val="0"/>
            <c:extLst>
              <c:ext xmlns:c16="http://schemas.microsoft.com/office/drawing/2014/chart" uri="{C3380CC4-5D6E-409C-BE32-E72D297353CC}">
                <c16:uniqueId val="{00000290-BFA0-494B-8C8A-5AA147911084}"/>
              </c:ext>
            </c:extLst>
          </c:dPt>
          <c:dPt>
            <c:idx val="20"/>
            <c:invertIfNegative val="0"/>
            <c:bubble3D val="0"/>
            <c:extLst>
              <c:ext xmlns:c16="http://schemas.microsoft.com/office/drawing/2014/chart" uri="{C3380CC4-5D6E-409C-BE32-E72D297353CC}">
                <c16:uniqueId val="{00000292-BFA0-494B-8C8A-5AA147911084}"/>
              </c:ext>
            </c:extLst>
          </c:dPt>
          <c:dPt>
            <c:idx val="21"/>
            <c:invertIfNegative val="0"/>
            <c:bubble3D val="0"/>
            <c:extLst>
              <c:ext xmlns:c16="http://schemas.microsoft.com/office/drawing/2014/chart" uri="{C3380CC4-5D6E-409C-BE32-E72D297353CC}">
                <c16:uniqueId val="{00000294-BFA0-494B-8C8A-5AA147911084}"/>
              </c:ext>
            </c:extLst>
          </c:dPt>
          <c:dPt>
            <c:idx val="22"/>
            <c:invertIfNegative val="0"/>
            <c:bubble3D val="0"/>
            <c:extLst>
              <c:ext xmlns:c16="http://schemas.microsoft.com/office/drawing/2014/chart" uri="{C3380CC4-5D6E-409C-BE32-E72D297353CC}">
                <c16:uniqueId val="{00000296-BFA0-494B-8C8A-5AA147911084}"/>
              </c:ext>
            </c:extLst>
          </c:dPt>
          <c:dPt>
            <c:idx val="23"/>
            <c:invertIfNegative val="0"/>
            <c:bubble3D val="0"/>
            <c:extLst>
              <c:ext xmlns:c16="http://schemas.microsoft.com/office/drawing/2014/chart" uri="{C3380CC4-5D6E-409C-BE32-E72D297353CC}">
                <c16:uniqueId val="{00000298-BFA0-494B-8C8A-5AA147911084}"/>
              </c:ext>
            </c:extLst>
          </c:dPt>
          <c:dPt>
            <c:idx val="24"/>
            <c:invertIfNegative val="0"/>
            <c:bubble3D val="0"/>
            <c:extLst>
              <c:ext xmlns:c16="http://schemas.microsoft.com/office/drawing/2014/chart" uri="{C3380CC4-5D6E-409C-BE32-E72D297353CC}">
                <c16:uniqueId val="{0000029A-BFA0-494B-8C8A-5AA14791108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Data'!$C$10:$X$10</c:f>
              <c:numCache>
                <c:formatCode>#,##0_ ;\-#,##0\ </c:formatCode>
                <c:ptCount val="22"/>
                <c:pt idx="0">
                  <c:v>2681.4</c:v>
                </c:pt>
                <c:pt idx="1">
                  <c:v>2701.4</c:v>
                </c:pt>
                <c:pt idx="2">
                  <c:v>2801.4</c:v>
                </c:pt>
                <c:pt idx="3">
                  <c:v>2801.4</c:v>
                </c:pt>
                <c:pt idx="4">
                  <c:v>2801.4</c:v>
                </c:pt>
                <c:pt idx="5">
                  <c:v>2801.4</c:v>
                </c:pt>
                <c:pt idx="6">
                  <c:v>4921.8189089999996</c:v>
                </c:pt>
                <c:pt idx="7">
                  <c:v>4921.8189089999996</c:v>
                </c:pt>
                <c:pt idx="8">
                  <c:v>5035.7872650000008</c:v>
                </c:pt>
                <c:pt idx="9">
                  <c:v>5035.7872650000008</c:v>
                </c:pt>
                <c:pt idx="10">
                  <c:v>5035.7872650000008</c:v>
                </c:pt>
                <c:pt idx="11">
                  <c:v>5366.5484720000004</c:v>
                </c:pt>
                <c:pt idx="12">
                  <c:v>5366.5484720000004</c:v>
                </c:pt>
                <c:pt idx="13">
                  <c:v>5474.936584</c:v>
                </c:pt>
                <c:pt idx="14">
                  <c:v>6974.9365839999991</c:v>
                </c:pt>
                <c:pt idx="15">
                  <c:v>7050.2012340000001</c:v>
                </c:pt>
                <c:pt idx="16">
                  <c:v>8993.5128089999998</c:v>
                </c:pt>
                <c:pt idx="17">
                  <c:v>11985.018176</c:v>
                </c:pt>
                <c:pt idx="18">
                  <c:v>14246.549755999999</c:v>
                </c:pt>
                <c:pt idx="19">
                  <c:v>15065.056756999998</c:v>
                </c:pt>
                <c:pt idx="20">
                  <c:v>16299.663470999998</c:v>
                </c:pt>
                <c:pt idx="21">
                  <c:v>16802.843566999996</c:v>
                </c:pt>
              </c:numCache>
            </c:numRef>
          </c:val>
          <c:extLst>
            <c:ext xmlns:c16="http://schemas.microsoft.com/office/drawing/2014/chart" uri="{C3380CC4-5D6E-409C-BE32-E72D297353CC}">
              <c16:uniqueId val="{0000029B-BFA0-494B-8C8A-5AA147911084}"/>
            </c:ext>
          </c:extLst>
        </c:ser>
        <c:ser>
          <c:idx val="10"/>
          <c:order val="9"/>
          <c:tx>
            <c:strRef>
              <c:f>'NEMInstalledCapacity Data'!$B$12</c:f>
              <c:strCache>
                <c:ptCount val="1"/>
                <c:pt idx="0">
                  <c:v>Distributed storage</c:v>
                </c:pt>
              </c:strCache>
            </c:strRef>
          </c:tx>
          <c:spPr>
            <a:solidFill>
              <a:srgbClr val="92D050"/>
            </a:solidFill>
            <a:ln>
              <a:noFill/>
            </a:ln>
            <a:effectLst/>
          </c:spPr>
          <c:invertIfNegative val="0"/>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Data'!$C$12:$X$12</c:f>
              <c:numCache>
                <c:formatCode>#,##0_ ;\-#,##0\ </c:formatCode>
                <c:ptCount val="22"/>
                <c:pt idx="0">
                  <c:v>312.26</c:v>
                </c:pt>
                <c:pt idx="1">
                  <c:v>601.14</c:v>
                </c:pt>
                <c:pt idx="2">
                  <c:v>977.37</c:v>
                </c:pt>
                <c:pt idx="3">
                  <c:v>1323.6</c:v>
                </c:pt>
                <c:pt idx="4">
                  <c:v>1656.16</c:v>
                </c:pt>
                <c:pt idx="5">
                  <c:v>1975.32</c:v>
                </c:pt>
                <c:pt idx="6">
                  <c:v>2288.36</c:v>
                </c:pt>
                <c:pt idx="7">
                  <c:v>2587.9499999999998</c:v>
                </c:pt>
                <c:pt idx="8">
                  <c:v>2881.12</c:v>
                </c:pt>
                <c:pt idx="9">
                  <c:v>3166.67</c:v>
                </c:pt>
                <c:pt idx="10">
                  <c:v>3446.18</c:v>
                </c:pt>
                <c:pt idx="11">
                  <c:v>3723.38</c:v>
                </c:pt>
                <c:pt idx="12">
                  <c:v>3980.08</c:v>
                </c:pt>
                <c:pt idx="13">
                  <c:v>4212.34</c:v>
                </c:pt>
                <c:pt idx="14">
                  <c:v>4435.8900000000003</c:v>
                </c:pt>
                <c:pt idx="15">
                  <c:v>4651.38</c:v>
                </c:pt>
                <c:pt idx="16">
                  <c:v>4860.53</c:v>
                </c:pt>
                <c:pt idx="17">
                  <c:v>5065.55</c:v>
                </c:pt>
                <c:pt idx="18">
                  <c:v>5261.95</c:v>
                </c:pt>
                <c:pt idx="19">
                  <c:v>5452.1</c:v>
                </c:pt>
                <c:pt idx="20">
                  <c:v>5592.66</c:v>
                </c:pt>
                <c:pt idx="21">
                  <c:v>5774.18</c:v>
                </c:pt>
              </c:numCache>
            </c:numRef>
          </c:val>
          <c:extLst>
            <c:ext xmlns:c16="http://schemas.microsoft.com/office/drawing/2014/chart" uri="{C3380CC4-5D6E-409C-BE32-E72D297353CC}">
              <c16:uniqueId val="{0000029D-BFA0-494B-8C8A-5AA147911084}"/>
            </c:ext>
          </c:extLst>
        </c:ser>
        <c:ser>
          <c:idx val="8"/>
          <c:order val="10"/>
          <c:tx>
            <c:strRef>
              <c:f>'NEMInstalledCapacity Data'!$B$13</c:f>
              <c:strCache>
                <c:ptCount val="1"/>
                <c:pt idx="0">
                  <c:v>Rooftop PV</c:v>
                </c:pt>
              </c:strCache>
            </c:strRef>
          </c:tx>
          <c:spPr>
            <a:solidFill>
              <a:srgbClr val="FFE7A7"/>
            </a:solidFill>
            <a:ln>
              <a:noFill/>
            </a:ln>
            <a:effectLst/>
          </c:spPr>
          <c:invertIfNegative val="0"/>
          <c:dPt>
            <c:idx val="0"/>
            <c:invertIfNegative val="0"/>
            <c:bubble3D val="0"/>
            <c:extLst>
              <c:ext xmlns:c16="http://schemas.microsoft.com/office/drawing/2014/chart" uri="{C3380CC4-5D6E-409C-BE32-E72D297353CC}">
                <c16:uniqueId val="{000002A0-BFA0-494B-8C8A-5AA147911084}"/>
              </c:ext>
            </c:extLst>
          </c:dPt>
          <c:dPt>
            <c:idx val="1"/>
            <c:invertIfNegative val="0"/>
            <c:bubble3D val="0"/>
            <c:extLst>
              <c:ext xmlns:c16="http://schemas.microsoft.com/office/drawing/2014/chart" uri="{C3380CC4-5D6E-409C-BE32-E72D297353CC}">
                <c16:uniqueId val="{000002A2-BFA0-494B-8C8A-5AA147911084}"/>
              </c:ext>
            </c:extLst>
          </c:dPt>
          <c:dPt>
            <c:idx val="2"/>
            <c:invertIfNegative val="0"/>
            <c:bubble3D val="0"/>
            <c:extLst>
              <c:ext xmlns:c16="http://schemas.microsoft.com/office/drawing/2014/chart" uri="{C3380CC4-5D6E-409C-BE32-E72D297353CC}">
                <c16:uniqueId val="{000002A4-BFA0-494B-8C8A-5AA147911084}"/>
              </c:ext>
            </c:extLst>
          </c:dPt>
          <c:dPt>
            <c:idx val="3"/>
            <c:invertIfNegative val="0"/>
            <c:bubble3D val="0"/>
            <c:extLst>
              <c:ext xmlns:c16="http://schemas.microsoft.com/office/drawing/2014/chart" uri="{C3380CC4-5D6E-409C-BE32-E72D297353CC}">
                <c16:uniqueId val="{000002A6-BFA0-494B-8C8A-5AA147911084}"/>
              </c:ext>
            </c:extLst>
          </c:dPt>
          <c:dPt>
            <c:idx val="4"/>
            <c:invertIfNegative val="0"/>
            <c:bubble3D val="0"/>
            <c:extLst>
              <c:ext xmlns:c16="http://schemas.microsoft.com/office/drawing/2014/chart" uri="{C3380CC4-5D6E-409C-BE32-E72D297353CC}">
                <c16:uniqueId val="{000002A8-BFA0-494B-8C8A-5AA147911084}"/>
              </c:ext>
            </c:extLst>
          </c:dPt>
          <c:dPt>
            <c:idx val="5"/>
            <c:invertIfNegative val="0"/>
            <c:bubble3D val="0"/>
            <c:extLst>
              <c:ext xmlns:c16="http://schemas.microsoft.com/office/drawing/2014/chart" uri="{C3380CC4-5D6E-409C-BE32-E72D297353CC}">
                <c16:uniqueId val="{000002AA-BFA0-494B-8C8A-5AA147911084}"/>
              </c:ext>
            </c:extLst>
          </c:dPt>
          <c:dPt>
            <c:idx val="6"/>
            <c:invertIfNegative val="0"/>
            <c:bubble3D val="0"/>
            <c:extLst>
              <c:ext xmlns:c16="http://schemas.microsoft.com/office/drawing/2014/chart" uri="{C3380CC4-5D6E-409C-BE32-E72D297353CC}">
                <c16:uniqueId val="{000002AC-BFA0-494B-8C8A-5AA147911084}"/>
              </c:ext>
            </c:extLst>
          </c:dPt>
          <c:dPt>
            <c:idx val="7"/>
            <c:invertIfNegative val="0"/>
            <c:bubble3D val="0"/>
            <c:extLst>
              <c:ext xmlns:c16="http://schemas.microsoft.com/office/drawing/2014/chart" uri="{C3380CC4-5D6E-409C-BE32-E72D297353CC}">
                <c16:uniqueId val="{000002AE-BFA0-494B-8C8A-5AA147911084}"/>
              </c:ext>
            </c:extLst>
          </c:dPt>
          <c:dPt>
            <c:idx val="8"/>
            <c:invertIfNegative val="0"/>
            <c:bubble3D val="0"/>
            <c:extLst>
              <c:ext xmlns:c16="http://schemas.microsoft.com/office/drawing/2014/chart" uri="{C3380CC4-5D6E-409C-BE32-E72D297353CC}">
                <c16:uniqueId val="{000002B0-BFA0-494B-8C8A-5AA147911084}"/>
              </c:ext>
            </c:extLst>
          </c:dPt>
          <c:dPt>
            <c:idx val="9"/>
            <c:invertIfNegative val="0"/>
            <c:bubble3D val="0"/>
            <c:extLst>
              <c:ext xmlns:c16="http://schemas.microsoft.com/office/drawing/2014/chart" uri="{C3380CC4-5D6E-409C-BE32-E72D297353CC}">
                <c16:uniqueId val="{000002B2-BFA0-494B-8C8A-5AA147911084}"/>
              </c:ext>
            </c:extLst>
          </c:dPt>
          <c:dPt>
            <c:idx val="10"/>
            <c:invertIfNegative val="0"/>
            <c:bubble3D val="0"/>
            <c:extLst>
              <c:ext xmlns:c16="http://schemas.microsoft.com/office/drawing/2014/chart" uri="{C3380CC4-5D6E-409C-BE32-E72D297353CC}">
                <c16:uniqueId val="{000002B4-BFA0-494B-8C8A-5AA147911084}"/>
              </c:ext>
            </c:extLst>
          </c:dPt>
          <c:dPt>
            <c:idx val="11"/>
            <c:invertIfNegative val="0"/>
            <c:bubble3D val="0"/>
            <c:extLst>
              <c:ext xmlns:c16="http://schemas.microsoft.com/office/drawing/2014/chart" uri="{C3380CC4-5D6E-409C-BE32-E72D297353CC}">
                <c16:uniqueId val="{000002B6-BFA0-494B-8C8A-5AA147911084}"/>
              </c:ext>
            </c:extLst>
          </c:dPt>
          <c:dPt>
            <c:idx val="12"/>
            <c:invertIfNegative val="0"/>
            <c:bubble3D val="0"/>
            <c:extLst>
              <c:ext xmlns:c16="http://schemas.microsoft.com/office/drawing/2014/chart" uri="{C3380CC4-5D6E-409C-BE32-E72D297353CC}">
                <c16:uniqueId val="{000002B8-BFA0-494B-8C8A-5AA147911084}"/>
              </c:ext>
            </c:extLst>
          </c:dPt>
          <c:dPt>
            <c:idx val="13"/>
            <c:invertIfNegative val="0"/>
            <c:bubble3D val="0"/>
            <c:extLst>
              <c:ext xmlns:c16="http://schemas.microsoft.com/office/drawing/2014/chart" uri="{C3380CC4-5D6E-409C-BE32-E72D297353CC}">
                <c16:uniqueId val="{000002BA-BFA0-494B-8C8A-5AA147911084}"/>
              </c:ext>
            </c:extLst>
          </c:dPt>
          <c:dPt>
            <c:idx val="14"/>
            <c:invertIfNegative val="0"/>
            <c:bubble3D val="0"/>
            <c:extLst>
              <c:ext xmlns:c16="http://schemas.microsoft.com/office/drawing/2014/chart" uri="{C3380CC4-5D6E-409C-BE32-E72D297353CC}">
                <c16:uniqueId val="{000002BC-BFA0-494B-8C8A-5AA147911084}"/>
              </c:ext>
            </c:extLst>
          </c:dPt>
          <c:dPt>
            <c:idx val="15"/>
            <c:invertIfNegative val="0"/>
            <c:bubble3D val="0"/>
            <c:extLst>
              <c:ext xmlns:c16="http://schemas.microsoft.com/office/drawing/2014/chart" uri="{C3380CC4-5D6E-409C-BE32-E72D297353CC}">
                <c16:uniqueId val="{000002BE-BFA0-494B-8C8A-5AA147911084}"/>
              </c:ext>
            </c:extLst>
          </c:dPt>
          <c:dPt>
            <c:idx val="16"/>
            <c:invertIfNegative val="0"/>
            <c:bubble3D val="0"/>
            <c:extLst>
              <c:ext xmlns:c16="http://schemas.microsoft.com/office/drawing/2014/chart" uri="{C3380CC4-5D6E-409C-BE32-E72D297353CC}">
                <c16:uniqueId val="{000002C0-BFA0-494B-8C8A-5AA147911084}"/>
              </c:ext>
            </c:extLst>
          </c:dPt>
          <c:dPt>
            <c:idx val="17"/>
            <c:invertIfNegative val="0"/>
            <c:bubble3D val="0"/>
            <c:extLst>
              <c:ext xmlns:c16="http://schemas.microsoft.com/office/drawing/2014/chart" uri="{C3380CC4-5D6E-409C-BE32-E72D297353CC}">
                <c16:uniqueId val="{000002C2-BFA0-494B-8C8A-5AA147911084}"/>
              </c:ext>
            </c:extLst>
          </c:dPt>
          <c:dPt>
            <c:idx val="18"/>
            <c:invertIfNegative val="0"/>
            <c:bubble3D val="0"/>
            <c:extLst>
              <c:ext xmlns:c16="http://schemas.microsoft.com/office/drawing/2014/chart" uri="{C3380CC4-5D6E-409C-BE32-E72D297353CC}">
                <c16:uniqueId val="{000002C4-BFA0-494B-8C8A-5AA147911084}"/>
              </c:ext>
            </c:extLst>
          </c:dPt>
          <c:dPt>
            <c:idx val="19"/>
            <c:invertIfNegative val="0"/>
            <c:bubble3D val="0"/>
            <c:extLst>
              <c:ext xmlns:c16="http://schemas.microsoft.com/office/drawing/2014/chart" uri="{C3380CC4-5D6E-409C-BE32-E72D297353CC}">
                <c16:uniqueId val="{000002C6-BFA0-494B-8C8A-5AA147911084}"/>
              </c:ext>
            </c:extLst>
          </c:dPt>
          <c:dPt>
            <c:idx val="20"/>
            <c:invertIfNegative val="0"/>
            <c:bubble3D val="0"/>
            <c:extLst>
              <c:ext xmlns:c16="http://schemas.microsoft.com/office/drawing/2014/chart" uri="{C3380CC4-5D6E-409C-BE32-E72D297353CC}">
                <c16:uniqueId val="{000002C8-BFA0-494B-8C8A-5AA147911084}"/>
              </c:ext>
            </c:extLst>
          </c:dPt>
          <c:dPt>
            <c:idx val="21"/>
            <c:invertIfNegative val="0"/>
            <c:bubble3D val="0"/>
            <c:extLst>
              <c:ext xmlns:c16="http://schemas.microsoft.com/office/drawing/2014/chart" uri="{C3380CC4-5D6E-409C-BE32-E72D297353CC}">
                <c16:uniqueId val="{000002CA-BFA0-494B-8C8A-5AA147911084}"/>
              </c:ext>
            </c:extLst>
          </c:dPt>
          <c:dPt>
            <c:idx val="22"/>
            <c:invertIfNegative val="0"/>
            <c:bubble3D val="0"/>
            <c:extLst>
              <c:ext xmlns:c16="http://schemas.microsoft.com/office/drawing/2014/chart" uri="{C3380CC4-5D6E-409C-BE32-E72D297353CC}">
                <c16:uniqueId val="{000002CC-BFA0-494B-8C8A-5AA147911084}"/>
              </c:ext>
            </c:extLst>
          </c:dPt>
          <c:dPt>
            <c:idx val="23"/>
            <c:invertIfNegative val="0"/>
            <c:bubble3D val="0"/>
            <c:extLst>
              <c:ext xmlns:c16="http://schemas.microsoft.com/office/drawing/2014/chart" uri="{C3380CC4-5D6E-409C-BE32-E72D297353CC}">
                <c16:uniqueId val="{000002CE-BFA0-494B-8C8A-5AA147911084}"/>
              </c:ext>
            </c:extLst>
          </c:dPt>
          <c:dPt>
            <c:idx val="24"/>
            <c:invertIfNegative val="0"/>
            <c:bubble3D val="0"/>
            <c:extLst>
              <c:ext xmlns:c16="http://schemas.microsoft.com/office/drawing/2014/chart" uri="{C3380CC4-5D6E-409C-BE32-E72D297353CC}">
                <c16:uniqueId val="{000002D0-BFA0-494B-8C8A-5AA14791108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Data'!$C$13:$X$13</c:f>
              <c:numCache>
                <c:formatCode>#,##0_ ;\-#,##0\ </c:formatCode>
                <c:ptCount val="22"/>
                <c:pt idx="0">
                  <c:v>7324</c:v>
                </c:pt>
                <c:pt idx="1">
                  <c:v>8264</c:v>
                </c:pt>
                <c:pt idx="2">
                  <c:v>9186</c:v>
                </c:pt>
                <c:pt idx="3">
                  <c:v>10082</c:v>
                </c:pt>
                <c:pt idx="4">
                  <c:v>10958</c:v>
                </c:pt>
                <c:pt idx="5">
                  <c:v>11817</c:v>
                </c:pt>
                <c:pt idx="6">
                  <c:v>12651</c:v>
                </c:pt>
                <c:pt idx="7">
                  <c:v>13459</c:v>
                </c:pt>
                <c:pt idx="8">
                  <c:v>14248</c:v>
                </c:pt>
                <c:pt idx="9">
                  <c:v>15010</c:v>
                </c:pt>
                <c:pt idx="10">
                  <c:v>15739</c:v>
                </c:pt>
                <c:pt idx="11">
                  <c:v>16439</c:v>
                </c:pt>
                <c:pt idx="12">
                  <c:v>17092</c:v>
                </c:pt>
                <c:pt idx="13">
                  <c:v>17701</c:v>
                </c:pt>
                <c:pt idx="14">
                  <c:v>18245</c:v>
                </c:pt>
                <c:pt idx="15">
                  <c:v>18744</c:v>
                </c:pt>
                <c:pt idx="16">
                  <c:v>19214</c:v>
                </c:pt>
                <c:pt idx="17">
                  <c:v>19655</c:v>
                </c:pt>
                <c:pt idx="18">
                  <c:v>20058</c:v>
                </c:pt>
                <c:pt idx="19">
                  <c:v>20386</c:v>
                </c:pt>
                <c:pt idx="20">
                  <c:v>20724</c:v>
                </c:pt>
                <c:pt idx="21">
                  <c:v>21018</c:v>
                </c:pt>
              </c:numCache>
            </c:numRef>
          </c:val>
          <c:extLst>
            <c:ext xmlns:c16="http://schemas.microsoft.com/office/drawing/2014/chart" uri="{C3380CC4-5D6E-409C-BE32-E72D297353CC}">
              <c16:uniqueId val="{000002D1-BFA0-494B-8C8A-5AA147911084}"/>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9636411161955318"/>
              <c:y val="0.80159096108997518"/>
            </c:manualLayout>
          </c:layout>
          <c:overlay val="0"/>
          <c:spPr>
            <a:noFill/>
            <a:ln>
              <a:noFill/>
            </a:ln>
            <a:effectLst/>
          </c:sp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Installed capacity (MW)</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0.11879026354856696"/>
          <c:y val="0.85445706781823372"/>
          <c:w val="0.81068934425818839"/>
          <c:h val="0.12773471268354208"/>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082001628509222"/>
          <c:y val="3.2567640214531464E-2"/>
          <c:w val="0.83509542536485004"/>
          <c:h val="0.60776182214664809"/>
        </c:manualLayout>
      </c:layout>
      <c:barChart>
        <c:barDir val="col"/>
        <c:grouping val="stacked"/>
        <c:varyColors val="0"/>
        <c:ser>
          <c:idx val="0"/>
          <c:order val="0"/>
          <c:tx>
            <c:strRef>
              <c:f>'NEMEnergyGenerated Data'!$B$3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1F5-884B-4709-A2BC-7AD3DD2A1E6E}"/>
              </c:ext>
            </c:extLst>
          </c:dPt>
          <c:dPt>
            <c:idx val="1"/>
            <c:invertIfNegative val="0"/>
            <c:bubble3D val="0"/>
            <c:extLst>
              <c:ext xmlns:c16="http://schemas.microsoft.com/office/drawing/2014/chart" uri="{C3380CC4-5D6E-409C-BE32-E72D297353CC}">
                <c16:uniqueId val="{000001F6-884B-4709-A2BC-7AD3DD2A1E6E}"/>
              </c:ext>
            </c:extLst>
          </c:dPt>
          <c:dPt>
            <c:idx val="2"/>
            <c:invertIfNegative val="0"/>
            <c:bubble3D val="0"/>
            <c:extLst>
              <c:ext xmlns:c16="http://schemas.microsoft.com/office/drawing/2014/chart" uri="{C3380CC4-5D6E-409C-BE32-E72D297353CC}">
                <c16:uniqueId val="{000001F7-884B-4709-A2BC-7AD3DD2A1E6E}"/>
              </c:ext>
            </c:extLst>
          </c:dPt>
          <c:dPt>
            <c:idx val="3"/>
            <c:invertIfNegative val="0"/>
            <c:bubble3D val="0"/>
            <c:extLst>
              <c:ext xmlns:c16="http://schemas.microsoft.com/office/drawing/2014/chart" uri="{C3380CC4-5D6E-409C-BE32-E72D297353CC}">
                <c16:uniqueId val="{000001F8-884B-4709-A2BC-7AD3DD2A1E6E}"/>
              </c:ext>
            </c:extLst>
          </c:dPt>
          <c:dPt>
            <c:idx val="4"/>
            <c:invertIfNegative val="0"/>
            <c:bubble3D val="0"/>
            <c:extLst>
              <c:ext xmlns:c16="http://schemas.microsoft.com/office/drawing/2014/chart" uri="{C3380CC4-5D6E-409C-BE32-E72D297353CC}">
                <c16:uniqueId val="{000001F9-884B-4709-A2BC-7AD3DD2A1E6E}"/>
              </c:ext>
            </c:extLst>
          </c:dPt>
          <c:dPt>
            <c:idx val="5"/>
            <c:invertIfNegative val="0"/>
            <c:bubble3D val="0"/>
            <c:extLst>
              <c:ext xmlns:c16="http://schemas.microsoft.com/office/drawing/2014/chart" uri="{C3380CC4-5D6E-409C-BE32-E72D297353CC}">
                <c16:uniqueId val="{000001FA-884B-4709-A2BC-7AD3DD2A1E6E}"/>
              </c:ext>
            </c:extLst>
          </c:dPt>
          <c:dPt>
            <c:idx val="6"/>
            <c:invertIfNegative val="0"/>
            <c:bubble3D val="0"/>
            <c:extLst>
              <c:ext xmlns:c16="http://schemas.microsoft.com/office/drawing/2014/chart" uri="{C3380CC4-5D6E-409C-BE32-E72D297353CC}">
                <c16:uniqueId val="{000001FB-884B-4709-A2BC-7AD3DD2A1E6E}"/>
              </c:ext>
            </c:extLst>
          </c:dPt>
          <c:dPt>
            <c:idx val="7"/>
            <c:invertIfNegative val="0"/>
            <c:bubble3D val="0"/>
            <c:extLst>
              <c:ext xmlns:c16="http://schemas.microsoft.com/office/drawing/2014/chart" uri="{C3380CC4-5D6E-409C-BE32-E72D297353CC}">
                <c16:uniqueId val="{000001FC-884B-4709-A2BC-7AD3DD2A1E6E}"/>
              </c:ext>
            </c:extLst>
          </c:dPt>
          <c:dPt>
            <c:idx val="8"/>
            <c:invertIfNegative val="0"/>
            <c:bubble3D val="0"/>
            <c:extLst>
              <c:ext xmlns:c16="http://schemas.microsoft.com/office/drawing/2014/chart" uri="{C3380CC4-5D6E-409C-BE32-E72D297353CC}">
                <c16:uniqueId val="{000001FD-884B-4709-A2BC-7AD3DD2A1E6E}"/>
              </c:ext>
            </c:extLst>
          </c:dPt>
          <c:dPt>
            <c:idx val="9"/>
            <c:invertIfNegative val="0"/>
            <c:bubble3D val="0"/>
            <c:extLst>
              <c:ext xmlns:c16="http://schemas.microsoft.com/office/drawing/2014/chart" uri="{C3380CC4-5D6E-409C-BE32-E72D297353CC}">
                <c16:uniqueId val="{000001FE-884B-4709-A2BC-7AD3DD2A1E6E}"/>
              </c:ext>
            </c:extLst>
          </c:dPt>
          <c:dPt>
            <c:idx val="10"/>
            <c:invertIfNegative val="0"/>
            <c:bubble3D val="0"/>
            <c:extLst>
              <c:ext xmlns:c16="http://schemas.microsoft.com/office/drawing/2014/chart" uri="{C3380CC4-5D6E-409C-BE32-E72D297353CC}">
                <c16:uniqueId val="{000001FF-884B-4709-A2BC-7AD3DD2A1E6E}"/>
              </c:ext>
            </c:extLst>
          </c:dPt>
          <c:dPt>
            <c:idx val="11"/>
            <c:invertIfNegative val="0"/>
            <c:bubble3D val="0"/>
            <c:extLst>
              <c:ext xmlns:c16="http://schemas.microsoft.com/office/drawing/2014/chart" uri="{C3380CC4-5D6E-409C-BE32-E72D297353CC}">
                <c16:uniqueId val="{00000200-884B-4709-A2BC-7AD3DD2A1E6E}"/>
              </c:ext>
            </c:extLst>
          </c:dPt>
          <c:dPt>
            <c:idx val="12"/>
            <c:invertIfNegative val="0"/>
            <c:bubble3D val="0"/>
            <c:extLst>
              <c:ext xmlns:c16="http://schemas.microsoft.com/office/drawing/2014/chart" uri="{C3380CC4-5D6E-409C-BE32-E72D297353CC}">
                <c16:uniqueId val="{00000201-884B-4709-A2BC-7AD3DD2A1E6E}"/>
              </c:ext>
            </c:extLst>
          </c:dPt>
          <c:dPt>
            <c:idx val="13"/>
            <c:invertIfNegative val="0"/>
            <c:bubble3D val="0"/>
            <c:extLst>
              <c:ext xmlns:c16="http://schemas.microsoft.com/office/drawing/2014/chart" uri="{C3380CC4-5D6E-409C-BE32-E72D297353CC}">
                <c16:uniqueId val="{00000202-884B-4709-A2BC-7AD3DD2A1E6E}"/>
              </c:ext>
            </c:extLst>
          </c:dPt>
          <c:dPt>
            <c:idx val="14"/>
            <c:invertIfNegative val="0"/>
            <c:bubble3D val="0"/>
            <c:extLst>
              <c:ext xmlns:c16="http://schemas.microsoft.com/office/drawing/2014/chart" uri="{C3380CC4-5D6E-409C-BE32-E72D297353CC}">
                <c16:uniqueId val="{00000203-884B-4709-A2BC-7AD3DD2A1E6E}"/>
              </c:ext>
            </c:extLst>
          </c:dPt>
          <c:dPt>
            <c:idx val="15"/>
            <c:invertIfNegative val="0"/>
            <c:bubble3D val="0"/>
            <c:extLst>
              <c:ext xmlns:c16="http://schemas.microsoft.com/office/drawing/2014/chart" uri="{C3380CC4-5D6E-409C-BE32-E72D297353CC}">
                <c16:uniqueId val="{00000204-884B-4709-A2BC-7AD3DD2A1E6E}"/>
              </c:ext>
            </c:extLst>
          </c:dPt>
          <c:dPt>
            <c:idx val="16"/>
            <c:invertIfNegative val="0"/>
            <c:bubble3D val="0"/>
            <c:extLst>
              <c:ext xmlns:c16="http://schemas.microsoft.com/office/drawing/2014/chart" uri="{C3380CC4-5D6E-409C-BE32-E72D297353CC}">
                <c16:uniqueId val="{00000205-884B-4709-A2BC-7AD3DD2A1E6E}"/>
              </c:ext>
            </c:extLst>
          </c:dPt>
          <c:dPt>
            <c:idx val="17"/>
            <c:invertIfNegative val="0"/>
            <c:bubble3D val="0"/>
            <c:extLst>
              <c:ext xmlns:c16="http://schemas.microsoft.com/office/drawing/2014/chart" uri="{C3380CC4-5D6E-409C-BE32-E72D297353CC}">
                <c16:uniqueId val="{00000206-884B-4709-A2BC-7AD3DD2A1E6E}"/>
              </c:ext>
            </c:extLst>
          </c:dPt>
          <c:dPt>
            <c:idx val="18"/>
            <c:invertIfNegative val="0"/>
            <c:bubble3D val="0"/>
            <c:extLst>
              <c:ext xmlns:c16="http://schemas.microsoft.com/office/drawing/2014/chart" uri="{C3380CC4-5D6E-409C-BE32-E72D297353CC}">
                <c16:uniqueId val="{00000207-884B-4709-A2BC-7AD3DD2A1E6E}"/>
              </c:ext>
            </c:extLst>
          </c:dPt>
          <c:dPt>
            <c:idx val="19"/>
            <c:invertIfNegative val="0"/>
            <c:bubble3D val="0"/>
            <c:extLst>
              <c:ext xmlns:c16="http://schemas.microsoft.com/office/drawing/2014/chart" uri="{C3380CC4-5D6E-409C-BE32-E72D297353CC}">
                <c16:uniqueId val="{00000208-884B-4709-A2BC-7AD3DD2A1E6E}"/>
              </c:ext>
            </c:extLst>
          </c:dPt>
          <c:dPt>
            <c:idx val="20"/>
            <c:invertIfNegative val="0"/>
            <c:bubble3D val="0"/>
            <c:extLst>
              <c:ext xmlns:c16="http://schemas.microsoft.com/office/drawing/2014/chart" uri="{C3380CC4-5D6E-409C-BE32-E72D297353CC}">
                <c16:uniqueId val="{00000209-884B-4709-A2BC-7AD3DD2A1E6E}"/>
              </c:ext>
            </c:extLst>
          </c:dPt>
          <c:dPt>
            <c:idx val="21"/>
            <c:invertIfNegative val="0"/>
            <c:bubble3D val="0"/>
            <c:extLst>
              <c:ext xmlns:c16="http://schemas.microsoft.com/office/drawing/2014/chart" uri="{C3380CC4-5D6E-409C-BE32-E72D297353CC}">
                <c16:uniqueId val="{0000020A-884B-4709-A2BC-7AD3DD2A1E6E}"/>
              </c:ext>
            </c:extLst>
          </c:dPt>
          <c:dPt>
            <c:idx val="22"/>
            <c:invertIfNegative val="0"/>
            <c:bubble3D val="0"/>
            <c:extLst>
              <c:ext xmlns:c16="http://schemas.microsoft.com/office/drawing/2014/chart" uri="{C3380CC4-5D6E-409C-BE32-E72D297353CC}">
                <c16:uniqueId val="{0000020B-884B-4709-A2BC-7AD3DD2A1E6E}"/>
              </c:ext>
            </c:extLst>
          </c:dPt>
          <c:dPt>
            <c:idx val="23"/>
            <c:invertIfNegative val="0"/>
            <c:bubble3D val="0"/>
            <c:extLst>
              <c:ext xmlns:c16="http://schemas.microsoft.com/office/drawing/2014/chart" uri="{C3380CC4-5D6E-409C-BE32-E72D297353CC}">
                <c16:uniqueId val="{0000020C-884B-4709-A2BC-7AD3DD2A1E6E}"/>
              </c:ext>
            </c:extLst>
          </c:dPt>
          <c:dPt>
            <c:idx val="24"/>
            <c:invertIfNegative val="0"/>
            <c:bubble3D val="0"/>
            <c:extLst>
              <c:ext xmlns:c16="http://schemas.microsoft.com/office/drawing/2014/chart" uri="{C3380CC4-5D6E-409C-BE32-E72D297353CC}">
                <c16:uniqueId val="{0000020D-884B-4709-A2BC-7AD3DD2A1E6E}"/>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Data'!$C$3:$X$3</c:f>
              <c:numCache>
                <c:formatCode>#,##0_ ;\-#,##0\ </c:formatCode>
                <c:ptCount val="22"/>
                <c:pt idx="0">
                  <c:v>105738.38944472403</c:v>
                </c:pt>
                <c:pt idx="1">
                  <c:v>101611.75272675593</c:v>
                </c:pt>
                <c:pt idx="2">
                  <c:v>98983.908562801196</c:v>
                </c:pt>
                <c:pt idx="3">
                  <c:v>101540.15604110336</c:v>
                </c:pt>
                <c:pt idx="4">
                  <c:v>96177.429835056275</c:v>
                </c:pt>
                <c:pt idx="5">
                  <c:v>94936.204978096881</c:v>
                </c:pt>
                <c:pt idx="6">
                  <c:v>94710.411584562302</c:v>
                </c:pt>
                <c:pt idx="7">
                  <c:v>91801.820983754602</c:v>
                </c:pt>
                <c:pt idx="8">
                  <c:v>91031.321412592559</c:v>
                </c:pt>
                <c:pt idx="9">
                  <c:v>88375.841418387863</c:v>
                </c:pt>
                <c:pt idx="10">
                  <c:v>84948.455070455297</c:v>
                </c:pt>
                <c:pt idx="11">
                  <c:v>77059.528082719291</c:v>
                </c:pt>
                <c:pt idx="12">
                  <c:v>76785.842988192526</c:v>
                </c:pt>
                <c:pt idx="13">
                  <c:v>74109.629880960085</c:v>
                </c:pt>
                <c:pt idx="14">
                  <c:v>73146.720900723682</c:v>
                </c:pt>
                <c:pt idx="15">
                  <c:v>70467.983648463938</c:v>
                </c:pt>
                <c:pt idx="16">
                  <c:v>60603.635529453648</c:v>
                </c:pt>
                <c:pt idx="17">
                  <c:v>46164.65083713382</c:v>
                </c:pt>
                <c:pt idx="18">
                  <c:v>36497.005086834542</c:v>
                </c:pt>
                <c:pt idx="19">
                  <c:v>34159.2608368902</c:v>
                </c:pt>
                <c:pt idx="20">
                  <c:v>34324.871871044561</c:v>
                </c:pt>
                <c:pt idx="21">
                  <c:v>34375.81173369474</c:v>
                </c:pt>
              </c:numCache>
            </c:numRef>
          </c:val>
          <c:extLst>
            <c:ext xmlns:c16="http://schemas.microsoft.com/office/drawing/2014/chart" uri="{C3380CC4-5D6E-409C-BE32-E72D297353CC}">
              <c16:uniqueId val="{0000020E-884B-4709-A2BC-7AD3DD2A1E6E}"/>
            </c:ext>
          </c:extLst>
        </c:ser>
        <c:ser>
          <c:idx val="1"/>
          <c:order val="1"/>
          <c:tx>
            <c:strRef>
              <c:f>'NEMEnergyGenerated Data'!$B$4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210-884B-4709-A2BC-7AD3DD2A1E6E}"/>
              </c:ext>
            </c:extLst>
          </c:dPt>
          <c:dPt>
            <c:idx val="1"/>
            <c:invertIfNegative val="0"/>
            <c:bubble3D val="0"/>
            <c:extLst>
              <c:ext xmlns:c16="http://schemas.microsoft.com/office/drawing/2014/chart" uri="{C3380CC4-5D6E-409C-BE32-E72D297353CC}">
                <c16:uniqueId val="{00000211-884B-4709-A2BC-7AD3DD2A1E6E}"/>
              </c:ext>
            </c:extLst>
          </c:dPt>
          <c:dPt>
            <c:idx val="2"/>
            <c:invertIfNegative val="0"/>
            <c:bubble3D val="0"/>
            <c:extLst>
              <c:ext xmlns:c16="http://schemas.microsoft.com/office/drawing/2014/chart" uri="{C3380CC4-5D6E-409C-BE32-E72D297353CC}">
                <c16:uniqueId val="{00000212-884B-4709-A2BC-7AD3DD2A1E6E}"/>
              </c:ext>
            </c:extLst>
          </c:dPt>
          <c:dPt>
            <c:idx val="3"/>
            <c:invertIfNegative val="0"/>
            <c:bubble3D val="0"/>
            <c:extLst>
              <c:ext xmlns:c16="http://schemas.microsoft.com/office/drawing/2014/chart" uri="{C3380CC4-5D6E-409C-BE32-E72D297353CC}">
                <c16:uniqueId val="{00000213-884B-4709-A2BC-7AD3DD2A1E6E}"/>
              </c:ext>
            </c:extLst>
          </c:dPt>
          <c:dPt>
            <c:idx val="4"/>
            <c:invertIfNegative val="0"/>
            <c:bubble3D val="0"/>
            <c:extLst>
              <c:ext xmlns:c16="http://schemas.microsoft.com/office/drawing/2014/chart" uri="{C3380CC4-5D6E-409C-BE32-E72D297353CC}">
                <c16:uniqueId val="{00000214-884B-4709-A2BC-7AD3DD2A1E6E}"/>
              </c:ext>
            </c:extLst>
          </c:dPt>
          <c:dPt>
            <c:idx val="5"/>
            <c:invertIfNegative val="0"/>
            <c:bubble3D val="0"/>
            <c:extLst>
              <c:ext xmlns:c16="http://schemas.microsoft.com/office/drawing/2014/chart" uri="{C3380CC4-5D6E-409C-BE32-E72D297353CC}">
                <c16:uniqueId val="{00000215-884B-4709-A2BC-7AD3DD2A1E6E}"/>
              </c:ext>
            </c:extLst>
          </c:dPt>
          <c:dPt>
            <c:idx val="6"/>
            <c:invertIfNegative val="0"/>
            <c:bubble3D val="0"/>
            <c:extLst>
              <c:ext xmlns:c16="http://schemas.microsoft.com/office/drawing/2014/chart" uri="{C3380CC4-5D6E-409C-BE32-E72D297353CC}">
                <c16:uniqueId val="{00000216-884B-4709-A2BC-7AD3DD2A1E6E}"/>
              </c:ext>
            </c:extLst>
          </c:dPt>
          <c:dPt>
            <c:idx val="7"/>
            <c:invertIfNegative val="0"/>
            <c:bubble3D val="0"/>
            <c:extLst>
              <c:ext xmlns:c16="http://schemas.microsoft.com/office/drawing/2014/chart" uri="{C3380CC4-5D6E-409C-BE32-E72D297353CC}">
                <c16:uniqueId val="{00000217-884B-4709-A2BC-7AD3DD2A1E6E}"/>
              </c:ext>
            </c:extLst>
          </c:dPt>
          <c:dPt>
            <c:idx val="8"/>
            <c:invertIfNegative val="0"/>
            <c:bubble3D val="0"/>
            <c:extLst>
              <c:ext xmlns:c16="http://schemas.microsoft.com/office/drawing/2014/chart" uri="{C3380CC4-5D6E-409C-BE32-E72D297353CC}">
                <c16:uniqueId val="{00000218-884B-4709-A2BC-7AD3DD2A1E6E}"/>
              </c:ext>
            </c:extLst>
          </c:dPt>
          <c:dPt>
            <c:idx val="9"/>
            <c:invertIfNegative val="0"/>
            <c:bubble3D val="0"/>
            <c:extLst>
              <c:ext xmlns:c16="http://schemas.microsoft.com/office/drawing/2014/chart" uri="{C3380CC4-5D6E-409C-BE32-E72D297353CC}">
                <c16:uniqueId val="{00000219-884B-4709-A2BC-7AD3DD2A1E6E}"/>
              </c:ext>
            </c:extLst>
          </c:dPt>
          <c:dPt>
            <c:idx val="10"/>
            <c:invertIfNegative val="0"/>
            <c:bubble3D val="0"/>
            <c:extLst>
              <c:ext xmlns:c16="http://schemas.microsoft.com/office/drawing/2014/chart" uri="{C3380CC4-5D6E-409C-BE32-E72D297353CC}">
                <c16:uniqueId val="{0000021A-884B-4709-A2BC-7AD3DD2A1E6E}"/>
              </c:ext>
            </c:extLst>
          </c:dPt>
          <c:dPt>
            <c:idx val="11"/>
            <c:invertIfNegative val="0"/>
            <c:bubble3D val="0"/>
            <c:extLst>
              <c:ext xmlns:c16="http://schemas.microsoft.com/office/drawing/2014/chart" uri="{C3380CC4-5D6E-409C-BE32-E72D297353CC}">
                <c16:uniqueId val="{0000021B-884B-4709-A2BC-7AD3DD2A1E6E}"/>
              </c:ext>
            </c:extLst>
          </c:dPt>
          <c:dPt>
            <c:idx val="12"/>
            <c:invertIfNegative val="0"/>
            <c:bubble3D val="0"/>
            <c:extLst>
              <c:ext xmlns:c16="http://schemas.microsoft.com/office/drawing/2014/chart" uri="{C3380CC4-5D6E-409C-BE32-E72D297353CC}">
                <c16:uniqueId val="{0000021C-884B-4709-A2BC-7AD3DD2A1E6E}"/>
              </c:ext>
            </c:extLst>
          </c:dPt>
          <c:dPt>
            <c:idx val="13"/>
            <c:invertIfNegative val="0"/>
            <c:bubble3D val="0"/>
            <c:extLst>
              <c:ext xmlns:c16="http://schemas.microsoft.com/office/drawing/2014/chart" uri="{C3380CC4-5D6E-409C-BE32-E72D297353CC}">
                <c16:uniqueId val="{0000021D-884B-4709-A2BC-7AD3DD2A1E6E}"/>
              </c:ext>
            </c:extLst>
          </c:dPt>
          <c:dPt>
            <c:idx val="14"/>
            <c:invertIfNegative val="0"/>
            <c:bubble3D val="0"/>
            <c:extLst>
              <c:ext xmlns:c16="http://schemas.microsoft.com/office/drawing/2014/chart" uri="{C3380CC4-5D6E-409C-BE32-E72D297353CC}">
                <c16:uniqueId val="{0000021E-884B-4709-A2BC-7AD3DD2A1E6E}"/>
              </c:ext>
            </c:extLst>
          </c:dPt>
          <c:dPt>
            <c:idx val="15"/>
            <c:invertIfNegative val="0"/>
            <c:bubble3D val="0"/>
            <c:extLst>
              <c:ext xmlns:c16="http://schemas.microsoft.com/office/drawing/2014/chart" uri="{C3380CC4-5D6E-409C-BE32-E72D297353CC}">
                <c16:uniqueId val="{0000021F-884B-4709-A2BC-7AD3DD2A1E6E}"/>
              </c:ext>
            </c:extLst>
          </c:dPt>
          <c:dPt>
            <c:idx val="16"/>
            <c:invertIfNegative val="0"/>
            <c:bubble3D val="0"/>
            <c:extLst>
              <c:ext xmlns:c16="http://schemas.microsoft.com/office/drawing/2014/chart" uri="{C3380CC4-5D6E-409C-BE32-E72D297353CC}">
                <c16:uniqueId val="{00000220-884B-4709-A2BC-7AD3DD2A1E6E}"/>
              </c:ext>
            </c:extLst>
          </c:dPt>
          <c:dPt>
            <c:idx val="17"/>
            <c:invertIfNegative val="0"/>
            <c:bubble3D val="0"/>
            <c:extLst>
              <c:ext xmlns:c16="http://schemas.microsoft.com/office/drawing/2014/chart" uri="{C3380CC4-5D6E-409C-BE32-E72D297353CC}">
                <c16:uniqueId val="{00000221-884B-4709-A2BC-7AD3DD2A1E6E}"/>
              </c:ext>
            </c:extLst>
          </c:dPt>
          <c:dPt>
            <c:idx val="18"/>
            <c:invertIfNegative val="0"/>
            <c:bubble3D val="0"/>
            <c:extLst>
              <c:ext xmlns:c16="http://schemas.microsoft.com/office/drawing/2014/chart" uri="{C3380CC4-5D6E-409C-BE32-E72D297353CC}">
                <c16:uniqueId val="{00000222-884B-4709-A2BC-7AD3DD2A1E6E}"/>
              </c:ext>
            </c:extLst>
          </c:dPt>
          <c:dPt>
            <c:idx val="19"/>
            <c:invertIfNegative val="0"/>
            <c:bubble3D val="0"/>
            <c:extLst>
              <c:ext xmlns:c16="http://schemas.microsoft.com/office/drawing/2014/chart" uri="{C3380CC4-5D6E-409C-BE32-E72D297353CC}">
                <c16:uniqueId val="{00000223-884B-4709-A2BC-7AD3DD2A1E6E}"/>
              </c:ext>
            </c:extLst>
          </c:dPt>
          <c:dPt>
            <c:idx val="20"/>
            <c:invertIfNegative val="0"/>
            <c:bubble3D val="0"/>
            <c:extLst>
              <c:ext xmlns:c16="http://schemas.microsoft.com/office/drawing/2014/chart" uri="{C3380CC4-5D6E-409C-BE32-E72D297353CC}">
                <c16:uniqueId val="{00000224-884B-4709-A2BC-7AD3DD2A1E6E}"/>
              </c:ext>
            </c:extLst>
          </c:dPt>
          <c:dPt>
            <c:idx val="21"/>
            <c:invertIfNegative val="0"/>
            <c:bubble3D val="0"/>
            <c:extLst>
              <c:ext xmlns:c16="http://schemas.microsoft.com/office/drawing/2014/chart" uri="{C3380CC4-5D6E-409C-BE32-E72D297353CC}">
                <c16:uniqueId val="{00000225-884B-4709-A2BC-7AD3DD2A1E6E}"/>
              </c:ext>
            </c:extLst>
          </c:dPt>
          <c:dPt>
            <c:idx val="22"/>
            <c:invertIfNegative val="0"/>
            <c:bubble3D val="0"/>
            <c:extLst>
              <c:ext xmlns:c16="http://schemas.microsoft.com/office/drawing/2014/chart" uri="{C3380CC4-5D6E-409C-BE32-E72D297353CC}">
                <c16:uniqueId val="{00000226-884B-4709-A2BC-7AD3DD2A1E6E}"/>
              </c:ext>
            </c:extLst>
          </c:dPt>
          <c:dPt>
            <c:idx val="23"/>
            <c:invertIfNegative val="0"/>
            <c:bubble3D val="0"/>
            <c:extLst>
              <c:ext xmlns:c16="http://schemas.microsoft.com/office/drawing/2014/chart" uri="{C3380CC4-5D6E-409C-BE32-E72D297353CC}">
                <c16:uniqueId val="{00000227-884B-4709-A2BC-7AD3DD2A1E6E}"/>
              </c:ext>
            </c:extLst>
          </c:dPt>
          <c:dPt>
            <c:idx val="24"/>
            <c:invertIfNegative val="0"/>
            <c:bubble3D val="0"/>
            <c:extLst>
              <c:ext xmlns:c16="http://schemas.microsoft.com/office/drawing/2014/chart" uri="{C3380CC4-5D6E-409C-BE32-E72D297353CC}">
                <c16:uniqueId val="{00000228-884B-4709-A2BC-7AD3DD2A1E6E}"/>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Data'!$C$4:$X$4</c:f>
              <c:numCache>
                <c:formatCode>#,##0_ ;\-#,##0\ </c:formatCode>
                <c:ptCount val="22"/>
                <c:pt idx="0">
                  <c:v>32184.499307837919</c:v>
                </c:pt>
                <c:pt idx="1">
                  <c:v>32195.312432196897</c:v>
                </c:pt>
                <c:pt idx="2">
                  <c:v>32260.471748695039</c:v>
                </c:pt>
                <c:pt idx="3">
                  <c:v>32543.419389839517</c:v>
                </c:pt>
                <c:pt idx="4">
                  <c:v>30095.133473787915</c:v>
                </c:pt>
                <c:pt idx="5">
                  <c:v>29985.812608765729</c:v>
                </c:pt>
                <c:pt idx="6">
                  <c:v>32552.121793967948</c:v>
                </c:pt>
                <c:pt idx="7">
                  <c:v>32532.838987534131</c:v>
                </c:pt>
                <c:pt idx="8">
                  <c:v>28786.054501286693</c:v>
                </c:pt>
                <c:pt idx="9">
                  <c:v>32564.19156855801</c:v>
                </c:pt>
                <c:pt idx="10">
                  <c:v>28821.622973900412</c:v>
                </c:pt>
                <c:pt idx="11">
                  <c:v>28700.709472782539</c:v>
                </c:pt>
                <c:pt idx="12">
                  <c:v>32148.113119162943</c:v>
                </c:pt>
                <c:pt idx="13">
                  <c:v>32201.764155513691</c:v>
                </c:pt>
                <c:pt idx="14">
                  <c:v>22359.669706297682</c:v>
                </c:pt>
                <c:pt idx="15">
                  <c:v>22333.254269409041</c:v>
                </c:pt>
                <c:pt idx="16">
                  <c:v>22140.758527194517</c:v>
                </c:pt>
                <c:pt idx="17">
                  <c:v>22057.17885778605</c:v>
                </c:pt>
                <c:pt idx="18">
                  <c:v>18294.98135154961</c:v>
                </c:pt>
                <c:pt idx="19">
                  <c:v>21956.130087324429</c:v>
                </c:pt>
                <c:pt idx="20">
                  <c:v>18327.560539817092</c:v>
                </c:pt>
                <c:pt idx="21">
                  <c:v>18296.666723879531</c:v>
                </c:pt>
              </c:numCache>
            </c:numRef>
          </c:val>
          <c:extLst>
            <c:ext xmlns:c16="http://schemas.microsoft.com/office/drawing/2014/chart" uri="{C3380CC4-5D6E-409C-BE32-E72D297353CC}">
              <c16:uniqueId val="{00000229-884B-4709-A2BC-7AD3DD2A1E6E}"/>
            </c:ext>
          </c:extLst>
        </c:ser>
        <c:ser>
          <c:idx val="2"/>
          <c:order val="2"/>
          <c:tx>
            <c:strRef>
              <c:f>'NEMEnergyGenerated Data'!$B$5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22B-884B-4709-A2BC-7AD3DD2A1E6E}"/>
              </c:ext>
            </c:extLst>
          </c:dPt>
          <c:dPt>
            <c:idx val="1"/>
            <c:invertIfNegative val="0"/>
            <c:bubble3D val="0"/>
            <c:extLst>
              <c:ext xmlns:c16="http://schemas.microsoft.com/office/drawing/2014/chart" uri="{C3380CC4-5D6E-409C-BE32-E72D297353CC}">
                <c16:uniqueId val="{0000022C-884B-4709-A2BC-7AD3DD2A1E6E}"/>
              </c:ext>
            </c:extLst>
          </c:dPt>
          <c:dPt>
            <c:idx val="2"/>
            <c:invertIfNegative val="0"/>
            <c:bubble3D val="0"/>
            <c:extLst>
              <c:ext xmlns:c16="http://schemas.microsoft.com/office/drawing/2014/chart" uri="{C3380CC4-5D6E-409C-BE32-E72D297353CC}">
                <c16:uniqueId val="{0000022D-884B-4709-A2BC-7AD3DD2A1E6E}"/>
              </c:ext>
            </c:extLst>
          </c:dPt>
          <c:dPt>
            <c:idx val="3"/>
            <c:invertIfNegative val="0"/>
            <c:bubble3D val="0"/>
            <c:extLst>
              <c:ext xmlns:c16="http://schemas.microsoft.com/office/drawing/2014/chart" uri="{C3380CC4-5D6E-409C-BE32-E72D297353CC}">
                <c16:uniqueId val="{0000022E-884B-4709-A2BC-7AD3DD2A1E6E}"/>
              </c:ext>
            </c:extLst>
          </c:dPt>
          <c:dPt>
            <c:idx val="4"/>
            <c:invertIfNegative val="0"/>
            <c:bubble3D val="0"/>
            <c:extLst>
              <c:ext xmlns:c16="http://schemas.microsoft.com/office/drawing/2014/chart" uri="{C3380CC4-5D6E-409C-BE32-E72D297353CC}">
                <c16:uniqueId val="{0000022F-884B-4709-A2BC-7AD3DD2A1E6E}"/>
              </c:ext>
            </c:extLst>
          </c:dPt>
          <c:dPt>
            <c:idx val="5"/>
            <c:invertIfNegative val="0"/>
            <c:bubble3D val="0"/>
            <c:extLst>
              <c:ext xmlns:c16="http://schemas.microsoft.com/office/drawing/2014/chart" uri="{C3380CC4-5D6E-409C-BE32-E72D297353CC}">
                <c16:uniqueId val="{00000230-884B-4709-A2BC-7AD3DD2A1E6E}"/>
              </c:ext>
            </c:extLst>
          </c:dPt>
          <c:dPt>
            <c:idx val="6"/>
            <c:invertIfNegative val="0"/>
            <c:bubble3D val="0"/>
            <c:extLst>
              <c:ext xmlns:c16="http://schemas.microsoft.com/office/drawing/2014/chart" uri="{C3380CC4-5D6E-409C-BE32-E72D297353CC}">
                <c16:uniqueId val="{00000231-884B-4709-A2BC-7AD3DD2A1E6E}"/>
              </c:ext>
            </c:extLst>
          </c:dPt>
          <c:dPt>
            <c:idx val="7"/>
            <c:invertIfNegative val="0"/>
            <c:bubble3D val="0"/>
            <c:extLst>
              <c:ext xmlns:c16="http://schemas.microsoft.com/office/drawing/2014/chart" uri="{C3380CC4-5D6E-409C-BE32-E72D297353CC}">
                <c16:uniqueId val="{00000232-884B-4709-A2BC-7AD3DD2A1E6E}"/>
              </c:ext>
            </c:extLst>
          </c:dPt>
          <c:dPt>
            <c:idx val="8"/>
            <c:invertIfNegative val="0"/>
            <c:bubble3D val="0"/>
            <c:extLst>
              <c:ext xmlns:c16="http://schemas.microsoft.com/office/drawing/2014/chart" uri="{C3380CC4-5D6E-409C-BE32-E72D297353CC}">
                <c16:uniqueId val="{00000233-884B-4709-A2BC-7AD3DD2A1E6E}"/>
              </c:ext>
            </c:extLst>
          </c:dPt>
          <c:dPt>
            <c:idx val="9"/>
            <c:invertIfNegative val="0"/>
            <c:bubble3D val="0"/>
            <c:extLst>
              <c:ext xmlns:c16="http://schemas.microsoft.com/office/drawing/2014/chart" uri="{C3380CC4-5D6E-409C-BE32-E72D297353CC}">
                <c16:uniqueId val="{00000234-884B-4709-A2BC-7AD3DD2A1E6E}"/>
              </c:ext>
            </c:extLst>
          </c:dPt>
          <c:dPt>
            <c:idx val="10"/>
            <c:invertIfNegative val="0"/>
            <c:bubble3D val="0"/>
            <c:extLst>
              <c:ext xmlns:c16="http://schemas.microsoft.com/office/drawing/2014/chart" uri="{C3380CC4-5D6E-409C-BE32-E72D297353CC}">
                <c16:uniqueId val="{00000235-884B-4709-A2BC-7AD3DD2A1E6E}"/>
              </c:ext>
            </c:extLst>
          </c:dPt>
          <c:dPt>
            <c:idx val="11"/>
            <c:invertIfNegative val="0"/>
            <c:bubble3D val="0"/>
            <c:extLst>
              <c:ext xmlns:c16="http://schemas.microsoft.com/office/drawing/2014/chart" uri="{C3380CC4-5D6E-409C-BE32-E72D297353CC}">
                <c16:uniqueId val="{00000236-884B-4709-A2BC-7AD3DD2A1E6E}"/>
              </c:ext>
            </c:extLst>
          </c:dPt>
          <c:dPt>
            <c:idx val="12"/>
            <c:invertIfNegative val="0"/>
            <c:bubble3D val="0"/>
            <c:extLst>
              <c:ext xmlns:c16="http://schemas.microsoft.com/office/drawing/2014/chart" uri="{C3380CC4-5D6E-409C-BE32-E72D297353CC}">
                <c16:uniqueId val="{00000237-884B-4709-A2BC-7AD3DD2A1E6E}"/>
              </c:ext>
            </c:extLst>
          </c:dPt>
          <c:dPt>
            <c:idx val="13"/>
            <c:invertIfNegative val="0"/>
            <c:bubble3D val="0"/>
            <c:extLst>
              <c:ext xmlns:c16="http://schemas.microsoft.com/office/drawing/2014/chart" uri="{C3380CC4-5D6E-409C-BE32-E72D297353CC}">
                <c16:uniqueId val="{00000238-884B-4709-A2BC-7AD3DD2A1E6E}"/>
              </c:ext>
            </c:extLst>
          </c:dPt>
          <c:dPt>
            <c:idx val="14"/>
            <c:invertIfNegative val="0"/>
            <c:bubble3D val="0"/>
            <c:extLst>
              <c:ext xmlns:c16="http://schemas.microsoft.com/office/drawing/2014/chart" uri="{C3380CC4-5D6E-409C-BE32-E72D297353CC}">
                <c16:uniqueId val="{00000239-884B-4709-A2BC-7AD3DD2A1E6E}"/>
              </c:ext>
            </c:extLst>
          </c:dPt>
          <c:dPt>
            <c:idx val="15"/>
            <c:invertIfNegative val="0"/>
            <c:bubble3D val="0"/>
            <c:extLst>
              <c:ext xmlns:c16="http://schemas.microsoft.com/office/drawing/2014/chart" uri="{C3380CC4-5D6E-409C-BE32-E72D297353CC}">
                <c16:uniqueId val="{0000023A-884B-4709-A2BC-7AD3DD2A1E6E}"/>
              </c:ext>
            </c:extLst>
          </c:dPt>
          <c:dPt>
            <c:idx val="16"/>
            <c:invertIfNegative val="0"/>
            <c:bubble3D val="0"/>
            <c:extLst>
              <c:ext xmlns:c16="http://schemas.microsoft.com/office/drawing/2014/chart" uri="{C3380CC4-5D6E-409C-BE32-E72D297353CC}">
                <c16:uniqueId val="{0000023B-884B-4709-A2BC-7AD3DD2A1E6E}"/>
              </c:ext>
            </c:extLst>
          </c:dPt>
          <c:dPt>
            <c:idx val="17"/>
            <c:invertIfNegative val="0"/>
            <c:bubble3D val="0"/>
            <c:extLst>
              <c:ext xmlns:c16="http://schemas.microsoft.com/office/drawing/2014/chart" uri="{C3380CC4-5D6E-409C-BE32-E72D297353CC}">
                <c16:uniqueId val="{0000023C-884B-4709-A2BC-7AD3DD2A1E6E}"/>
              </c:ext>
            </c:extLst>
          </c:dPt>
          <c:dPt>
            <c:idx val="18"/>
            <c:invertIfNegative val="0"/>
            <c:bubble3D val="0"/>
            <c:extLst>
              <c:ext xmlns:c16="http://schemas.microsoft.com/office/drawing/2014/chart" uri="{C3380CC4-5D6E-409C-BE32-E72D297353CC}">
                <c16:uniqueId val="{0000023D-884B-4709-A2BC-7AD3DD2A1E6E}"/>
              </c:ext>
            </c:extLst>
          </c:dPt>
          <c:dPt>
            <c:idx val="19"/>
            <c:invertIfNegative val="0"/>
            <c:bubble3D val="0"/>
            <c:extLst>
              <c:ext xmlns:c16="http://schemas.microsoft.com/office/drawing/2014/chart" uri="{C3380CC4-5D6E-409C-BE32-E72D297353CC}">
                <c16:uniqueId val="{0000023E-884B-4709-A2BC-7AD3DD2A1E6E}"/>
              </c:ext>
            </c:extLst>
          </c:dPt>
          <c:dPt>
            <c:idx val="20"/>
            <c:invertIfNegative val="0"/>
            <c:bubble3D val="0"/>
            <c:extLst>
              <c:ext xmlns:c16="http://schemas.microsoft.com/office/drawing/2014/chart" uri="{C3380CC4-5D6E-409C-BE32-E72D297353CC}">
                <c16:uniqueId val="{0000023F-884B-4709-A2BC-7AD3DD2A1E6E}"/>
              </c:ext>
            </c:extLst>
          </c:dPt>
          <c:dPt>
            <c:idx val="21"/>
            <c:invertIfNegative val="0"/>
            <c:bubble3D val="0"/>
            <c:extLst>
              <c:ext xmlns:c16="http://schemas.microsoft.com/office/drawing/2014/chart" uri="{C3380CC4-5D6E-409C-BE32-E72D297353CC}">
                <c16:uniqueId val="{00000240-884B-4709-A2BC-7AD3DD2A1E6E}"/>
              </c:ext>
            </c:extLst>
          </c:dPt>
          <c:dPt>
            <c:idx val="22"/>
            <c:invertIfNegative val="0"/>
            <c:bubble3D val="0"/>
            <c:extLst>
              <c:ext xmlns:c16="http://schemas.microsoft.com/office/drawing/2014/chart" uri="{C3380CC4-5D6E-409C-BE32-E72D297353CC}">
                <c16:uniqueId val="{00000241-884B-4709-A2BC-7AD3DD2A1E6E}"/>
              </c:ext>
            </c:extLst>
          </c:dPt>
          <c:dPt>
            <c:idx val="23"/>
            <c:invertIfNegative val="0"/>
            <c:bubble3D val="0"/>
            <c:extLst>
              <c:ext xmlns:c16="http://schemas.microsoft.com/office/drawing/2014/chart" uri="{C3380CC4-5D6E-409C-BE32-E72D297353CC}">
                <c16:uniqueId val="{00000242-884B-4709-A2BC-7AD3DD2A1E6E}"/>
              </c:ext>
            </c:extLst>
          </c:dPt>
          <c:dPt>
            <c:idx val="24"/>
            <c:invertIfNegative val="0"/>
            <c:bubble3D val="0"/>
            <c:extLst>
              <c:ext xmlns:c16="http://schemas.microsoft.com/office/drawing/2014/chart" uri="{C3380CC4-5D6E-409C-BE32-E72D297353CC}">
                <c16:uniqueId val="{00000243-884B-4709-A2BC-7AD3DD2A1E6E}"/>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Data'!$C$5:$X$5</c:f>
              <c:numCache>
                <c:formatCode>#,##0_ ;\-#,##0\ </c:formatCode>
                <c:ptCount val="22"/>
                <c:pt idx="0">
                  <c:v>15797.150798449071</c:v>
                </c:pt>
                <c:pt idx="1">
                  <c:v>15840.430663650441</c:v>
                </c:pt>
                <c:pt idx="2">
                  <c:v>15797.150798448811</c:v>
                </c:pt>
                <c:pt idx="3">
                  <c:v>15797.150798448951</c:v>
                </c:pt>
                <c:pt idx="4">
                  <c:v>15797.150798448842</c:v>
                </c:pt>
                <c:pt idx="5">
                  <c:v>15840.430663650321</c:v>
                </c:pt>
                <c:pt idx="6">
                  <c:v>15729.268557402973</c:v>
                </c:pt>
                <c:pt idx="7">
                  <c:v>15797.150798448953</c:v>
                </c:pt>
                <c:pt idx="8">
                  <c:v>15797.150798449071</c:v>
                </c:pt>
                <c:pt idx="9">
                  <c:v>15840.430663650102</c:v>
                </c:pt>
                <c:pt idx="10">
                  <c:v>15797.150798449002</c:v>
                </c:pt>
                <c:pt idx="11">
                  <c:v>15797.150798448878</c:v>
                </c:pt>
                <c:pt idx="12">
                  <c:v>15797.150798449071</c:v>
                </c:pt>
                <c:pt idx="13">
                  <c:v>15840.430663650201</c:v>
                </c:pt>
                <c:pt idx="14">
                  <c:v>15797.15079844908</c:v>
                </c:pt>
                <c:pt idx="15">
                  <c:v>15797.150798448942</c:v>
                </c:pt>
                <c:pt idx="16">
                  <c:v>15797.150798448831</c:v>
                </c:pt>
                <c:pt idx="17">
                  <c:v>15840.430663650219</c:v>
                </c:pt>
                <c:pt idx="18">
                  <c:v>15797.150798448929</c:v>
                </c:pt>
                <c:pt idx="19">
                  <c:v>15797.150798449031</c:v>
                </c:pt>
                <c:pt idx="20">
                  <c:v>15797.150798448962</c:v>
                </c:pt>
                <c:pt idx="21">
                  <c:v>15840.43066365017</c:v>
                </c:pt>
              </c:numCache>
            </c:numRef>
          </c:val>
          <c:extLst>
            <c:ext xmlns:c16="http://schemas.microsoft.com/office/drawing/2014/chart" uri="{C3380CC4-5D6E-409C-BE32-E72D297353CC}">
              <c16:uniqueId val="{00000244-884B-4709-A2BC-7AD3DD2A1E6E}"/>
            </c:ext>
          </c:extLst>
        </c:ser>
        <c:ser>
          <c:idx val="3"/>
          <c:order val="3"/>
          <c:tx>
            <c:strRef>
              <c:f>'NEMEnergyGenerated Data'!$B$6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246-884B-4709-A2BC-7AD3DD2A1E6E}"/>
              </c:ext>
            </c:extLst>
          </c:dPt>
          <c:dPt>
            <c:idx val="1"/>
            <c:invertIfNegative val="0"/>
            <c:bubble3D val="0"/>
            <c:extLst>
              <c:ext xmlns:c16="http://schemas.microsoft.com/office/drawing/2014/chart" uri="{C3380CC4-5D6E-409C-BE32-E72D297353CC}">
                <c16:uniqueId val="{00000247-884B-4709-A2BC-7AD3DD2A1E6E}"/>
              </c:ext>
            </c:extLst>
          </c:dPt>
          <c:dPt>
            <c:idx val="2"/>
            <c:invertIfNegative val="0"/>
            <c:bubble3D val="0"/>
            <c:extLst>
              <c:ext xmlns:c16="http://schemas.microsoft.com/office/drawing/2014/chart" uri="{C3380CC4-5D6E-409C-BE32-E72D297353CC}">
                <c16:uniqueId val="{00000248-884B-4709-A2BC-7AD3DD2A1E6E}"/>
              </c:ext>
            </c:extLst>
          </c:dPt>
          <c:dPt>
            <c:idx val="3"/>
            <c:invertIfNegative val="0"/>
            <c:bubble3D val="0"/>
            <c:extLst>
              <c:ext xmlns:c16="http://schemas.microsoft.com/office/drawing/2014/chart" uri="{C3380CC4-5D6E-409C-BE32-E72D297353CC}">
                <c16:uniqueId val="{00000249-884B-4709-A2BC-7AD3DD2A1E6E}"/>
              </c:ext>
            </c:extLst>
          </c:dPt>
          <c:dPt>
            <c:idx val="4"/>
            <c:invertIfNegative val="0"/>
            <c:bubble3D val="0"/>
            <c:extLst>
              <c:ext xmlns:c16="http://schemas.microsoft.com/office/drawing/2014/chart" uri="{C3380CC4-5D6E-409C-BE32-E72D297353CC}">
                <c16:uniqueId val="{0000024A-884B-4709-A2BC-7AD3DD2A1E6E}"/>
              </c:ext>
            </c:extLst>
          </c:dPt>
          <c:dPt>
            <c:idx val="5"/>
            <c:invertIfNegative val="0"/>
            <c:bubble3D val="0"/>
            <c:extLst>
              <c:ext xmlns:c16="http://schemas.microsoft.com/office/drawing/2014/chart" uri="{C3380CC4-5D6E-409C-BE32-E72D297353CC}">
                <c16:uniqueId val="{0000024B-884B-4709-A2BC-7AD3DD2A1E6E}"/>
              </c:ext>
            </c:extLst>
          </c:dPt>
          <c:dPt>
            <c:idx val="6"/>
            <c:invertIfNegative val="0"/>
            <c:bubble3D val="0"/>
            <c:extLst>
              <c:ext xmlns:c16="http://schemas.microsoft.com/office/drawing/2014/chart" uri="{C3380CC4-5D6E-409C-BE32-E72D297353CC}">
                <c16:uniqueId val="{0000024C-884B-4709-A2BC-7AD3DD2A1E6E}"/>
              </c:ext>
            </c:extLst>
          </c:dPt>
          <c:dPt>
            <c:idx val="7"/>
            <c:invertIfNegative val="0"/>
            <c:bubble3D val="0"/>
            <c:extLst>
              <c:ext xmlns:c16="http://schemas.microsoft.com/office/drawing/2014/chart" uri="{C3380CC4-5D6E-409C-BE32-E72D297353CC}">
                <c16:uniqueId val="{0000024D-884B-4709-A2BC-7AD3DD2A1E6E}"/>
              </c:ext>
            </c:extLst>
          </c:dPt>
          <c:dPt>
            <c:idx val="8"/>
            <c:invertIfNegative val="0"/>
            <c:bubble3D val="0"/>
            <c:extLst>
              <c:ext xmlns:c16="http://schemas.microsoft.com/office/drawing/2014/chart" uri="{C3380CC4-5D6E-409C-BE32-E72D297353CC}">
                <c16:uniqueId val="{0000024E-884B-4709-A2BC-7AD3DD2A1E6E}"/>
              </c:ext>
            </c:extLst>
          </c:dPt>
          <c:dPt>
            <c:idx val="9"/>
            <c:invertIfNegative val="0"/>
            <c:bubble3D val="0"/>
            <c:extLst>
              <c:ext xmlns:c16="http://schemas.microsoft.com/office/drawing/2014/chart" uri="{C3380CC4-5D6E-409C-BE32-E72D297353CC}">
                <c16:uniqueId val="{0000024F-884B-4709-A2BC-7AD3DD2A1E6E}"/>
              </c:ext>
            </c:extLst>
          </c:dPt>
          <c:dPt>
            <c:idx val="10"/>
            <c:invertIfNegative val="0"/>
            <c:bubble3D val="0"/>
            <c:extLst>
              <c:ext xmlns:c16="http://schemas.microsoft.com/office/drawing/2014/chart" uri="{C3380CC4-5D6E-409C-BE32-E72D297353CC}">
                <c16:uniqueId val="{00000250-884B-4709-A2BC-7AD3DD2A1E6E}"/>
              </c:ext>
            </c:extLst>
          </c:dPt>
          <c:dPt>
            <c:idx val="11"/>
            <c:invertIfNegative val="0"/>
            <c:bubble3D val="0"/>
            <c:extLst>
              <c:ext xmlns:c16="http://schemas.microsoft.com/office/drawing/2014/chart" uri="{C3380CC4-5D6E-409C-BE32-E72D297353CC}">
                <c16:uniqueId val="{00000251-884B-4709-A2BC-7AD3DD2A1E6E}"/>
              </c:ext>
            </c:extLst>
          </c:dPt>
          <c:dPt>
            <c:idx val="12"/>
            <c:invertIfNegative val="0"/>
            <c:bubble3D val="0"/>
            <c:extLst>
              <c:ext xmlns:c16="http://schemas.microsoft.com/office/drawing/2014/chart" uri="{C3380CC4-5D6E-409C-BE32-E72D297353CC}">
                <c16:uniqueId val="{00000252-884B-4709-A2BC-7AD3DD2A1E6E}"/>
              </c:ext>
            </c:extLst>
          </c:dPt>
          <c:dPt>
            <c:idx val="13"/>
            <c:invertIfNegative val="0"/>
            <c:bubble3D val="0"/>
            <c:extLst>
              <c:ext xmlns:c16="http://schemas.microsoft.com/office/drawing/2014/chart" uri="{C3380CC4-5D6E-409C-BE32-E72D297353CC}">
                <c16:uniqueId val="{00000253-884B-4709-A2BC-7AD3DD2A1E6E}"/>
              </c:ext>
            </c:extLst>
          </c:dPt>
          <c:dPt>
            <c:idx val="14"/>
            <c:invertIfNegative val="0"/>
            <c:bubble3D val="0"/>
            <c:extLst>
              <c:ext xmlns:c16="http://schemas.microsoft.com/office/drawing/2014/chart" uri="{C3380CC4-5D6E-409C-BE32-E72D297353CC}">
                <c16:uniqueId val="{00000254-884B-4709-A2BC-7AD3DD2A1E6E}"/>
              </c:ext>
            </c:extLst>
          </c:dPt>
          <c:dPt>
            <c:idx val="15"/>
            <c:invertIfNegative val="0"/>
            <c:bubble3D val="0"/>
            <c:extLst>
              <c:ext xmlns:c16="http://schemas.microsoft.com/office/drawing/2014/chart" uri="{C3380CC4-5D6E-409C-BE32-E72D297353CC}">
                <c16:uniqueId val="{00000255-884B-4709-A2BC-7AD3DD2A1E6E}"/>
              </c:ext>
            </c:extLst>
          </c:dPt>
          <c:dPt>
            <c:idx val="16"/>
            <c:invertIfNegative val="0"/>
            <c:bubble3D val="0"/>
            <c:extLst>
              <c:ext xmlns:c16="http://schemas.microsoft.com/office/drawing/2014/chart" uri="{C3380CC4-5D6E-409C-BE32-E72D297353CC}">
                <c16:uniqueId val="{00000256-884B-4709-A2BC-7AD3DD2A1E6E}"/>
              </c:ext>
            </c:extLst>
          </c:dPt>
          <c:dPt>
            <c:idx val="17"/>
            <c:invertIfNegative val="0"/>
            <c:bubble3D val="0"/>
            <c:extLst>
              <c:ext xmlns:c16="http://schemas.microsoft.com/office/drawing/2014/chart" uri="{C3380CC4-5D6E-409C-BE32-E72D297353CC}">
                <c16:uniqueId val="{00000257-884B-4709-A2BC-7AD3DD2A1E6E}"/>
              </c:ext>
            </c:extLst>
          </c:dPt>
          <c:dPt>
            <c:idx val="18"/>
            <c:invertIfNegative val="0"/>
            <c:bubble3D val="0"/>
            <c:extLst>
              <c:ext xmlns:c16="http://schemas.microsoft.com/office/drawing/2014/chart" uri="{C3380CC4-5D6E-409C-BE32-E72D297353CC}">
                <c16:uniqueId val="{00000258-884B-4709-A2BC-7AD3DD2A1E6E}"/>
              </c:ext>
            </c:extLst>
          </c:dPt>
          <c:dPt>
            <c:idx val="19"/>
            <c:invertIfNegative val="0"/>
            <c:bubble3D val="0"/>
            <c:extLst>
              <c:ext xmlns:c16="http://schemas.microsoft.com/office/drawing/2014/chart" uri="{C3380CC4-5D6E-409C-BE32-E72D297353CC}">
                <c16:uniqueId val="{00000259-884B-4709-A2BC-7AD3DD2A1E6E}"/>
              </c:ext>
            </c:extLst>
          </c:dPt>
          <c:dPt>
            <c:idx val="20"/>
            <c:invertIfNegative val="0"/>
            <c:bubble3D val="0"/>
            <c:extLst>
              <c:ext xmlns:c16="http://schemas.microsoft.com/office/drawing/2014/chart" uri="{C3380CC4-5D6E-409C-BE32-E72D297353CC}">
                <c16:uniqueId val="{0000025A-884B-4709-A2BC-7AD3DD2A1E6E}"/>
              </c:ext>
            </c:extLst>
          </c:dPt>
          <c:dPt>
            <c:idx val="21"/>
            <c:invertIfNegative val="0"/>
            <c:bubble3D val="0"/>
            <c:extLst>
              <c:ext xmlns:c16="http://schemas.microsoft.com/office/drawing/2014/chart" uri="{C3380CC4-5D6E-409C-BE32-E72D297353CC}">
                <c16:uniqueId val="{0000025B-884B-4709-A2BC-7AD3DD2A1E6E}"/>
              </c:ext>
            </c:extLst>
          </c:dPt>
          <c:dPt>
            <c:idx val="22"/>
            <c:invertIfNegative val="0"/>
            <c:bubble3D val="0"/>
            <c:extLst>
              <c:ext xmlns:c16="http://schemas.microsoft.com/office/drawing/2014/chart" uri="{C3380CC4-5D6E-409C-BE32-E72D297353CC}">
                <c16:uniqueId val="{0000025C-884B-4709-A2BC-7AD3DD2A1E6E}"/>
              </c:ext>
            </c:extLst>
          </c:dPt>
          <c:dPt>
            <c:idx val="23"/>
            <c:invertIfNegative val="0"/>
            <c:bubble3D val="0"/>
            <c:extLst>
              <c:ext xmlns:c16="http://schemas.microsoft.com/office/drawing/2014/chart" uri="{C3380CC4-5D6E-409C-BE32-E72D297353CC}">
                <c16:uniqueId val="{0000025D-884B-4709-A2BC-7AD3DD2A1E6E}"/>
              </c:ext>
            </c:extLst>
          </c:dPt>
          <c:dPt>
            <c:idx val="24"/>
            <c:invertIfNegative val="0"/>
            <c:bubble3D val="0"/>
            <c:extLst>
              <c:ext xmlns:c16="http://schemas.microsoft.com/office/drawing/2014/chart" uri="{C3380CC4-5D6E-409C-BE32-E72D297353CC}">
                <c16:uniqueId val="{0000025E-884B-4709-A2BC-7AD3DD2A1E6E}"/>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Data'!$C$6:$X$6</c:f>
              <c:numCache>
                <c:formatCode>#,##0_ ;\-#,##0\ </c:formatCode>
                <c:ptCount val="22"/>
                <c:pt idx="0">
                  <c:v>13814</c:v>
                </c:pt>
                <c:pt idx="1">
                  <c:v>11151</c:v>
                </c:pt>
                <c:pt idx="2">
                  <c:v>11040</c:v>
                </c:pt>
                <c:pt idx="3">
                  <c:v>6836</c:v>
                </c:pt>
                <c:pt idx="4">
                  <c:v>9514</c:v>
                </c:pt>
                <c:pt idx="5">
                  <c:v>8185</c:v>
                </c:pt>
                <c:pt idx="6">
                  <c:v>2500</c:v>
                </c:pt>
                <c:pt idx="7">
                  <c:v>3926</c:v>
                </c:pt>
                <c:pt idx="8">
                  <c:v>5320</c:v>
                </c:pt>
                <c:pt idx="9">
                  <c:v>2396</c:v>
                </c:pt>
                <c:pt idx="10">
                  <c:v>4388</c:v>
                </c:pt>
                <c:pt idx="11">
                  <c:v>7034</c:v>
                </c:pt>
                <c:pt idx="12">
                  <c:v>5063</c:v>
                </c:pt>
                <c:pt idx="13">
                  <c:v>7121</c:v>
                </c:pt>
                <c:pt idx="14">
                  <c:v>7149</c:v>
                </c:pt>
                <c:pt idx="15">
                  <c:v>7904</c:v>
                </c:pt>
                <c:pt idx="16">
                  <c:v>8641</c:v>
                </c:pt>
                <c:pt idx="17">
                  <c:v>8566</c:v>
                </c:pt>
                <c:pt idx="18">
                  <c:v>10041</c:v>
                </c:pt>
                <c:pt idx="19">
                  <c:v>9596</c:v>
                </c:pt>
                <c:pt idx="20">
                  <c:v>9661</c:v>
                </c:pt>
                <c:pt idx="21">
                  <c:v>9487</c:v>
                </c:pt>
              </c:numCache>
            </c:numRef>
          </c:val>
          <c:extLst>
            <c:ext xmlns:c16="http://schemas.microsoft.com/office/drawing/2014/chart" uri="{C3380CC4-5D6E-409C-BE32-E72D297353CC}">
              <c16:uniqueId val="{0000025F-884B-4709-A2BC-7AD3DD2A1E6E}"/>
            </c:ext>
          </c:extLst>
        </c:ser>
        <c:ser>
          <c:idx val="4"/>
          <c:order val="4"/>
          <c:tx>
            <c:strRef>
              <c:f>'NEMEnergyGenerated Data'!$B$7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261-884B-4709-A2BC-7AD3DD2A1E6E}"/>
              </c:ext>
            </c:extLst>
          </c:dPt>
          <c:dPt>
            <c:idx val="1"/>
            <c:invertIfNegative val="0"/>
            <c:bubble3D val="0"/>
            <c:extLst>
              <c:ext xmlns:c16="http://schemas.microsoft.com/office/drawing/2014/chart" uri="{C3380CC4-5D6E-409C-BE32-E72D297353CC}">
                <c16:uniqueId val="{00000262-884B-4709-A2BC-7AD3DD2A1E6E}"/>
              </c:ext>
            </c:extLst>
          </c:dPt>
          <c:dPt>
            <c:idx val="2"/>
            <c:invertIfNegative val="0"/>
            <c:bubble3D val="0"/>
            <c:extLst>
              <c:ext xmlns:c16="http://schemas.microsoft.com/office/drawing/2014/chart" uri="{C3380CC4-5D6E-409C-BE32-E72D297353CC}">
                <c16:uniqueId val="{00000263-884B-4709-A2BC-7AD3DD2A1E6E}"/>
              </c:ext>
            </c:extLst>
          </c:dPt>
          <c:dPt>
            <c:idx val="3"/>
            <c:invertIfNegative val="0"/>
            <c:bubble3D val="0"/>
            <c:extLst>
              <c:ext xmlns:c16="http://schemas.microsoft.com/office/drawing/2014/chart" uri="{C3380CC4-5D6E-409C-BE32-E72D297353CC}">
                <c16:uniqueId val="{00000264-884B-4709-A2BC-7AD3DD2A1E6E}"/>
              </c:ext>
            </c:extLst>
          </c:dPt>
          <c:dPt>
            <c:idx val="4"/>
            <c:invertIfNegative val="0"/>
            <c:bubble3D val="0"/>
            <c:extLst>
              <c:ext xmlns:c16="http://schemas.microsoft.com/office/drawing/2014/chart" uri="{C3380CC4-5D6E-409C-BE32-E72D297353CC}">
                <c16:uniqueId val="{00000265-884B-4709-A2BC-7AD3DD2A1E6E}"/>
              </c:ext>
            </c:extLst>
          </c:dPt>
          <c:dPt>
            <c:idx val="5"/>
            <c:invertIfNegative val="0"/>
            <c:bubble3D val="0"/>
            <c:extLst>
              <c:ext xmlns:c16="http://schemas.microsoft.com/office/drawing/2014/chart" uri="{C3380CC4-5D6E-409C-BE32-E72D297353CC}">
                <c16:uniqueId val="{00000266-884B-4709-A2BC-7AD3DD2A1E6E}"/>
              </c:ext>
            </c:extLst>
          </c:dPt>
          <c:dPt>
            <c:idx val="6"/>
            <c:invertIfNegative val="0"/>
            <c:bubble3D val="0"/>
            <c:extLst>
              <c:ext xmlns:c16="http://schemas.microsoft.com/office/drawing/2014/chart" uri="{C3380CC4-5D6E-409C-BE32-E72D297353CC}">
                <c16:uniqueId val="{00000267-884B-4709-A2BC-7AD3DD2A1E6E}"/>
              </c:ext>
            </c:extLst>
          </c:dPt>
          <c:dPt>
            <c:idx val="7"/>
            <c:invertIfNegative val="0"/>
            <c:bubble3D val="0"/>
            <c:extLst>
              <c:ext xmlns:c16="http://schemas.microsoft.com/office/drawing/2014/chart" uri="{C3380CC4-5D6E-409C-BE32-E72D297353CC}">
                <c16:uniqueId val="{00000268-884B-4709-A2BC-7AD3DD2A1E6E}"/>
              </c:ext>
            </c:extLst>
          </c:dPt>
          <c:dPt>
            <c:idx val="8"/>
            <c:invertIfNegative val="0"/>
            <c:bubble3D val="0"/>
            <c:extLst>
              <c:ext xmlns:c16="http://schemas.microsoft.com/office/drawing/2014/chart" uri="{C3380CC4-5D6E-409C-BE32-E72D297353CC}">
                <c16:uniqueId val="{00000269-884B-4709-A2BC-7AD3DD2A1E6E}"/>
              </c:ext>
            </c:extLst>
          </c:dPt>
          <c:dPt>
            <c:idx val="9"/>
            <c:invertIfNegative val="0"/>
            <c:bubble3D val="0"/>
            <c:extLst>
              <c:ext xmlns:c16="http://schemas.microsoft.com/office/drawing/2014/chart" uri="{C3380CC4-5D6E-409C-BE32-E72D297353CC}">
                <c16:uniqueId val="{0000026A-884B-4709-A2BC-7AD3DD2A1E6E}"/>
              </c:ext>
            </c:extLst>
          </c:dPt>
          <c:dPt>
            <c:idx val="10"/>
            <c:invertIfNegative val="0"/>
            <c:bubble3D val="0"/>
            <c:extLst>
              <c:ext xmlns:c16="http://schemas.microsoft.com/office/drawing/2014/chart" uri="{C3380CC4-5D6E-409C-BE32-E72D297353CC}">
                <c16:uniqueId val="{0000026B-884B-4709-A2BC-7AD3DD2A1E6E}"/>
              </c:ext>
            </c:extLst>
          </c:dPt>
          <c:dPt>
            <c:idx val="11"/>
            <c:invertIfNegative val="0"/>
            <c:bubble3D val="0"/>
            <c:extLst>
              <c:ext xmlns:c16="http://schemas.microsoft.com/office/drawing/2014/chart" uri="{C3380CC4-5D6E-409C-BE32-E72D297353CC}">
                <c16:uniqueId val="{0000026C-884B-4709-A2BC-7AD3DD2A1E6E}"/>
              </c:ext>
            </c:extLst>
          </c:dPt>
          <c:dPt>
            <c:idx val="12"/>
            <c:invertIfNegative val="0"/>
            <c:bubble3D val="0"/>
            <c:extLst>
              <c:ext xmlns:c16="http://schemas.microsoft.com/office/drawing/2014/chart" uri="{C3380CC4-5D6E-409C-BE32-E72D297353CC}">
                <c16:uniqueId val="{0000026D-884B-4709-A2BC-7AD3DD2A1E6E}"/>
              </c:ext>
            </c:extLst>
          </c:dPt>
          <c:dPt>
            <c:idx val="13"/>
            <c:invertIfNegative val="0"/>
            <c:bubble3D val="0"/>
            <c:extLst>
              <c:ext xmlns:c16="http://schemas.microsoft.com/office/drawing/2014/chart" uri="{C3380CC4-5D6E-409C-BE32-E72D297353CC}">
                <c16:uniqueId val="{0000026E-884B-4709-A2BC-7AD3DD2A1E6E}"/>
              </c:ext>
            </c:extLst>
          </c:dPt>
          <c:dPt>
            <c:idx val="14"/>
            <c:invertIfNegative val="0"/>
            <c:bubble3D val="0"/>
            <c:extLst>
              <c:ext xmlns:c16="http://schemas.microsoft.com/office/drawing/2014/chart" uri="{C3380CC4-5D6E-409C-BE32-E72D297353CC}">
                <c16:uniqueId val="{0000026F-884B-4709-A2BC-7AD3DD2A1E6E}"/>
              </c:ext>
            </c:extLst>
          </c:dPt>
          <c:dPt>
            <c:idx val="15"/>
            <c:invertIfNegative val="0"/>
            <c:bubble3D val="0"/>
            <c:extLst>
              <c:ext xmlns:c16="http://schemas.microsoft.com/office/drawing/2014/chart" uri="{C3380CC4-5D6E-409C-BE32-E72D297353CC}">
                <c16:uniqueId val="{00000270-884B-4709-A2BC-7AD3DD2A1E6E}"/>
              </c:ext>
            </c:extLst>
          </c:dPt>
          <c:dPt>
            <c:idx val="16"/>
            <c:invertIfNegative val="0"/>
            <c:bubble3D val="0"/>
            <c:extLst>
              <c:ext xmlns:c16="http://schemas.microsoft.com/office/drawing/2014/chart" uri="{C3380CC4-5D6E-409C-BE32-E72D297353CC}">
                <c16:uniqueId val="{00000271-884B-4709-A2BC-7AD3DD2A1E6E}"/>
              </c:ext>
            </c:extLst>
          </c:dPt>
          <c:dPt>
            <c:idx val="17"/>
            <c:invertIfNegative val="0"/>
            <c:bubble3D val="0"/>
            <c:extLst>
              <c:ext xmlns:c16="http://schemas.microsoft.com/office/drawing/2014/chart" uri="{C3380CC4-5D6E-409C-BE32-E72D297353CC}">
                <c16:uniqueId val="{00000272-884B-4709-A2BC-7AD3DD2A1E6E}"/>
              </c:ext>
            </c:extLst>
          </c:dPt>
          <c:dPt>
            <c:idx val="18"/>
            <c:invertIfNegative val="0"/>
            <c:bubble3D val="0"/>
            <c:extLst>
              <c:ext xmlns:c16="http://schemas.microsoft.com/office/drawing/2014/chart" uri="{C3380CC4-5D6E-409C-BE32-E72D297353CC}">
                <c16:uniqueId val="{00000273-884B-4709-A2BC-7AD3DD2A1E6E}"/>
              </c:ext>
            </c:extLst>
          </c:dPt>
          <c:dPt>
            <c:idx val="19"/>
            <c:invertIfNegative val="0"/>
            <c:bubble3D val="0"/>
            <c:extLst>
              <c:ext xmlns:c16="http://schemas.microsoft.com/office/drawing/2014/chart" uri="{C3380CC4-5D6E-409C-BE32-E72D297353CC}">
                <c16:uniqueId val="{00000274-884B-4709-A2BC-7AD3DD2A1E6E}"/>
              </c:ext>
            </c:extLst>
          </c:dPt>
          <c:dPt>
            <c:idx val="20"/>
            <c:invertIfNegative val="0"/>
            <c:bubble3D val="0"/>
            <c:extLst>
              <c:ext xmlns:c16="http://schemas.microsoft.com/office/drawing/2014/chart" uri="{C3380CC4-5D6E-409C-BE32-E72D297353CC}">
                <c16:uniqueId val="{00000275-884B-4709-A2BC-7AD3DD2A1E6E}"/>
              </c:ext>
            </c:extLst>
          </c:dPt>
          <c:dPt>
            <c:idx val="21"/>
            <c:invertIfNegative val="0"/>
            <c:bubble3D val="0"/>
            <c:extLst>
              <c:ext xmlns:c16="http://schemas.microsoft.com/office/drawing/2014/chart" uri="{C3380CC4-5D6E-409C-BE32-E72D297353CC}">
                <c16:uniqueId val="{00000276-884B-4709-A2BC-7AD3DD2A1E6E}"/>
              </c:ext>
            </c:extLst>
          </c:dPt>
          <c:dPt>
            <c:idx val="22"/>
            <c:invertIfNegative val="0"/>
            <c:bubble3D val="0"/>
            <c:extLst>
              <c:ext xmlns:c16="http://schemas.microsoft.com/office/drawing/2014/chart" uri="{C3380CC4-5D6E-409C-BE32-E72D297353CC}">
                <c16:uniqueId val="{00000277-884B-4709-A2BC-7AD3DD2A1E6E}"/>
              </c:ext>
            </c:extLst>
          </c:dPt>
          <c:dPt>
            <c:idx val="23"/>
            <c:invertIfNegative val="0"/>
            <c:bubble3D val="0"/>
            <c:extLst>
              <c:ext xmlns:c16="http://schemas.microsoft.com/office/drawing/2014/chart" uri="{C3380CC4-5D6E-409C-BE32-E72D297353CC}">
                <c16:uniqueId val="{00000278-884B-4709-A2BC-7AD3DD2A1E6E}"/>
              </c:ext>
            </c:extLst>
          </c:dPt>
          <c:dPt>
            <c:idx val="24"/>
            <c:invertIfNegative val="0"/>
            <c:bubble3D val="0"/>
            <c:extLst>
              <c:ext xmlns:c16="http://schemas.microsoft.com/office/drawing/2014/chart" uri="{C3380CC4-5D6E-409C-BE32-E72D297353CC}">
                <c16:uniqueId val="{00000279-884B-4709-A2BC-7AD3DD2A1E6E}"/>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Data'!$C$7:$X$7</c:f>
              <c:numCache>
                <c:formatCode>#,##0_ ;\-#,##0\ </c:formatCode>
                <c:ptCount val="22"/>
                <c:pt idx="0">
                  <c:v>1540</c:v>
                </c:pt>
                <c:pt idx="1">
                  <c:v>550</c:v>
                </c:pt>
                <c:pt idx="2">
                  <c:v>481</c:v>
                </c:pt>
                <c:pt idx="3">
                  <c:v>158</c:v>
                </c:pt>
                <c:pt idx="4">
                  <c:v>374</c:v>
                </c:pt>
                <c:pt idx="5">
                  <c:v>307</c:v>
                </c:pt>
                <c:pt idx="6">
                  <c:v>134</c:v>
                </c:pt>
                <c:pt idx="7">
                  <c:v>184</c:v>
                </c:pt>
                <c:pt idx="8">
                  <c:v>281</c:v>
                </c:pt>
                <c:pt idx="9">
                  <c:v>131</c:v>
                </c:pt>
                <c:pt idx="10">
                  <c:v>223</c:v>
                </c:pt>
                <c:pt idx="11">
                  <c:v>733</c:v>
                </c:pt>
                <c:pt idx="12">
                  <c:v>348</c:v>
                </c:pt>
                <c:pt idx="13">
                  <c:v>712</c:v>
                </c:pt>
                <c:pt idx="14">
                  <c:v>1096</c:v>
                </c:pt>
                <c:pt idx="15">
                  <c:v>1521</c:v>
                </c:pt>
                <c:pt idx="16">
                  <c:v>1899</c:v>
                </c:pt>
                <c:pt idx="17">
                  <c:v>1950</c:v>
                </c:pt>
                <c:pt idx="18">
                  <c:v>2952</c:v>
                </c:pt>
                <c:pt idx="19">
                  <c:v>2474</c:v>
                </c:pt>
                <c:pt idx="20">
                  <c:v>3023</c:v>
                </c:pt>
                <c:pt idx="21">
                  <c:v>2730</c:v>
                </c:pt>
              </c:numCache>
            </c:numRef>
          </c:val>
          <c:extLst>
            <c:ext xmlns:c16="http://schemas.microsoft.com/office/drawing/2014/chart" uri="{C3380CC4-5D6E-409C-BE32-E72D297353CC}">
              <c16:uniqueId val="{0000027A-884B-4709-A2BC-7AD3DD2A1E6E}"/>
            </c:ext>
          </c:extLst>
        </c:ser>
        <c:ser>
          <c:idx val="5"/>
          <c:order val="5"/>
          <c:tx>
            <c:strRef>
              <c:f>'NEMEnergyGenerated Data'!$B$8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2E0-884B-4709-A2BC-7AD3DD2A1E6E}"/>
              </c:ext>
            </c:extLst>
          </c:dPt>
          <c:dPt>
            <c:idx val="1"/>
            <c:invertIfNegative val="0"/>
            <c:bubble3D val="0"/>
            <c:extLst>
              <c:ext xmlns:c16="http://schemas.microsoft.com/office/drawing/2014/chart" uri="{C3380CC4-5D6E-409C-BE32-E72D297353CC}">
                <c16:uniqueId val="{000002E1-884B-4709-A2BC-7AD3DD2A1E6E}"/>
              </c:ext>
            </c:extLst>
          </c:dPt>
          <c:dPt>
            <c:idx val="2"/>
            <c:invertIfNegative val="0"/>
            <c:bubble3D val="0"/>
            <c:extLst>
              <c:ext xmlns:c16="http://schemas.microsoft.com/office/drawing/2014/chart" uri="{C3380CC4-5D6E-409C-BE32-E72D297353CC}">
                <c16:uniqueId val="{000002E2-884B-4709-A2BC-7AD3DD2A1E6E}"/>
              </c:ext>
            </c:extLst>
          </c:dPt>
          <c:dPt>
            <c:idx val="3"/>
            <c:invertIfNegative val="0"/>
            <c:bubble3D val="0"/>
            <c:extLst>
              <c:ext xmlns:c16="http://schemas.microsoft.com/office/drawing/2014/chart" uri="{C3380CC4-5D6E-409C-BE32-E72D297353CC}">
                <c16:uniqueId val="{000002E3-884B-4709-A2BC-7AD3DD2A1E6E}"/>
              </c:ext>
            </c:extLst>
          </c:dPt>
          <c:dPt>
            <c:idx val="4"/>
            <c:invertIfNegative val="0"/>
            <c:bubble3D val="0"/>
            <c:extLst>
              <c:ext xmlns:c16="http://schemas.microsoft.com/office/drawing/2014/chart" uri="{C3380CC4-5D6E-409C-BE32-E72D297353CC}">
                <c16:uniqueId val="{000002E4-884B-4709-A2BC-7AD3DD2A1E6E}"/>
              </c:ext>
            </c:extLst>
          </c:dPt>
          <c:dPt>
            <c:idx val="5"/>
            <c:invertIfNegative val="0"/>
            <c:bubble3D val="0"/>
            <c:extLst>
              <c:ext xmlns:c16="http://schemas.microsoft.com/office/drawing/2014/chart" uri="{C3380CC4-5D6E-409C-BE32-E72D297353CC}">
                <c16:uniqueId val="{000002E5-884B-4709-A2BC-7AD3DD2A1E6E}"/>
              </c:ext>
            </c:extLst>
          </c:dPt>
          <c:dPt>
            <c:idx val="6"/>
            <c:invertIfNegative val="0"/>
            <c:bubble3D val="0"/>
            <c:extLst>
              <c:ext xmlns:c16="http://schemas.microsoft.com/office/drawing/2014/chart" uri="{C3380CC4-5D6E-409C-BE32-E72D297353CC}">
                <c16:uniqueId val="{000002E6-884B-4709-A2BC-7AD3DD2A1E6E}"/>
              </c:ext>
            </c:extLst>
          </c:dPt>
          <c:dPt>
            <c:idx val="7"/>
            <c:invertIfNegative val="0"/>
            <c:bubble3D val="0"/>
            <c:extLst>
              <c:ext xmlns:c16="http://schemas.microsoft.com/office/drawing/2014/chart" uri="{C3380CC4-5D6E-409C-BE32-E72D297353CC}">
                <c16:uniqueId val="{000002E7-884B-4709-A2BC-7AD3DD2A1E6E}"/>
              </c:ext>
            </c:extLst>
          </c:dPt>
          <c:dPt>
            <c:idx val="8"/>
            <c:invertIfNegative val="0"/>
            <c:bubble3D val="0"/>
            <c:extLst>
              <c:ext xmlns:c16="http://schemas.microsoft.com/office/drawing/2014/chart" uri="{C3380CC4-5D6E-409C-BE32-E72D297353CC}">
                <c16:uniqueId val="{000002E8-884B-4709-A2BC-7AD3DD2A1E6E}"/>
              </c:ext>
            </c:extLst>
          </c:dPt>
          <c:dPt>
            <c:idx val="9"/>
            <c:invertIfNegative val="0"/>
            <c:bubble3D val="0"/>
            <c:extLst>
              <c:ext xmlns:c16="http://schemas.microsoft.com/office/drawing/2014/chart" uri="{C3380CC4-5D6E-409C-BE32-E72D297353CC}">
                <c16:uniqueId val="{000002E9-884B-4709-A2BC-7AD3DD2A1E6E}"/>
              </c:ext>
            </c:extLst>
          </c:dPt>
          <c:dPt>
            <c:idx val="10"/>
            <c:invertIfNegative val="0"/>
            <c:bubble3D val="0"/>
            <c:extLst>
              <c:ext xmlns:c16="http://schemas.microsoft.com/office/drawing/2014/chart" uri="{C3380CC4-5D6E-409C-BE32-E72D297353CC}">
                <c16:uniqueId val="{000002EA-884B-4709-A2BC-7AD3DD2A1E6E}"/>
              </c:ext>
            </c:extLst>
          </c:dPt>
          <c:dPt>
            <c:idx val="11"/>
            <c:invertIfNegative val="0"/>
            <c:bubble3D val="0"/>
            <c:extLst>
              <c:ext xmlns:c16="http://schemas.microsoft.com/office/drawing/2014/chart" uri="{C3380CC4-5D6E-409C-BE32-E72D297353CC}">
                <c16:uniqueId val="{000002EB-884B-4709-A2BC-7AD3DD2A1E6E}"/>
              </c:ext>
            </c:extLst>
          </c:dPt>
          <c:dPt>
            <c:idx val="12"/>
            <c:invertIfNegative val="0"/>
            <c:bubble3D val="0"/>
            <c:extLst>
              <c:ext xmlns:c16="http://schemas.microsoft.com/office/drawing/2014/chart" uri="{C3380CC4-5D6E-409C-BE32-E72D297353CC}">
                <c16:uniqueId val="{000002EC-884B-4709-A2BC-7AD3DD2A1E6E}"/>
              </c:ext>
            </c:extLst>
          </c:dPt>
          <c:dPt>
            <c:idx val="13"/>
            <c:invertIfNegative val="0"/>
            <c:bubble3D val="0"/>
            <c:extLst>
              <c:ext xmlns:c16="http://schemas.microsoft.com/office/drawing/2014/chart" uri="{C3380CC4-5D6E-409C-BE32-E72D297353CC}">
                <c16:uniqueId val="{000002ED-884B-4709-A2BC-7AD3DD2A1E6E}"/>
              </c:ext>
            </c:extLst>
          </c:dPt>
          <c:dPt>
            <c:idx val="14"/>
            <c:invertIfNegative val="0"/>
            <c:bubble3D val="0"/>
            <c:extLst>
              <c:ext xmlns:c16="http://schemas.microsoft.com/office/drawing/2014/chart" uri="{C3380CC4-5D6E-409C-BE32-E72D297353CC}">
                <c16:uniqueId val="{000002EE-884B-4709-A2BC-7AD3DD2A1E6E}"/>
              </c:ext>
            </c:extLst>
          </c:dPt>
          <c:dPt>
            <c:idx val="15"/>
            <c:invertIfNegative val="0"/>
            <c:bubble3D val="0"/>
            <c:extLst>
              <c:ext xmlns:c16="http://schemas.microsoft.com/office/drawing/2014/chart" uri="{C3380CC4-5D6E-409C-BE32-E72D297353CC}">
                <c16:uniqueId val="{000002EF-884B-4709-A2BC-7AD3DD2A1E6E}"/>
              </c:ext>
            </c:extLst>
          </c:dPt>
          <c:dPt>
            <c:idx val="16"/>
            <c:invertIfNegative val="0"/>
            <c:bubble3D val="0"/>
            <c:extLst>
              <c:ext xmlns:c16="http://schemas.microsoft.com/office/drawing/2014/chart" uri="{C3380CC4-5D6E-409C-BE32-E72D297353CC}">
                <c16:uniqueId val="{000002F0-884B-4709-A2BC-7AD3DD2A1E6E}"/>
              </c:ext>
            </c:extLst>
          </c:dPt>
          <c:dPt>
            <c:idx val="17"/>
            <c:invertIfNegative val="0"/>
            <c:bubble3D val="0"/>
            <c:extLst>
              <c:ext xmlns:c16="http://schemas.microsoft.com/office/drawing/2014/chart" uri="{C3380CC4-5D6E-409C-BE32-E72D297353CC}">
                <c16:uniqueId val="{000002F1-884B-4709-A2BC-7AD3DD2A1E6E}"/>
              </c:ext>
            </c:extLst>
          </c:dPt>
          <c:dPt>
            <c:idx val="18"/>
            <c:invertIfNegative val="0"/>
            <c:bubble3D val="0"/>
            <c:extLst>
              <c:ext xmlns:c16="http://schemas.microsoft.com/office/drawing/2014/chart" uri="{C3380CC4-5D6E-409C-BE32-E72D297353CC}">
                <c16:uniqueId val="{000002F2-884B-4709-A2BC-7AD3DD2A1E6E}"/>
              </c:ext>
            </c:extLst>
          </c:dPt>
          <c:dPt>
            <c:idx val="19"/>
            <c:invertIfNegative val="0"/>
            <c:bubble3D val="0"/>
            <c:extLst>
              <c:ext xmlns:c16="http://schemas.microsoft.com/office/drawing/2014/chart" uri="{C3380CC4-5D6E-409C-BE32-E72D297353CC}">
                <c16:uniqueId val="{000002F3-884B-4709-A2BC-7AD3DD2A1E6E}"/>
              </c:ext>
            </c:extLst>
          </c:dPt>
          <c:dPt>
            <c:idx val="20"/>
            <c:invertIfNegative val="0"/>
            <c:bubble3D val="0"/>
            <c:extLst>
              <c:ext xmlns:c16="http://schemas.microsoft.com/office/drawing/2014/chart" uri="{C3380CC4-5D6E-409C-BE32-E72D297353CC}">
                <c16:uniqueId val="{000002F4-884B-4709-A2BC-7AD3DD2A1E6E}"/>
              </c:ext>
            </c:extLst>
          </c:dPt>
          <c:dPt>
            <c:idx val="21"/>
            <c:invertIfNegative val="0"/>
            <c:bubble3D val="0"/>
            <c:extLst>
              <c:ext xmlns:c16="http://schemas.microsoft.com/office/drawing/2014/chart" uri="{C3380CC4-5D6E-409C-BE32-E72D297353CC}">
                <c16:uniqueId val="{000002F5-884B-4709-A2BC-7AD3DD2A1E6E}"/>
              </c:ext>
            </c:extLst>
          </c:dPt>
          <c:dPt>
            <c:idx val="22"/>
            <c:invertIfNegative val="0"/>
            <c:bubble3D val="0"/>
            <c:extLst>
              <c:ext xmlns:c16="http://schemas.microsoft.com/office/drawing/2014/chart" uri="{C3380CC4-5D6E-409C-BE32-E72D297353CC}">
                <c16:uniqueId val="{000002F6-884B-4709-A2BC-7AD3DD2A1E6E}"/>
              </c:ext>
            </c:extLst>
          </c:dPt>
          <c:dPt>
            <c:idx val="23"/>
            <c:invertIfNegative val="0"/>
            <c:bubble3D val="0"/>
            <c:extLst>
              <c:ext xmlns:c16="http://schemas.microsoft.com/office/drawing/2014/chart" uri="{C3380CC4-5D6E-409C-BE32-E72D297353CC}">
                <c16:uniqueId val="{000002F7-884B-4709-A2BC-7AD3DD2A1E6E}"/>
              </c:ext>
            </c:extLst>
          </c:dPt>
          <c:dPt>
            <c:idx val="24"/>
            <c:invertIfNegative val="0"/>
            <c:bubble3D val="0"/>
            <c:extLst>
              <c:ext xmlns:c16="http://schemas.microsoft.com/office/drawing/2014/chart" uri="{C3380CC4-5D6E-409C-BE32-E72D297353CC}">
                <c16:uniqueId val="{000002F8-884B-4709-A2BC-7AD3DD2A1E6E}"/>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Data'!$C$8:$X$8</c:f>
              <c:numCache>
                <c:formatCode>#,##0_ ;\-#,##0\ </c:formatCode>
                <c:ptCount val="22"/>
                <c:pt idx="0">
                  <c:v>18209.462649832865</c:v>
                </c:pt>
                <c:pt idx="1">
                  <c:v>24360.333479954519</c:v>
                </c:pt>
                <c:pt idx="2">
                  <c:v>26242.128582003214</c:v>
                </c:pt>
                <c:pt idx="3">
                  <c:v>27350.138523132035</c:v>
                </c:pt>
                <c:pt idx="4">
                  <c:v>28867.335136364734</c:v>
                </c:pt>
                <c:pt idx="5">
                  <c:v>30805.985829146008</c:v>
                </c:pt>
                <c:pt idx="6">
                  <c:v>32733.840562223457</c:v>
                </c:pt>
                <c:pt idx="7">
                  <c:v>32680.206745328942</c:v>
                </c:pt>
                <c:pt idx="8">
                  <c:v>33830.941899422192</c:v>
                </c:pt>
                <c:pt idx="9">
                  <c:v>33925.494139954579</c:v>
                </c:pt>
                <c:pt idx="10">
                  <c:v>35494.89809593156</c:v>
                </c:pt>
                <c:pt idx="11">
                  <c:v>35823.071425975344</c:v>
                </c:pt>
                <c:pt idx="12">
                  <c:v>34557.897406818207</c:v>
                </c:pt>
                <c:pt idx="13">
                  <c:v>34741.228889723163</c:v>
                </c:pt>
                <c:pt idx="14">
                  <c:v>36902.43126665039</c:v>
                </c:pt>
                <c:pt idx="15">
                  <c:v>37690.337233444196</c:v>
                </c:pt>
                <c:pt idx="16">
                  <c:v>41499.270193614422</c:v>
                </c:pt>
                <c:pt idx="17">
                  <c:v>44458.248491895101</c:v>
                </c:pt>
                <c:pt idx="18">
                  <c:v>50308.144497968147</c:v>
                </c:pt>
                <c:pt idx="19">
                  <c:v>49788.70842581465</c:v>
                </c:pt>
                <c:pt idx="20">
                  <c:v>51974.393161351167</c:v>
                </c:pt>
                <c:pt idx="21">
                  <c:v>52895.000309940151</c:v>
                </c:pt>
              </c:numCache>
            </c:numRef>
          </c:val>
          <c:extLst>
            <c:ext xmlns:c16="http://schemas.microsoft.com/office/drawing/2014/chart" uri="{C3380CC4-5D6E-409C-BE32-E72D297353CC}">
              <c16:uniqueId val="{000002F9-884B-4709-A2BC-7AD3DD2A1E6E}"/>
            </c:ext>
          </c:extLst>
        </c:ser>
        <c:ser>
          <c:idx val="8"/>
          <c:order val="6"/>
          <c:tx>
            <c:strRef>
              <c:f>'NEMEnergyGenerated Data'!$B$12</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27C-884B-4709-A2BC-7AD3DD2A1E6E}"/>
              </c:ext>
            </c:extLst>
          </c:dPt>
          <c:dPt>
            <c:idx val="1"/>
            <c:invertIfNegative val="0"/>
            <c:bubble3D val="0"/>
            <c:extLst>
              <c:ext xmlns:c16="http://schemas.microsoft.com/office/drawing/2014/chart" uri="{C3380CC4-5D6E-409C-BE32-E72D297353CC}">
                <c16:uniqueId val="{0000027D-884B-4709-A2BC-7AD3DD2A1E6E}"/>
              </c:ext>
            </c:extLst>
          </c:dPt>
          <c:dPt>
            <c:idx val="2"/>
            <c:invertIfNegative val="0"/>
            <c:bubble3D val="0"/>
            <c:extLst>
              <c:ext xmlns:c16="http://schemas.microsoft.com/office/drawing/2014/chart" uri="{C3380CC4-5D6E-409C-BE32-E72D297353CC}">
                <c16:uniqueId val="{0000027E-884B-4709-A2BC-7AD3DD2A1E6E}"/>
              </c:ext>
            </c:extLst>
          </c:dPt>
          <c:dPt>
            <c:idx val="3"/>
            <c:invertIfNegative val="0"/>
            <c:bubble3D val="0"/>
            <c:extLst>
              <c:ext xmlns:c16="http://schemas.microsoft.com/office/drawing/2014/chart" uri="{C3380CC4-5D6E-409C-BE32-E72D297353CC}">
                <c16:uniqueId val="{0000027F-884B-4709-A2BC-7AD3DD2A1E6E}"/>
              </c:ext>
            </c:extLst>
          </c:dPt>
          <c:dPt>
            <c:idx val="4"/>
            <c:invertIfNegative val="0"/>
            <c:bubble3D val="0"/>
            <c:extLst>
              <c:ext xmlns:c16="http://schemas.microsoft.com/office/drawing/2014/chart" uri="{C3380CC4-5D6E-409C-BE32-E72D297353CC}">
                <c16:uniqueId val="{00000280-884B-4709-A2BC-7AD3DD2A1E6E}"/>
              </c:ext>
            </c:extLst>
          </c:dPt>
          <c:dPt>
            <c:idx val="5"/>
            <c:invertIfNegative val="0"/>
            <c:bubble3D val="0"/>
            <c:extLst>
              <c:ext xmlns:c16="http://schemas.microsoft.com/office/drawing/2014/chart" uri="{C3380CC4-5D6E-409C-BE32-E72D297353CC}">
                <c16:uniqueId val="{00000281-884B-4709-A2BC-7AD3DD2A1E6E}"/>
              </c:ext>
            </c:extLst>
          </c:dPt>
          <c:dPt>
            <c:idx val="6"/>
            <c:invertIfNegative val="0"/>
            <c:bubble3D val="0"/>
            <c:extLst>
              <c:ext xmlns:c16="http://schemas.microsoft.com/office/drawing/2014/chart" uri="{C3380CC4-5D6E-409C-BE32-E72D297353CC}">
                <c16:uniqueId val="{00000282-884B-4709-A2BC-7AD3DD2A1E6E}"/>
              </c:ext>
            </c:extLst>
          </c:dPt>
          <c:dPt>
            <c:idx val="7"/>
            <c:invertIfNegative val="0"/>
            <c:bubble3D val="0"/>
            <c:extLst>
              <c:ext xmlns:c16="http://schemas.microsoft.com/office/drawing/2014/chart" uri="{C3380CC4-5D6E-409C-BE32-E72D297353CC}">
                <c16:uniqueId val="{00000283-884B-4709-A2BC-7AD3DD2A1E6E}"/>
              </c:ext>
            </c:extLst>
          </c:dPt>
          <c:dPt>
            <c:idx val="8"/>
            <c:invertIfNegative val="0"/>
            <c:bubble3D val="0"/>
            <c:extLst>
              <c:ext xmlns:c16="http://schemas.microsoft.com/office/drawing/2014/chart" uri="{C3380CC4-5D6E-409C-BE32-E72D297353CC}">
                <c16:uniqueId val="{00000284-884B-4709-A2BC-7AD3DD2A1E6E}"/>
              </c:ext>
            </c:extLst>
          </c:dPt>
          <c:dPt>
            <c:idx val="9"/>
            <c:invertIfNegative val="0"/>
            <c:bubble3D val="0"/>
            <c:extLst>
              <c:ext xmlns:c16="http://schemas.microsoft.com/office/drawing/2014/chart" uri="{C3380CC4-5D6E-409C-BE32-E72D297353CC}">
                <c16:uniqueId val="{00000285-884B-4709-A2BC-7AD3DD2A1E6E}"/>
              </c:ext>
            </c:extLst>
          </c:dPt>
          <c:dPt>
            <c:idx val="10"/>
            <c:invertIfNegative val="0"/>
            <c:bubble3D val="0"/>
            <c:extLst>
              <c:ext xmlns:c16="http://schemas.microsoft.com/office/drawing/2014/chart" uri="{C3380CC4-5D6E-409C-BE32-E72D297353CC}">
                <c16:uniqueId val="{00000286-884B-4709-A2BC-7AD3DD2A1E6E}"/>
              </c:ext>
            </c:extLst>
          </c:dPt>
          <c:dPt>
            <c:idx val="11"/>
            <c:invertIfNegative val="0"/>
            <c:bubble3D val="0"/>
            <c:extLst>
              <c:ext xmlns:c16="http://schemas.microsoft.com/office/drawing/2014/chart" uri="{C3380CC4-5D6E-409C-BE32-E72D297353CC}">
                <c16:uniqueId val="{00000287-884B-4709-A2BC-7AD3DD2A1E6E}"/>
              </c:ext>
            </c:extLst>
          </c:dPt>
          <c:dPt>
            <c:idx val="12"/>
            <c:invertIfNegative val="0"/>
            <c:bubble3D val="0"/>
            <c:extLst>
              <c:ext xmlns:c16="http://schemas.microsoft.com/office/drawing/2014/chart" uri="{C3380CC4-5D6E-409C-BE32-E72D297353CC}">
                <c16:uniqueId val="{00000288-884B-4709-A2BC-7AD3DD2A1E6E}"/>
              </c:ext>
            </c:extLst>
          </c:dPt>
          <c:dPt>
            <c:idx val="13"/>
            <c:invertIfNegative val="0"/>
            <c:bubble3D val="0"/>
            <c:extLst>
              <c:ext xmlns:c16="http://schemas.microsoft.com/office/drawing/2014/chart" uri="{C3380CC4-5D6E-409C-BE32-E72D297353CC}">
                <c16:uniqueId val="{00000289-884B-4709-A2BC-7AD3DD2A1E6E}"/>
              </c:ext>
            </c:extLst>
          </c:dPt>
          <c:dPt>
            <c:idx val="14"/>
            <c:invertIfNegative val="0"/>
            <c:bubble3D val="0"/>
            <c:extLst>
              <c:ext xmlns:c16="http://schemas.microsoft.com/office/drawing/2014/chart" uri="{C3380CC4-5D6E-409C-BE32-E72D297353CC}">
                <c16:uniqueId val="{0000028A-884B-4709-A2BC-7AD3DD2A1E6E}"/>
              </c:ext>
            </c:extLst>
          </c:dPt>
          <c:dPt>
            <c:idx val="15"/>
            <c:invertIfNegative val="0"/>
            <c:bubble3D val="0"/>
            <c:extLst>
              <c:ext xmlns:c16="http://schemas.microsoft.com/office/drawing/2014/chart" uri="{C3380CC4-5D6E-409C-BE32-E72D297353CC}">
                <c16:uniqueId val="{0000028B-884B-4709-A2BC-7AD3DD2A1E6E}"/>
              </c:ext>
            </c:extLst>
          </c:dPt>
          <c:dPt>
            <c:idx val="16"/>
            <c:invertIfNegative val="0"/>
            <c:bubble3D val="0"/>
            <c:extLst>
              <c:ext xmlns:c16="http://schemas.microsoft.com/office/drawing/2014/chart" uri="{C3380CC4-5D6E-409C-BE32-E72D297353CC}">
                <c16:uniqueId val="{0000028C-884B-4709-A2BC-7AD3DD2A1E6E}"/>
              </c:ext>
            </c:extLst>
          </c:dPt>
          <c:dPt>
            <c:idx val="17"/>
            <c:invertIfNegative val="0"/>
            <c:bubble3D val="0"/>
            <c:extLst>
              <c:ext xmlns:c16="http://schemas.microsoft.com/office/drawing/2014/chart" uri="{C3380CC4-5D6E-409C-BE32-E72D297353CC}">
                <c16:uniqueId val="{0000028D-884B-4709-A2BC-7AD3DD2A1E6E}"/>
              </c:ext>
            </c:extLst>
          </c:dPt>
          <c:dPt>
            <c:idx val="18"/>
            <c:invertIfNegative val="0"/>
            <c:bubble3D val="0"/>
            <c:extLst>
              <c:ext xmlns:c16="http://schemas.microsoft.com/office/drawing/2014/chart" uri="{C3380CC4-5D6E-409C-BE32-E72D297353CC}">
                <c16:uniqueId val="{0000028E-884B-4709-A2BC-7AD3DD2A1E6E}"/>
              </c:ext>
            </c:extLst>
          </c:dPt>
          <c:dPt>
            <c:idx val="19"/>
            <c:invertIfNegative val="0"/>
            <c:bubble3D val="0"/>
            <c:extLst>
              <c:ext xmlns:c16="http://schemas.microsoft.com/office/drawing/2014/chart" uri="{C3380CC4-5D6E-409C-BE32-E72D297353CC}">
                <c16:uniqueId val="{0000028F-884B-4709-A2BC-7AD3DD2A1E6E}"/>
              </c:ext>
            </c:extLst>
          </c:dPt>
          <c:dPt>
            <c:idx val="20"/>
            <c:invertIfNegative val="0"/>
            <c:bubble3D val="0"/>
            <c:extLst>
              <c:ext xmlns:c16="http://schemas.microsoft.com/office/drawing/2014/chart" uri="{C3380CC4-5D6E-409C-BE32-E72D297353CC}">
                <c16:uniqueId val="{00000290-884B-4709-A2BC-7AD3DD2A1E6E}"/>
              </c:ext>
            </c:extLst>
          </c:dPt>
          <c:dPt>
            <c:idx val="21"/>
            <c:invertIfNegative val="0"/>
            <c:bubble3D val="0"/>
            <c:extLst>
              <c:ext xmlns:c16="http://schemas.microsoft.com/office/drawing/2014/chart" uri="{C3380CC4-5D6E-409C-BE32-E72D297353CC}">
                <c16:uniqueId val="{00000291-884B-4709-A2BC-7AD3DD2A1E6E}"/>
              </c:ext>
            </c:extLst>
          </c:dPt>
          <c:dPt>
            <c:idx val="22"/>
            <c:invertIfNegative val="0"/>
            <c:bubble3D val="0"/>
            <c:extLst>
              <c:ext xmlns:c16="http://schemas.microsoft.com/office/drawing/2014/chart" uri="{C3380CC4-5D6E-409C-BE32-E72D297353CC}">
                <c16:uniqueId val="{00000292-884B-4709-A2BC-7AD3DD2A1E6E}"/>
              </c:ext>
            </c:extLst>
          </c:dPt>
          <c:dPt>
            <c:idx val="23"/>
            <c:invertIfNegative val="0"/>
            <c:bubble3D val="0"/>
            <c:extLst>
              <c:ext xmlns:c16="http://schemas.microsoft.com/office/drawing/2014/chart" uri="{C3380CC4-5D6E-409C-BE32-E72D297353CC}">
                <c16:uniqueId val="{00000293-884B-4709-A2BC-7AD3DD2A1E6E}"/>
              </c:ext>
            </c:extLst>
          </c:dPt>
          <c:dPt>
            <c:idx val="24"/>
            <c:invertIfNegative val="0"/>
            <c:bubble3D val="0"/>
            <c:extLst>
              <c:ext xmlns:c16="http://schemas.microsoft.com/office/drawing/2014/chart" uri="{C3380CC4-5D6E-409C-BE32-E72D297353CC}">
                <c16:uniqueId val="{00000294-884B-4709-A2BC-7AD3DD2A1E6E}"/>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Data'!$C$12:$X$12</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295-884B-4709-A2BC-7AD3DD2A1E6E}"/>
            </c:ext>
          </c:extLst>
        </c:ser>
        <c:ser>
          <c:idx val="6"/>
          <c:order val="7"/>
          <c:tx>
            <c:strRef>
              <c:f>'NEMEnergyGenerated Data'!$B$9</c:f>
              <c:strCache>
                <c:ptCount val="1"/>
                <c:pt idx="0">
                  <c:v>Utility Solar</c:v>
                </c:pt>
              </c:strCache>
            </c:strRef>
          </c:tx>
          <c:spPr>
            <a:solidFill>
              <a:srgbClr val="FFC222"/>
            </a:solidFill>
            <a:ln>
              <a:noFill/>
            </a:ln>
            <a:effectLst/>
          </c:spPr>
          <c:invertIfNegative val="0"/>
          <c:dPt>
            <c:idx val="0"/>
            <c:invertIfNegative val="0"/>
            <c:bubble3D val="0"/>
            <c:extLst>
              <c:ext xmlns:c16="http://schemas.microsoft.com/office/drawing/2014/chart" uri="{C3380CC4-5D6E-409C-BE32-E72D297353CC}">
                <c16:uniqueId val="{000002FB-884B-4709-A2BC-7AD3DD2A1E6E}"/>
              </c:ext>
            </c:extLst>
          </c:dPt>
          <c:dPt>
            <c:idx val="1"/>
            <c:invertIfNegative val="0"/>
            <c:bubble3D val="0"/>
            <c:extLst>
              <c:ext xmlns:c16="http://schemas.microsoft.com/office/drawing/2014/chart" uri="{C3380CC4-5D6E-409C-BE32-E72D297353CC}">
                <c16:uniqueId val="{000002FC-884B-4709-A2BC-7AD3DD2A1E6E}"/>
              </c:ext>
            </c:extLst>
          </c:dPt>
          <c:dPt>
            <c:idx val="2"/>
            <c:invertIfNegative val="0"/>
            <c:bubble3D val="0"/>
            <c:extLst>
              <c:ext xmlns:c16="http://schemas.microsoft.com/office/drawing/2014/chart" uri="{C3380CC4-5D6E-409C-BE32-E72D297353CC}">
                <c16:uniqueId val="{000002FD-884B-4709-A2BC-7AD3DD2A1E6E}"/>
              </c:ext>
            </c:extLst>
          </c:dPt>
          <c:dPt>
            <c:idx val="3"/>
            <c:invertIfNegative val="0"/>
            <c:bubble3D val="0"/>
            <c:extLst>
              <c:ext xmlns:c16="http://schemas.microsoft.com/office/drawing/2014/chart" uri="{C3380CC4-5D6E-409C-BE32-E72D297353CC}">
                <c16:uniqueId val="{000002FE-884B-4709-A2BC-7AD3DD2A1E6E}"/>
              </c:ext>
            </c:extLst>
          </c:dPt>
          <c:dPt>
            <c:idx val="4"/>
            <c:invertIfNegative val="0"/>
            <c:bubble3D val="0"/>
            <c:extLst>
              <c:ext xmlns:c16="http://schemas.microsoft.com/office/drawing/2014/chart" uri="{C3380CC4-5D6E-409C-BE32-E72D297353CC}">
                <c16:uniqueId val="{000002FF-884B-4709-A2BC-7AD3DD2A1E6E}"/>
              </c:ext>
            </c:extLst>
          </c:dPt>
          <c:dPt>
            <c:idx val="5"/>
            <c:invertIfNegative val="0"/>
            <c:bubble3D val="0"/>
            <c:extLst>
              <c:ext xmlns:c16="http://schemas.microsoft.com/office/drawing/2014/chart" uri="{C3380CC4-5D6E-409C-BE32-E72D297353CC}">
                <c16:uniqueId val="{00000300-884B-4709-A2BC-7AD3DD2A1E6E}"/>
              </c:ext>
            </c:extLst>
          </c:dPt>
          <c:dPt>
            <c:idx val="6"/>
            <c:invertIfNegative val="0"/>
            <c:bubble3D val="0"/>
            <c:extLst>
              <c:ext xmlns:c16="http://schemas.microsoft.com/office/drawing/2014/chart" uri="{C3380CC4-5D6E-409C-BE32-E72D297353CC}">
                <c16:uniqueId val="{00000301-884B-4709-A2BC-7AD3DD2A1E6E}"/>
              </c:ext>
            </c:extLst>
          </c:dPt>
          <c:dPt>
            <c:idx val="7"/>
            <c:invertIfNegative val="0"/>
            <c:bubble3D val="0"/>
            <c:extLst>
              <c:ext xmlns:c16="http://schemas.microsoft.com/office/drawing/2014/chart" uri="{C3380CC4-5D6E-409C-BE32-E72D297353CC}">
                <c16:uniqueId val="{00000302-884B-4709-A2BC-7AD3DD2A1E6E}"/>
              </c:ext>
            </c:extLst>
          </c:dPt>
          <c:dPt>
            <c:idx val="8"/>
            <c:invertIfNegative val="0"/>
            <c:bubble3D val="0"/>
            <c:extLst>
              <c:ext xmlns:c16="http://schemas.microsoft.com/office/drawing/2014/chart" uri="{C3380CC4-5D6E-409C-BE32-E72D297353CC}">
                <c16:uniqueId val="{00000303-884B-4709-A2BC-7AD3DD2A1E6E}"/>
              </c:ext>
            </c:extLst>
          </c:dPt>
          <c:dPt>
            <c:idx val="9"/>
            <c:invertIfNegative val="0"/>
            <c:bubble3D val="0"/>
            <c:extLst>
              <c:ext xmlns:c16="http://schemas.microsoft.com/office/drawing/2014/chart" uri="{C3380CC4-5D6E-409C-BE32-E72D297353CC}">
                <c16:uniqueId val="{00000304-884B-4709-A2BC-7AD3DD2A1E6E}"/>
              </c:ext>
            </c:extLst>
          </c:dPt>
          <c:dPt>
            <c:idx val="10"/>
            <c:invertIfNegative val="0"/>
            <c:bubble3D val="0"/>
            <c:extLst>
              <c:ext xmlns:c16="http://schemas.microsoft.com/office/drawing/2014/chart" uri="{C3380CC4-5D6E-409C-BE32-E72D297353CC}">
                <c16:uniqueId val="{00000305-884B-4709-A2BC-7AD3DD2A1E6E}"/>
              </c:ext>
            </c:extLst>
          </c:dPt>
          <c:dPt>
            <c:idx val="11"/>
            <c:invertIfNegative val="0"/>
            <c:bubble3D val="0"/>
            <c:extLst>
              <c:ext xmlns:c16="http://schemas.microsoft.com/office/drawing/2014/chart" uri="{C3380CC4-5D6E-409C-BE32-E72D297353CC}">
                <c16:uniqueId val="{00000306-884B-4709-A2BC-7AD3DD2A1E6E}"/>
              </c:ext>
            </c:extLst>
          </c:dPt>
          <c:dPt>
            <c:idx val="12"/>
            <c:invertIfNegative val="0"/>
            <c:bubble3D val="0"/>
            <c:extLst>
              <c:ext xmlns:c16="http://schemas.microsoft.com/office/drawing/2014/chart" uri="{C3380CC4-5D6E-409C-BE32-E72D297353CC}">
                <c16:uniqueId val="{00000307-884B-4709-A2BC-7AD3DD2A1E6E}"/>
              </c:ext>
            </c:extLst>
          </c:dPt>
          <c:dPt>
            <c:idx val="13"/>
            <c:invertIfNegative val="0"/>
            <c:bubble3D val="0"/>
            <c:extLst>
              <c:ext xmlns:c16="http://schemas.microsoft.com/office/drawing/2014/chart" uri="{C3380CC4-5D6E-409C-BE32-E72D297353CC}">
                <c16:uniqueId val="{00000308-884B-4709-A2BC-7AD3DD2A1E6E}"/>
              </c:ext>
            </c:extLst>
          </c:dPt>
          <c:dPt>
            <c:idx val="14"/>
            <c:invertIfNegative val="0"/>
            <c:bubble3D val="0"/>
            <c:extLst>
              <c:ext xmlns:c16="http://schemas.microsoft.com/office/drawing/2014/chart" uri="{C3380CC4-5D6E-409C-BE32-E72D297353CC}">
                <c16:uniqueId val="{00000309-884B-4709-A2BC-7AD3DD2A1E6E}"/>
              </c:ext>
            </c:extLst>
          </c:dPt>
          <c:dPt>
            <c:idx val="15"/>
            <c:invertIfNegative val="0"/>
            <c:bubble3D val="0"/>
            <c:extLst>
              <c:ext xmlns:c16="http://schemas.microsoft.com/office/drawing/2014/chart" uri="{C3380CC4-5D6E-409C-BE32-E72D297353CC}">
                <c16:uniqueId val="{0000030A-884B-4709-A2BC-7AD3DD2A1E6E}"/>
              </c:ext>
            </c:extLst>
          </c:dPt>
          <c:dPt>
            <c:idx val="16"/>
            <c:invertIfNegative val="0"/>
            <c:bubble3D val="0"/>
            <c:extLst>
              <c:ext xmlns:c16="http://schemas.microsoft.com/office/drawing/2014/chart" uri="{C3380CC4-5D6E-409C-BE32-E72D297353CC}">
                <c16:uniqueId val="{0000030B-884B-4709-A2BC-7AD3DD2A1E6E}"/>
              </c:ext>
            </c:extLst>
          </c:dPt>
          <c:dPt>
            <c:idx val="17"/>
            <c:invertIfNegative val="0"/>
            <c:bubble3D val="0"/>
            <c:extLst>
              <c:ext xmlns:c16="http://schemas.microsoft.com/office/drawing/2014/chart" uri="{C3380CC4-5D6E-409C-BE32-E72D297353CC}">
                <c16:uniqueId val="{0000030C-884B-4709-A2BC-7AD3DD2A1E6E}"/>
              </c:ext>
            </c:extLst>
          </c:dPt>
          <c:dPt>
            <c:idx val="18"/>
            <c:invertIfNegative val="0"/>
            <c:bubble3D val="0"/>
            <c:extLst>
              <c:ext xmlns:c16="http://schemas.microsoft.com/office/drawing/2014/chart" uri="{C3380CC4-5D6E-409C-BE32-E72D297353CC}">
                <c16:uniqueId val="{0000030D-884B-4709-A2BC-7AD3DD2A1E6E}"/>
              </c:ext>
            </c:extLst>
          </c:dPt>
          <c:dPt>
            <c:idx val="19"/>
            <c:invertIfNegative val="0"/>
            <c:bubble3D val="0"/>
            <c:extLst>
              <c:ext xmlns:c16="http://schemas.microsoft.com/office/drawing/2014/chart" uri="{C3380CC4-5D6E-409C-BE32-E72D297353CC}">
                <c16:uniqueId val="{0000030E-884B-4709-A2BC-7AD3DD2A1E6E}"/>
              </c:ext>
            </c:extLst>
          </c:dPt>
          <c:dPt>
            <c:idx val="20"/>
            <c:invertIfNegative val="0"/>
            <c:bubble3D val="0"/>
            <c:extLst>
              <c:ext xmlns:c16="http://schemas.microsoft.com/office/drawing/2014/chart" uri="{C3380CC4-5D6E-409C-BE32-E72D297353CC}">
                <c16:uniqueId val="{0000030F-884B-4709-A2BC-7AD3DD2A1E6E}"/>
              </c:ext>
            </c:extLst>
          </c:dPt>
          <c:dPt>
            <c:idx val="21"/>
            <c:invertIfNegative val="0"/>
            <c:bubble3D val="0"/>
            <c:extLst>
              <c:ext xmlns:c16="http://schemas.microsoft.com/office/drawing/2014/chart" uri="{C3380CC4-5D6E-409C-BE32-E72D297353CC}">
                <c16:uniqueId val="{00000310-884B-4709-A2BC-7AD3DD2A1E6E}"/>
              </c:ext>
            </c:extLst>
          </c:dPt>
          <c:dPt>
            <c:idx val="22"/>
            <c:invertIfNegative val="0"/>
            <c:bubble3D val="0"/>
            <c:extLst>
              <c:ext xmlns:c16="http://schemas.microsoft.com/office/drawing/2014/chart" uri="{C3380CC4-5D6E-409C-BE32-E72D297353CC}">
                <c16:uniqueId val="{00000311-884B-4709-A2BC-7AD3DD2A1E6E}"/>
              </c:ext>
            </c:extLst>
          </c:dPt>
          <c:dPt>
            <c:idx val="23"/>
            <c:invertIfNegative val="0"/>
            <c:bubble3D val="0"/>
            <c:extLst>
              <c:ext xmlns:c16="http://schemas.microsoft.com/office/drawing/2014/chart" uri="{C3380CC4-5D6E-409C-BE32-E72D297353CC}">
                <c16:uniqueId val="{00000312-884B-4709-A2BC-7AD3DD2A1E6E}"/>
              </c:ext>
            </c:extLst>
          </c:dPt>
          <c:dPt>
            <c:idx val="24"/>
            <c:invertIfNegative val="0"/>
            <c:bubble3D val="0"/>
            <c:extLst>
              <c:ext xmlns:c16="http://schemas.microsoft.com/office/drawing/2014/chart" uri="{C3380CC4-5D6E-409C-BE32-E72D297353CC}">
                <c16:uniqueId val="{00000313-884B-4709-A2BC-7AD3DD2A1E6E}"/>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Data'!$C$9:$X$9</c:f>
              <c:numCache>
                <c:formatCode>#,##0_ ;\-#,##0\ </c:formatCode>
                <c:ptCount val="22"/>
                <c:pt idx="0">
                  <c:v>4830.3847271585701</c:v>
                </c:pt>
                <c:pt idx="1">
                  <c:v>7338.4040847759497</c:v>
                </c:pt>
                <c:pt idx="2">
                  <c:v>7310.2699783266908</c:v>
                </c:pt>
                <c:pt idx="3">
                  <c:v>7463.9121260854108</c:v>
                </c:pt>
                <c:pt idx="4">
                  <c:v>9707.9978117372302</c:v>
                </c:pt>
                <c:pt idx="5">
                  <c:v>11174.518223422672</c:v>
                </c:pt>
                <c:pt idx="6">
                  <c:v>12885.44036121819</c:v>
                </c:pt>
                <c:pt idx="7">
                  <c:v>15784.533769985021</c:v>
                </c:pt>
                <c:pt idx="8">
                  <c:v>17871.974746597698</c:v>
                </c:pt>
                <c:pt idx="9">
                  <c:v>19833.082425322093</c:v>
                </c:pt>
                <c:pt idx="10">
                  <c:v>21758.409097139891</c:v>
                </c:pt>
                <c:pt idx="11">
                  <c:v>25956.571257201696</c:v>
                </c:pt>
                <c:pt idx="12">
                  <c:v>25732.865642017096</c:v>
                </c:pt>
                <c:pt idx="13">
                  <c:v>26584.163489021215</c:v>
                </c:pt>
                <c:pt idx="14">
                  <c:v>33847.248514564533</c:v>
                </c:pt>
                <c:pt idx="15">
                  <c:v>34863.954791768658</c:v>
                </c:pt>
                <c:pt idx="16">
                  <c:v>43260.456467190415</c:v>
                </c:pt>
                <c:pt idx="17">
                  <c:v>56012.807359381855</c:v>
                </c:pt>
                <c:pt idx="18">
                  <c:v>64217.75156106583</c:v>
                </c:pt>
                <c:pt idx="19">
                  <c:v>66655.614867663782</c:v>
                </c:pt>
                <c:pt idx="20">
                  <c:v>69769.678068386434</c:v>
                </c:pt>
                <c:pt idx="21">
                  <c:v>71458.160523337618</c:v>
                </c:pt>
              </c:numCache>
            </c:numRef>
          </c:val>
          <c:extLst>
            <c:ext xmlns:c16="http://schemas.microsoft.com/office/drawing/2014/chart" uri="{C3380CC4-5D6E-409C-BE32-E72D297353CC}">
              <c16:uniqueId val="{00000314-884B-4709-A2BC-7AD3DD2A1E6E}"/>
            </c:ext>
          </c:extLst>
        </c:ser>
        <c:ser>
          <c:idx val="9"/>
          <c:order val="8"/>
          <c:tx>
            <c:strRef>
              <c:f>'NEMEnergyGenerated Data'!$B$11</c:f>
              <c:strCache>
                <c:ptCount val="1"/>
                <c:pt idx="0">
                  <c:v>Utility storage generation</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2C5-884B-4709-A2BC-7AD3DD2A1E6E}"/>
              </c:ext>
            </c:extLst>
          </c:dPt>
          <c:dPt>
            <c:idx val="1"/>
            <c:invertIfNegative val="0"/>
            <c:bubble3D val="0"/>
            <c:extLst>
              <c:ext xmlns:c16="http://schemas.microsoft.com/office/drawing/2014/chart" uri="{C3380CC4-5D6E-409C-BE32-E72D297353CC}">
                <c16:uniqueId val="{000002C6-884B-4709-A2BC-7AD3DD2A1E6E}"/>
              </c:ext>
            </c:extLst>
          </c:dPt>
          <c:dPt>
            <c:idx val="2"/>
            <c:invertIfNegative val="0"/>
            <c:bubble3D val="0"/>
            <c:extLst>
              <c:ext xmlns:c16="http://schemas.microsoft.com/office/drawing/2014/chart" uri="{C3380CC4-5D6E-409C-BE32-E72D297353CC}">
                <c16:uniqueId val="{000002C7-884B-4709-A2BC-7AD3DD2A1E6E}"/>
              </c:ext>
            </c:extLst>
          </c:dPt>
          <c:dPt>
            <c:idx val="3"/>
            <c:invertIfNegative val="0"/>
            <c:bubble3D val="0"/>
            <c:extLst>
              <c:ext xmlns:c16="http://schemas.microsoft.com/office/drawing/2014/chart" uri="{C3380CC4-5D6E-409C-BE32-E72D297353CC}">
                <c16:uniqueId val="{000002C8-884B-4709-A2BC-7AD3DD2A1E6E}"/>
              </c:ext>
            </c:extLst>
          </c:dPt>
          <c:dPt>
            <c:idx val="4"/>
            <c:invertIfNegative val="0"/>
            <c:bubble3D val="0"/>
            <c:extLst>
              <c:ext xmlns:c16="http://schemas.microsoft.com/office/drawing/2014/chart" uri="{C3380CC4-5D6E-409C-BE32-E72D297353CC}">
                <c16:uniqueId val="{000002C9-884B-4709-A2BC-7AD3DD2A1E6E}"/>
              </c:ext>
            </c:extLst>
          </c:dPt>
          <c:dPt>
            <c:idx val="5"/>
            <c:invertIfNegative val="0"/>
            <c:bubble3D val="0"/>
            <c:extLst>
              <c:ext xmlns:c16="http://schemas.microsoft.com/office/drawing/2014/chart" uri="{C3380CC4-5D6E-409C-BE32-E72D297353CC}">
                <c16:uniqueId val="{000002CA-884B-4709-A2BC-7AD3DD2A1E6E}"/>
              </c:ext>
            </c:extLst>
          </c:dPt>
          <c:dPt>
            <c:idx val="6"/>
            <c:invertIfNegative val="0"/>
            <c:bubble3D val="0"/>
            <c:extLst>
              <c:ext xmlns:c16="http://schemas.microsoft.com/office/drawing/2014/chart" uri="{C3380CC4-5D6E-409C-BE32-E72D297353CC}">
                <c16:uniqueId val="{000002CB-884B-4709-A2BC-7AD3DD2A1E6E}"/>
              </c:ext>
            </c:extLst>
          </c:dPt>
          <c:dPt>
            <c:idx val="7"/>
            <c:invertIfNegative val="0"/>
            <c:bubble3D val="0"/>
            <c:extLst>
              <c:ext xmlns:c16="http://schemas.microsoft.com/office/drawing/2014/chart" uri="{C3380CC4-5D6E-409C-BE32-E72D297353CC}">
                <c16:uniqueId val="{000002CC-884B-4709-A2BC-7AD3DD2A1E6E}"/>
              </c:ext>
            </c:extLst>
          </c:dPt>
          <c:dPt>
            <c:idx val="8"/>
            <c:invertIfNegative val="0"/>
            <c:bubble3D val="0"/>
            <c:extLst>
              <c:ext xmlns:c16="http://schemas.microsoft.com/office/drawing/2014/chart" uri="{C3380CC4-5D6E-409C-BE32-E72D297353CC}">
                <c16:uniqueId val="{000002CD-884B-4709-A2BC-7AD3DD2A1E6E}"/>
              </c:ext>
            </c:extLst>
          </c:dPt>
          <c:dPt>
            <c:idx val="9"/>
            <c:invertIfNegative val="0"/>
            <c:bubble3D val="0"/>
            <c:extLst>
              <c:ext xmlns:c16="http://schemas.microsoft.com/office/drawing/2014/chart" uri="{C3380CC4-5D6E-409C-BE32-E72D297353CC}">
                <c16:uniqueId val="{000002CE-884B-4709-A2BC-7AD3DD2A1E6E}"/>
              </c:ext>
            </c:extLst>
          </c:dPt>
          <c:dPt>
            <c:idx val="10"/>
            <c:invertIfNegative val="0"/>
            <c:bubble3D val="0"/>
            <c:extLst>
              <c:ext xmlns:c16="http://schemas.microsoft.com/office/drawing/2014/chart" uri="{C3380CC4-5D6E-409C-BE32-E72D297353CC}">
                <c16:uniqueId val="{000002CF-884B-4709-A2BC-7AD3DD2A1E6E}"/>
              </c:ext>
            </c:extLst>
          </c:dPt>
          <c:dPt>
            <c:idx val="11"/>
            <c:invertIfNegative val="0"/>
            <c:bubble3D val="0"/>
            <c:extLst>
              <c:ext xmlns:c16="http://schemas.microsoft.com/office/drawing/2014/chart" uri="{C3380CC4-5D6E-409C-BE32-E72D297353CC}">
                <c16:uniqueId val="{000002D0-884B-4709-A2BC-7AD3DD2A1E6E}"/>
              </c:ext>
            </c:extLst>
          </c:dPt>
          <c:dPt>
            <c:idx val="12"/>
            <c:invertIfNegative val="0"/>
            <c:bubble3D val="0"/>
            <c:extLst>
              <c:ext xmlns:c16="http://schemas.microsoft.com/office/drawing/2014/chart" uri="{C3380CC4-5D6E-409C-BE32-E72D297353CC}">
                <c16:uniqueId val="{000002D1-884B-4709-A2BC-7AD3DD2A1E6E}"/>
              </c:ext>
            </c:extLst>
          </c:dPt>
          <c:dPt>
            <c:idx val="13"/>
            <c:invertIfNegative val="0"/>
            <c:bubble3D val="0"/>
            <c:extLst>
              <c:ext xmlns:c16="http://schemas.microsoft.com/office/drawing/2014/chart" uri="{C3380CC4-5D6E-409C-BE32-E72D297353CC}">
                <c16:uniqueId val="{000002D2-884B-4709-A2BC-7AD3DD2A1E6E}"/>
              </c:ext>
            </c:extLst>
          </c:dPt>
          <c:dPt>
            <c:idx val="14"/>
            <c:invertIfNegative val="0"/>
            <c:bubble3D val="0"/>
            <c:extLst>
              <c:ext xmlns:c16="http://schemas.microsoft.com/office/drawing/2014/chart" uri="{C3380CC4-5D6E-409C-BE32-E72D297353CC}">
                <c16:uniqueId val="{000002D3-884B-4709-A2BC-7AD3DD2A1E6E}"/>
              </c:ext>
            </c:extLst>
          </c:dPt>
          <c:dPt>
            <c:idx val="15"/>
            <c:invertIfNegative val="0"/>
            <c:bubble3D val="0"/>
            <c:extLst>
              <c:ext xmlns:c16="http://schemas.microsoft.com/office/drawing/2014/chart" uri="{C3380CC4-5D6E-409C-BE32-E72D297353CC}">
                <c16:uniqueId val="{000002D4-884B-4709-A2BC-7AD3DD2A1E6E}"/>
              </c:ext>
            </c:extLst>
          </c:dPt>
          <c:dPt>
            <c:idx val="16"/>
            <c:invertIfNegative val="0"/>
            <c:bubble3D val="0"/>
            <c:extLst>
              <c:ext xmlns:c16="http://schemas.microsoft.com/office/drawing/2014/chart" uri="{C3380CC4-5D6E-409C-BE32-E72D297353CC}">
                <c16:uniqueId val="{000002D5-884B-4709-A2BC-7AD3DD2A1E6E}"/>
              </c:ext>
            </c:extLst>
          </c:dPt>
          <c:dPt>
            <c:idx val="17"/>
            <c:invertIfNegative val="0"/>
            <c:bubble3D val="0"/>
            <c:extLst>
              <c:ext xmlns:c16="http://schemas.microsoft.com/office/drawing/2014/chart" uri="{C3380CC4-5D6E-409C-BE32-E72D297353CC}">
                <c16:uniqueId val="{000002D6-884B-4709-A2BC-7AD3DD2A1E6E}"/>
              </c:ext>
            </c:extLst>
          </c:dPt>
          <c:dPt>
            <c:idx val="18"/>
            <c:invertIfNegative val="0"/>
            <c:bubble3D val="0"/>
            <c:extLst>
              <c:ext xmlns:c16="http://schemas.microsoft.com/office/drawing/2014/chart" uri="{C3380CC4-5D6E-409C-BE32-E72D297353CC}">
                <c16:uniqueId val="{000002D7-884B-4709-A2BC-7AD3DD2A1E6E}"/>
              </c:ext>
            </c:extLst>
          </c:dPt>
          <c:dPt>
            <c:idx val="19"/>
            <c:invertIfNegative val="0"/>
            <c:bubble3D val="0"/>
            <c:extLst>
              <c:ext xmlns:c16="http://schemas.microsoft.com/office/drawing/2014/chart" uri="{C3380CC4-5D6E-409C-BE32-E72D297353CC}">
                <c16:uniqueId val="{000002D8-884B-4709-A2BC-7AD3DD2A1E6E}"/>
              </c:ext>
            </c:extLst>
          </c:dPt>
          <c:dPt>
            <c:idx val="20"/>
            <c:invertIfNegative val="0"/>
            <c:bubble3D val="0"/>
            <c:extLst>
              <c:ext xmlns:c16="http://schemas.microsoft.com/office/drawing/2014/chart" uri="{C3380CC4-5D6E-409C-BE32-E72D297353CC}">
                <c16:uniqueId val="{000002D9-884B-4709-A2BC-7AD3DD2A1E6E}"/>
              </c:ext>
            </c:extLst>
          </c:dPt>
          <c:dPt>
            <c:idx val="21"/>
            <c:invertIfNegative val="0"/>
            <c:bubble3D val="0"/>
            <c:extLst>
              <c:ext xmlns:c16="http://schemas.microsoft.com/office/drawing/2014/chart" uri="{C3380CC4-5D6E-409C-BE32-E72D297353CC}">
                <c16:uniqueId val="{000002DA-884B-4709-A2BC-7AD3DD2A1E6E}"/>
              </c:ext>
            </c:extLst>
          </c:dPt>
          <c:dPt>
            <c:idx val="22"/>
            <c:invertIfNegative val="0"/>
            <c:bubble3D val="0"/>
            <c:extLst>
              <c:ext xmlns:c16="http://schemas.microsoft.com/office/drawing/2014/chart" uri="{C3380CC4-5D6E-409C-BE32-E72D297353CC}">
                <c16:uniqueId val="{000002DB-884B-4709-A2BC-7AD3DD2A1E6E}"/>
              </c:ext>
            </c:extLst>
          </c:dPt>
          <c:dPt>
            <c:idx val="23"/>
            <c:invertIfNegative val="0"/>
            <c:bubble3D val="0"/>
            <c:extLst>
              <c:ext xmlns:c16="http://schemas.microsoft.com/office/drawing/2014/chart" uri="{C3380CC4-5D6E-409C-BE32-E72D297353CC}">
                <c16:uniqueId val="{000002DC-884B-4709-A2BC-7AD3DD2A1E6E}"/>
              </c:ext>
            </c:extLst>
          </c:dPt>
          <c:dPt>
            <c:idx val="24"/>
            <c:invertIfNegative val="0"/>
            <c:bubble3D val="0"/>
            <c:extLst>
              <c:ext xmlns:c16="http://schemas.microsoft.com/office/drawing/2014/chart" uri="{C3380CC4-5D6E-409C-BE32-E72D297353CC}">
                <c16:uniqueId val="{000002DD-884B-4709-A2BC-7AD3DD2A1E6E}"/>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Data'!$C$11:$X$11</c:f>
              <c:numCache>
                <c:formatCode>#,##0_ ;\-#,##0\ </c:formatCode>
                <c:ptCount val="22"/>
                <c:pt idx="0">
                  <c:v>1078.8252603609103</c:v>
                </c:pt>
                <c:pt idx="1">
                  <c:v>115.15664210207997</c:v>
                </c:pt>
                <c:pt idx="2">
                  <c:v>82.21307748660999</c:v>
                </c:pt>
                <c:pt idx="3">
                  <c:v>169.62592915976995</c:v>
                </c:pt>
                <c:pt idx="4">
                  <c:v>631.56128939071095</c:v>
                </c:pt>
                <c:pt idx="5">
                  <c:v>662.34729998294097</c:v>
                </c:pt>
                <c:pt idx="6">
                  <c:v>2210.7596149980504</c:v>
                </c:pt>
                <c:pt idx="7">
                  <c:v>3663.8869616352504</c:v>
                </c:pt>
                <c:pt idx="8">
                  <c:v>4886.1961753662908</c:v>
                </c:pt>
                <c:pt idx="9">
                  <c:v>3217.8506443890301</c:v>
                </c:pt>
                <c:pt idx="10">
                  <c:v>4666.8131748513815</c:v>
                </c:pt>
                <c:pt idx="11">
                  <c:v>6215.2877199327877</c:v>
                </c:pt>
                <c:pt idx="12">
                  <c:v>5971.1219733837779</c:v>
                </c:pt>
                <c:pt idx="13">
                  <c:v>6540.9240343984875</c:v>
                </c:pt>
                <c:pt idx="14">
                  <c:v>8316.9762697176684</c:v>
                </c:pt>
                <c:pt idx="15">
                  <c:v>8702.7061260952742</c:v>
                </c:pt>
                <c:pt idx="16">
                  <c:v>12876.330655486259</c:v>
                </c:pt>
                <c:pt idx="17">
                  <c:v>18952.162687053518</c:v>
                </c:pt>
                <c:pt idx="18">
                  <c:v>24712.120603230309</c:v>
                </c:pt>
                <c:pt idx="19">
                  <c:v>26476.789283770417</c:v>
                </c:pt>
                <c:pt idx="20">
                  <c:v>28905.747161008941</c:v>
                </c:pt>
                <c:pt idx="21">
                  <c:v>30274.838114959071</c:v>
                </c:pt>
              </c:numCache>
            </c:numRef>
          </c:val>
          <c:extLst>
            <c:ext xmlns:c16="http://schemas.microsoft.com/office/drawing/2014/chart" uri="{C3380CC4-5D6E-409C-BE32-E72D297353CC}">
              <c16:uniqueId val="{000002DE-884B-4709-A2BC-7AD3DD2A1E6E}"/>
            </c:ext>
          </c:extLst>
        </c:ser>
        <c:ser>
          <c:idx val="11"/>
          <c:order val="9"/>
          <c:tx>
            <c:strRef>
              <c:f>'NEMEnergyGenerated Data'!$B$14</c:f>
              <c:strCache>
                <c:ptCount val="1"/>
                <c:pt idx="0">
                  <c:v>Distributed storage generation</c:v>
                </c:pt>
              </c:strCache>
            </c:strRef>
          </c:tx>
          <c:spPr>
            <a:solidFill>
              <a:srgbClr val="92D050"/>
            </a:solidFill>
            <a:ln>
              <a:noFill/>
            </a:ln>
          </c:spPr>
          <c:invertIfNegative val="0"/>
          <c:dPt>
            <c:idx val="0"/>
            <c:invertIfNegative val="0"/>
            <c:bubble3D val="0"/>
            <c:spPr>
              <a:solidFill>
                <a:srgbClr val="92D050"/>
              </a:solidFill>
              <a:ln w="3175" cmpd="sng">
                <a:noFill/>
                <a:prstDash val="solid"/>
              </a:ln>
            </c:spPr>
            <c:extLst>
              <c:ext xmlns:c16="http://schemas.microsoft.com/office/drawing/2014/chart" uri="{C3380CC4-5D6E-409C-BE32-E72D297353CC}">
                <c16:uniqueId val="{00000298-884B-4709-A2BC-7AD3DD2A1E6E}"/>
              </c:ext>
            </c:extLst>
          </c:dPt>
          <c:dPt>
            <c:idx val="1"/>
            <c:invertIfNegative val="0"/>
            <c:bubble3D val="0"/>
            <c:spPr>
              <a:solidFill>
                <a:srgbClr val="92D050"/>
              </a:solidFill>
              <a:ln w="3175" cmpd="sng">
                <a:noFill/>
                <a:prstDash val="solid"/>
              </a:ln>
            </c:spPr>
            <c:extLst>
              <c:ext xmlns:c16="http://schemas.microsoft.com/office/drawing/2014/chart" uri="{C3380CC4-5D6E-409C-BE32-E72D297353CC}">
                <c16:uniqueId val="{0000029A-884B-4709-A2BC-7AD3DD2A1E6E}"/>
              </c:ext>
            </c:extLst>
          </c:dPt>
          <c:dPt>
            <c:idx val="2"/>
            <c:invertIfNegative val="0"/>
            <c:bubble3D val="0"/>
            <c:spPr>
              <a:solidFill>
                <a:srgbClr val="92D050"/>
              </a:solidFill>
              <a:ln w="3175" cmpd="sng">
                <a:noFill/>
                <a:prstDash val="solid"/>
              </a:ln>
            </c:spPr>
            <c:extLst>
              <c:ext xmlns:c16="http://schemas.microsoft.com/office/drawing/2014/chart" uri="{C3380CC4-5D6E-409C-BE32-E72D297353CC}">
                <c16:uniqueId val="{0000029C-884B-4709-A2BC-7AD3DD2A1E6E}"/>
              </c:ext>
            </c:extLst>
          </c:dPt>
          <c:dPt>
            <c:idx val="3"/>
            <c:invertIfNegative val="0"/>
            <c:bubble3D val="0"/>
            <c:spPr>
              <a:solidFill>
                <a:srgbClr val="92D050"/>
              </a:solidFill>
              <a:ln w="3175" cmpd="sng">
                <a:noFill/>
                <a:prstDash val="solid"/>
              </a:ln>
            </c:spPr>
            <c:extLst>
              <c:ext xmlns:c16="http://schemas.microsoft.com/office/drawing/2014/chart" uri="{C3380CC4-5D6E-409C-BE32-E72D297353CC}">
                <c16:uniqueId val="{0000029E-884B-4709-A2BC-7AD3DD2A1E6E}"/>
              </c:ext>
            </c:extLst>
          </c:dPt>
          <c:dPt>
            <c:idx val="4"/>
            <c:invertIfNegative val="0"/>
            <c:bubble3D val="0"/>
            <c:spPr>
              <a:solidFill>
                <a:srgbClr val="92D050"/>
              </a:solidFill>
              <a:ln w="3175" cmpd="sng">
                <a:noFill/>
                <a:prstDash val="solid"/>
              </a:ln>
            </c:spPr>
            <c:extLst>
              <c:ext xmlns:c16="http://schemas.microsoft.com/office/drawing/2014/chart" uri="{C3380CC4-5D6E-409C-BE32-E72D297353CC}">
                <c16:uniqueId val="{000002A0-884B-4709-A2BC-7AD3DD2A1E6E}"/>
              </c:ext>
            </c:extLst>
          </c:dPt>
          <c:dPt>
            <c:idx val="5"/>
            <c:invertIfNegative val="0"/>
            <c:bubble3D val="0"/>
            <c:spPr>
              <a:solidFill>
                <a:srgbClr val="92D050"/>
              </a:solidFill>
              <a:ln w="3175" cmpd="sng">
                <a:noFill/>
                <a:prstDash val="solid"/>
              </a:ln>
            </c:spPr>
            <c:extLst>
              <c:ext xmlns:c16="http://schemas.microsoft.com/office/drawing/2014/chart" uri="{C3380CC4-5D6E-409C-BE32-E72D297353CC}">
                <c16:uniqueId val="{000002A2-884B-4709-A2BC-7AD3DD2A1E6E}"/>
              </c:ext>
            </c:extLst>
          </c:dPt>
          <c:dPt>
            <c:idx val="6"/>
            <c:invertIfNegative val="0"/>
            <c:bubble3D val="0"/>
            <c:spPr>
              <a:solidFill>
                <a:srgbClr val="92D050"/>
              </a:solidFill>
              <a:ln w="3175" cmpd="sng">
                <a:noFill/>
                <a:prstDash val="solid"/>
              </a:ln>
            </c:spPr>
            <c:extLst>
              <c:ext xmlns:c16="http://schemas.microsoft.com/office/drawing/2014/chart" uri="{C3380CC4-5D6E-409C-BE32-E72D297353CC}">
                <c16:uniqueId val="{000002A4-884B-4709-A2BC-7AD3DD2A1E6E}"/>
              </c:ext>
            </c:extLst>
          </c:dPt>
          <c:dPt>
            <c:idx val="7"/>
            <c:invertIfNegative val="0"/>
            <c:bubble3D val="0"/>
            <c:spPr>
              <a:solidFill>
                <a:srgbClr val="92D050"/>
              </a:solidFill>
              <a:ln w="3175" cmpd="sng">
                <a:noFill/>
                <a:prstDash val="solid"/>
              </a:ln>
            </c:spPr>
            <c:extLst>
              <c:ext xmlns:c16="http://schemas.microsoft.com/office/drawing/2014/chart" uri="{C3380CC4-5D6E-409C-BE32-E72D297353CC}">
                <c16:uniqueId val="{000002A6-884B-4709-A2BC-7AD3DD2A1E6E}"/>
              </c:ext>
            </c:extLst>
          </c:dPt>
          <c:dPt>
            <c:idx val="8"/>
            <c:invertIfNegative val="0"/>
            <c:bubble3D val="0"/>
            <c:spPr>
              <a:solidFill>
                <a:srgbClr val="92D050"/>
              </a:solidFill>
              <a:ln w="3175" cmpd="sng">
                <a:noFill/>
                <a:prstDash val="solid"/>
              </a:ln>
            </c:spPr>
            <c:extLst>
              <c:ext xmlns:c16="http://schemas.microsoft.com/office/drawing/2014/chart" uri="{C3380CC4-5D6E-409C-BE32-E72D297353CC}">
                <c16:uniqueId val="{000002A8-884B-4709-A2BC-7AD3DD2A1E6E}"/>
              </c:ext>
            </c:extLst>
          </c:dPt>
          <c:dPt>
            <c:idx val="9"/>
            <c:invertIfNegative val="0"/>
            <c:bubble3D val="0"/>
            <c:spPr>
              <a:solidFill>
                <a:srgbClr val="92D050"/>
              </a:solidFill>
              <a:ln w="3175" cmpd="sng">
                <a:noFill/>
                <a:prstDash val="solid"/>
              </a:ln>
            </c:spPr>
            <c:extLst>
              <c:ext xmlns:c16="http://schemas.microsoft.com/office/drawing/2014/chart" uri="{C3380CC4-5D6E-409C-BE32-E72D297353CC}">
                <c16:uniqueId val="{000002AA-884B-4709-A2BC-7AD3DD2A1E6E}"/>
              </c:ext>
            </c:extLst>
          </c:dPt>
          <c:dPt>
            <c:idx val="10"/>
            <c:invertIfNegative val="0"/>
            <c:bubble3D val="0"/>
            <c:spPr>
              <a:solidFill>
                <a:srgbClr val="92D050"/>
              </a:solidFill>
              <a:ln w="3175" cmpd="sng">
                <a:noFill/>
                <a:prstDash val="solid"/>
              </a:ln>
            </c:spPr>
            <c:extLst>
              <c:ext xmlns:c16="http://schemas.microsoft.com/office/drawing/2014/chart" uri="{C3380CC4-5D6E-409C-BE32-E72D297353CC}">
                <c16:uniqueId val="{000002AC-884B-4709-A2BC-7AD3DD2A1E6E}"/>
              </c:ext>
            </c:extLst>
          </c:dPt>
          <c:dPt>
            <c:idx val="11"/>
            <c:invertIfNegative val="0"/>
            <c:bubble3D val="0"/>
            <c:spPr>
              <a:solidFill>
                <a:srgbClr val="92D050"/>
              </a:solidFill>
              <a:ln w="3175" cmpd="sng">
                <a:noFill/>
                <a:prstDash val="solid"/>
              </a:ln>
            </c:spPr>
            <c:extLst>
              <c:ext xmlns:c16="http://schemas.microsoft.com/office/drawing/2014/chart" uri="{C3380CC4-5D6E-409C-BE32-E72D297353CC}">
                <c16:uniqueId val="{000002AE-884B-4709-A2BC-7AD3DD2A1E6E}"/>
              </c:ext>
            </c:extLst>
          </c:dPt>
          <c:dPt>
            <c:idx val="12"/>
            <c:invertIfNegative val="0"/>
            <c:bubble3D val="0"/>
            <c:spPr>
              <a:solidFill>
                <a:srgbClr val="92D050"/>
              </a:solidFill>
              <a:ln w="3175" cmpd="sng">
                <a:noFill/>
                <a:prstDash val="solid"/>
              </a:ln>
            </c:spPr>
            <c:extLst>
              <c:ext xmlns:c16="http://schemas.microsoft.com/office/drawing/2014/chart" uri="{C3380CC4-5D6E-409C-BE32-E72D297353CC}">
                <c16:uniqueId val="{000002B0-884B-4709-A2BC-7AD3DD2A1E6E}"/>
              </c:ext>
            </c:extLst>
          </c:dPt>
          <c:dPt>
            <c:idx val="13"/>
            <c:invertIfNegative val="0"/>
            <c:bubble3D val="0"/>
            <c:spPr>
              <a:solidFill>
                <a:srgbClr val="92D050"/>
              </a:solidFill>
              <a:ln w="3175" cmpd="sng">
                <a:noFill/>
                <a:prstDash val="solid"/>
              </a:ln>
            </c:spPr>
            <c:extLst>
              <c:ext xmlns:c16="http://schemas.microsoft.com/office/drawing/2014/chart" uri="{C3380CC4-5D6E-409C-BE32-E72D297353CC}">
                <c16:uniqueId val="{000002B2-884B-4709-A2BC-7AD3DD2A1E6E}"/>
              </c:ext>
            </c:extLst>
          </c:dPt>
          <c:dPt>
            <c:idx val="14"/>
            <c:invertIfNegative val="0"/>
            <c:bubble3D val="0"/>
            <c:spPr>
              <a:solidFill>
                <a:srgbClr val="92D050"/>
              </a:solidFill>
              <a:ln w="3175" cmpd="sng">
                <a:noFill/>
                <a:prstDash val="solid"/>
              </a:ln>
            </c:spPr>
            <c:extLst>
              <c:ext xmlns:c16="http://schemas.microsoft.com/office/drawing/2014/chart" uri="{C3380CC4-5D6E-409C-BE32-E72D297353CC}">
                <c16:uniqueId val="{000002B4-884B-4709-A2BC-7AD3DD2A1E6E}"/>
              </c:ext>
            </c:extLst>
          </c:dPt>
          <c:dPt>
            <c:idx val="15"/>
            <c:invertIfNegative val="0"/>
            <c:bubble3D val="0"/>
            <c:spPr>
              <a:solidFill>
                <a:srgbClr val="92D050"/>
              </a:solidFill>
              <a:ln w="3175" cmpd="sng">
                <a:noFill/>
                <a:prstDash val="solid"/>
              </a:ln>
            </c:spPr>
            <c:extLst>
              <c:ext xmlns:c16="http://schemas.microsoft.com/office/drawing/2014/chart" uri="{C3380CC4-5D6E-409C-BE32-E72D297353CC}">
                <c16:uniqueId val="{000002B6-884B-4709-A2BC-7AD3DD2A1E6E}"/>
              </c:ext>
            </c:extLst>
          </c:dPt>
          <c:dPt>
            <c:idx val="16"/>
            <c:invertIfNegative val="0"/>
            <c:bubble3D val="0"/>
            <c:spPr>
              <a:solidFill>
                <a:srgbClr val="92D050"/>
              </a:solidFill>
              <a:ln w="3175" cmpd="sng">
                <a:noFill/>
                <a:prstDash val="solid"/>
              </a:ln>
            </c:spPr>
            <c:extLst>
              <c:ext xmlns:c16="http://schemas.microsoft.com/office/drawing/2014/chart" uri="{C3380CC4-5D6E-409C-BE32-E72D297353CC}">
                <c16:uniqueId val="{000002B8-884B-4709-A2BC-7AD3DD2A1E6E}"/>
              </c:ext>
            </c:extLst>
          </c:dPt>
          <c:dPt>
            <c:idx val="17"/>
            <c:invertIfNegative val="0"/>
            <c:bubble3D val="0"/>
            <c:spPr>
              <a:solidFill>
                <a:srgbClr val="92D050"/>
              </a:solidFill>
              <a:ln w="3175" cmpd="sng">
                <a:noFill/>
                <a:prstDash val="solid"/>
              </a:ln>
            </c:spPr>
            <c:extLst>
              <c:ext xmlns:c16="http://schemas.microsoft.com/office/drawing/2014/chart" uri="{C3380CC4-5D6E-409C-BE32-E72D297353CC}">
                <c16:uniqueId val="{000002BA-884B-4709-A2BC-7AD3DD2A1E6E}"/>
              </c:ext>
            </c:extLst>
          </c:dPt>
          <c:dPt>
            <c:idx val="18"/>
            <c:invertIfNegative val="0"/>
            <c:bubble3D val="0"/>
            <c:spPr>
              <a:solidFill>
                <a:srgbClr val="92D050"/>
              </a:solidFill>
              <a:ln w="3175" cmpd="sng">
                <a:noFill/>
                <a:prstDash val="solid"/>
              </a:ln>
            </c:spPr>
            <c:extLst>
              <c:ext xmlns:c16="http://schemas.microsoft.com/office/drawing/2014/chart" uri="{C3380CC4-5D6E-409C-BE32-E72D297353CC}">
                <c16:uniqueId val="{000002BC-884B-4709-A2BC-7AD3DD2A1E6E}"/>
              </c:ext>
            </c:extLst>
          </c:dPt>
          <c:dPt>
            <c:idx val="19"/>
            <c:invertIfNegative val="0"/>
            <c:bubble3D val="0"/>
            <c:spPr>
              <a:solidFill>
                <a:srgbClr val="92D050"/>
              </a:solidFill>
              <a:ln w="3175" cmpd="sng">
                <a:noFill/>
                <a:prstDash val="solid"/>
              </a:ln>
            </c:spPr>
            <c:extLst>
              <c:ext xmlns:c16="http://schemas.microsoft.com/office/drawing/2014/chart" uri="{C3380CC4-5D6E-409C-BE32-E72D297353CC}">
                <c16:uniqueId val="{000002BE-884B-4709-A2BC-7AD3DD2A1E6E}"/>
              </c:ext>
            </c:extLst>
          </c:dPt>
          <c:dPt>
            <c:idx val="20"/>
            <c:invertIfNegative val="0"/>
            <c:bubble3D val="0"/>
            <c:spPr>
              <a:solidFill>
                <a:srgbClr val="92D050"/>
              </a:solidFill>
              <a:ln w="3175" cmpd="sng">
                <a:noFill/>
                <a:prstDash val="solid"/>
              </a:ln>
            </c:spPr>
            <c:extLst>
              <c:ext xmlns:c16="http://schemas.microsoft.com/office/drawing/2014/chart" uri="{C3380CC4-5D6E-409C-BE32-E72D297353CC}">
                <c16:uniqueId val="{000002C0-884B-4709-A2BC-7AD3DD2A1E6E}"/>
              </c:ext>
            </c:extLst>
          </c:dPt>
          <c:dPt>
            <c:idx val="21"/>
            <c:invertIfNegative val="0"/>
            <c:bubble3D val="0"/>
            <c:spPr>
              <a:solidFill>
                <a:srgbClr val="92D050"/>
              </a:solidFill>
              <a:ln w="3175" cmpd="sng">
                <a:noFill/>
                <a:prstDash val="solid"/>
              </a:ln>
            </c:spPr>
            <c:extLst>
              <c:ext xmlns:c16="http://schemas.microsoft.com/office/drawing/2014/chart" uri="{C3380CC4-5D6E-409C-BE32-E72D297353CC}">
                <c16:uniqueId val="{000002C2-884B-4709-A2BC-7AD3DD2A1E6E}"/>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Data'!$C$14:$X$14</c:f>
              <c:numCache>
                <c:formatCode>#,##0_ ;\-#,##0\ </c:formatCode>
                <c:ptCount val="22"/>
                <c:pt idx="0">
                  <c:v>116.13235886472998</c:v>
                </c:pt>
                <c:pt idx="1">
                  <c:v>231.12764421599991</c:v>
                </c:pt>
                <c:pt idx="2">
                  <c:v>332.52699279825993</c:v>
                </c:pt>
                <c:pt idx="3">
                  <c:v>497.38559850706008</c:v>
                </c:pt>
                <c:pt idx="4">
                  <c:v>744.45121283355957</c:v>
                </c:pt>
                <c:pt idx="5">
                  <c:v>914.39689432758951</c:v>
                </c:pt>
                <c:pt idx="6">
                  <c:v>1040.2391702520285</c:v>
                </c:pt>
                <c:pt idx="7">
                  <c:v>1180.589770208642</c:v>
                </c:pt>
                <c:pt idx="8">
                  <c:v>1303.0786585077208</c:v>
                </c:pt>
                <c:pt idx="9">
                  <c:v>1498.8965829328981</c:v>
                </c:pt>
                <c:pt idx="10">
                  <c:v>1675.8232120222121</c:v>
                </c:pt>
                <c:pt idx="11">
                  <c:v>1832.0236453246212</c:v>
                </c:pt>
                <c:pt idx="12">
                  <c:v>1909.4560453597587</c:v>
                </c:pt>
                <c:pt idx="13">
                  <c:v>2042.5670445955207</c:v>
                </c:pt>
                <c:pt idx="14">
                  <c:v>2161.6203101253991</c:v>
                </c:pt>
                <c:pt idx="15">
                  <c:v>2286.7760709805111</c:v>
                </c:pt>
                <c:pt idx="16">
                  <c:v>2408.6692947969495</c:v>
                </c:pt>
                <c:pt idx="17">
                  <c:v>2534.2241191634689</c:v>
                </c:pt>
                <c:pt idx="18">
                  <c:v>2642.41608820588</c:v>
                </c:pt>
                <c:pt idx="19">
                  <c:v>2751.5241217478269</c:v>
                </c:pt>
                <c:pt idx="20">
                  <c:v>2834.9165091142099</c:v>
                </c:pt>
                <c:pt idx="21">
                  <c:v>2944.2596078927709</c:v>
                </c:pt>
              </c:numCache>
            </c:numRef>
          </c:val>
          <c:extLst>
            <c:ext xmlns:c16="http://schemas.microsoft.com/office/drawing/2014/chart" uri="{C3380CC4-5D6E-409C-BE32-E72D297353CC}">
              <c16:uniqueId val="{000002C3-884B-4709-A2BC-7AD3DD2A1E6E}"/>
            </c:ext>
          </c:extLst>
        </c:ser>
        <c:ser>
          <c:idx val="12"/>
          <c:order val="10"/>
          <c:tx>
            <c:strRef>
              <c:f>'NEMEnergyGenerated Data'!$B$15</c:f>
              <c:strCache>
                <c:ptCount val="1"/>
                <c:pt idx="0">
                  <c:v>Rooftop PV</c:v>
                </c:pt>
              </c:strCache>
            </c:strRef>
          </c:tx>
          <c:spPr>
            <a:solidFill>
              <a:srgbClr val="FFE7A7"/>
            </a:solidFill>
            <a:ln>
              <a:noFill/>
            </a:ln>
          </c:spPr>
          <c:invertIfNegative val="0"/>
          <c:dPt>
            <c:idx val="0"/>
            <c:invertIfNegative val="0"/>
            <c:bubble3D val="0"/>
            <c:spPr>
              <a:solidFill>
                <a:srgbClr val="FFE7A7"/>
              </a:solidFill>
              <a:ln w="3175" cmpd="sng">
                <a:noFill/>
                <a:prstDash val="solid"/>
              </a:ln>
            </c:spPr>
            <c:extLst>
              <c:ext xmlns:c16="http://schemas.microsoft.com/office/drawing/2014/chart" uri="{C3380CC4-5D6E-409C-BE32-E72D297353CC}">
                <c16:uniqueId val="{00000317-884B-4709-A2BC-7AD3DD2A1E6E}"/>
              </c:ext>
            </c:extLst>
          </c:dPt>
          <c:dPt>
            <c:idx val="1"/>
            <c:invertIfNegative val="0"/>
            <c:bubble3D val="0"/>
            <c:spPr>
              <a:solidFill>
                <a:srgbClr val="FFE7A7"/>
              </a:solidFill>
              <a:ln w="3175" cmpd="sng">
                <a:noFill/>
                <a:prstDash val="solid"/>
              </a:ln>
            </c:spPr>
            <c:extLst>
              <c:ext xmlns:c16="http://schemas.microsoft.com/office/drawing/2014/chart" uri="{C3380CC4-5D6E-409C-BE32-E72D297353CC}">
                <c16:uniqueId val="{00000319-884B-4709-A2BC-7AD3DD2A1E6E}"/>
              </c:ext>
            </c:extLst>
          </c:dPt>
          <c:dPt>
            <c:idx val="2"/>
            <c:invertIfNegative val="0"/>
            <c:bubble3D val="0"/>
            <c:spPr>
              <a:solidFill>
                <a:srgbClr val="FFE7A7"/>
              </a:solidFill>
              <a:ln w="3175" cmpd="sng">
                <a:noFill/>
                <a:prstDash val="solid"/>
              </a:ln>
            </c:spPr>
            <c:extLst>
              <c:ext xmlns:c16="http://schemas.microsoft.com/office/drawing/2014/chart" uri="{C3380CC4-5D6E-409C-BE32-E72D297353CC}">
                <c16:uniqueId val="{0000031B-884B-4709-A2BC-7AD3DD2A1E6E}"/>
              </c:ext>
            </c:extLst>
          </c:dPt>
          <c:dPt>
            <c:idx val="3"/>
            <c:invertIfNegative val="0"/>
            <c:bubble3D val="0"/>
            <c:spPr>
              <a:solidFill>
                <a:srgbClr val="FFE7A7"/>
              </a:solidFill>
              <a:ln w="3175" cmpd="sng">
                <a:noFill/>
                <a:prstDash val="solid"/>
              </a:ln>
            </c:spPr>
            <c:extLst>
              <c:ext xmlns:c16="http://schemas.microsoft.com/office/drawing/2014/chart" uri="{C3380CC4-5D6E-409C-BE32-E72D297353CC}">
                <c16:uniqueId val="{0000031D-884B-4709-A2BC-7AD3DD2A1E6E}"/>
              </c:ext>
            </c:extLst>
          </c:dPt>
          <c:dPt>
            <c:idx val="4"/>
            <c:invertIfNegative val="0"/>
            <c:bubble3D val="0"/>
            <c:spPr>
              <a:solidFill>
                <a:srgbClr val="FFE7A7"/>
              </a:solidFill>
              <a:ln w="3175" cmpd="sng">
                <a:noFill/>
                <a:prstDash val="solid"/>
              </a:ln>
            </c:spPr>
            <c:extLst>
              <c:ext xmlns:c16="http://schemas.microsoft.com/office/drawing/2014/chart" uri="{C3380CC4-5D6E-409C-BE32-E72D297353CC}">
                <c16:uniqueId val="{0000031F-884B-4709-A2BC-7AD3DD2A1E6E}"/>
              </c:ext>
            </c:extLst>
          </c:dPt>
          <c:dPt>
            <c:idx val="5"/>
            <c:invertIfNegative val="0"/>
            <c:bubble3D val="0"/>
            <c:spPr>
              <a:solidFill>
                <a:srgbClr val="FFE7A7"/>
              </a:solidFill>
              <a:ln w="3175" cmpd="sng">
                <a:noFill/>
                <a:prstDash val="solid"/>
              </a:ln>
            </c:spPr>
            <c:extLst>
              <c:ext xmlns:c16="http://schemas.microsoft.com/office/drawing/2014/chart" uri="{C3380CC4-5D6E-409C-BE32-E72D297353CC}">
                <c16:uniqueId val="{00000321-884B-4709-A2BC-7AD3DD2A1E6E}"/>
              </c:ext>
            </c:extLst>
          </c:dPt>
          <c:dPt>
            <c:idx val="6"/>
            <c:invertIfNegative val="0"/>
            <c:bubble3D val="0"/>
            <c:spPr>
              <a:solidFill>
                <a:srgbClr val="FFE7A7"/>
              </a:solidFill>
              <a:ln w="3175" cmpd="sng">
                <a:noFill/>
                <a:prstDash val="solid"/>
              </a:ln>
            </c:spPr>
            <c:extLst>
              <c:ext xmlns:c16="http://schemas.microsoft.com/office/drawing/2014/chart" uri="{C3380CC4-5D6E-409C-BE32-E72D297353CC}">
                <c16:uniqueId val="{00000323-884B-4709-A2BC-7AD3DD2A1E6E}"/>
              </c:ext>
            </c:extLst>
          </c:dPt>
          <c:dPt>
            <c:idx val="7"/>
            <c:invertIfNegative val="0"/>
            <c:bubble3D val="0"/>
            <c:spPr>
              <a:solidFill>
                <a:srgbClr val="FFE7A7"/>
              </a:solidFill>
              <a:ln w="3175" cmpd="sng">
                <a:noFill/>
                <a:prstDash val="solid"/>
              </a:ln>
            </c:spPr>
            <c:extLst>
              <c:ext xmlns:c16="http://schemas.microsoft.com/office/drawing/2014/chart" uri="{C3380CC4-5D6E-409C-BE32-E72D297353CC}">
                <c16:uniqueId val="{00000325-884B-4709-A2BC-7AD3DD2A1E6E}"/>
              </c:ext>
            </c:extLst>
          </c:dPt>
          <c:dPt>
            <c:idx val="8"/>
            <c:invertIfNegative val="0"/>
            <c:bubble3D val="0"/>
            <c:spPr>
              <a:solidFill>
                <a:srgbClr val="FFE7A7"/>
              </a:solidFill>
              <a:ln w="3175" cmpd="sng">
                <a:noFill/>
                <a:prstDash val="solid"/>
              </a:ln>
            </c:spPr>
            <c:extLst>
              <c:ext xmlns:c16="http://schemas.microsoft.com/office/drawing/2014/chart" uri="{C3380CC4-5D6E-409C-BE32-E72D297353CC}">
                <c16:uniqueId val="{00000327-884B-4709-A2BC-7AD3DD2A1E6E}"/>
              </c:ext>
            </c:extLst>
          </c:dPt>
          <c:dPt>
            <c:idx val="9"/>
            <c:invertIfNegative val="0"/>
            <c:bubble3D val="0"/>
            <c:spPr>
              <a:solidFill>
                <a:srgbClr val="FFE7A7"/>
              </a:solidFill>
              <a:ln w="3175" cmpd="sng">
                <a:noFill/>
                <a:prstDash val="solid"/>
              </a:ln>
            </c:spPr>
            <c:extLst>
              <c:ext xmlns:c16="http://schemas.microsoft.com/office/drawing/2014/chart" uri="{C3380CC4-5D6E-409C-BE32-E72D297353CC}">
                <c16:uniqueId val="{00000329-884B-4709-A2BC-7AD3DD2A1E6E}"/>
              </c:ext>
            </c:extLst>
          </c:dPt>
          <c:dPt>
            <c:idx val="10"/>
            <c:invertIfNegative val="0"/>
            <c:bubble3D val="0"/>
            <c:spPr>
              <a:solidFill>
                <a:srgbClr val="FFE7A7"/>
              </a:solidFill>
              <a:ln w="3175" cmpd="sng">
                <a:noFill/>
                <a:prstDash val="solid"/>
              </a:ln>
            </c:spPr>
            <c:extLst>
              <c:ext xmlns:c16="http://schemas.microsoft.com/office/drawing/2014/chart" uri="{C3380CC4-5D6E-409C-BE32-E72D297353CC}">
                <c16:uniqueId val="{0000032B-884B-4709-A2BC-7AD3DD2A1E6E}"/>
              </c:ext>
            </c:extLst>
          </c:dPt>
          <c:dPt>
            <c:idx val="11"/>
            <c:invertIfNegative val="0"/>
            <c:bubble3D val="0"/>
            <c:spPr>
              <a:solidFill>
                <a:srgbClr val="FFE7A7"/>
              </a:solidFill>
              <a:ln w="3175" cmpd="sng">
                <a:noFill/>
                <a:prstDash val="solid"/>
              </a:ln>
            </c:spPr>
            <c:extLst>
              <c:ext xmlns:c16="http://schemas.microsoft.com/office/drawing/2014/chart" uri="{C3380CC4-5D6E-409C-BE32-E72D297353CC}">
                <c16:uniqueId val="{0000032D-884B-4709-A2BC-7AD3DD2A1E6E}"/>
              </c:ext>
            </c:extLst>
          </c:dPt>
          <c:dPt>
            <c:idx val="12"/>
            <c:invertIfNegative val="0"/>
            <c:bubble3D val="0"/>
            <c:spPr>
              <a:solidFill>
                <a:srgbClr val="FFE7A7"/>
              </a:solidFill>
              <a:ln w="3175" cmpd="sng">
                <a:noFill/>
                <a:prstDash val="solid"/>
              </a:ln>
            </c:spPr>
            <c:extLst>
              <c:ext xmlns:c16="http://schemas.microsoft.com/office/drawing/2014/chart" uri="{C3380CC4-5D6E-409C-BE32-E72D297353CC}">
                <c16:uniqueId val="{0000032F-884B-4709-A2BC-7AD3DD2A1E6E}"/>
              </c:ext>
            </c:extLst>
          </c:dPt>
          <c:dPt>
            <c:idx val="13"/>
            <c:invertIfNegative val="0"/>
            <c:bubble3D val="0"/>
            <c:spPr>
              <a:solidFill>
                <a:srgbClr val="FFE7A7"/>
              </a:solidFill>
              <a:ln w="3175" cmpd="sng">
                <a:noFill/>
                <a:prstDash val="solid"/>
              </a:ln>
            </c:spPr>
            <c:extLst>
              <c:ext xmlns:c16="http://schemas.microsoft.com/office/drawing/2014/chart" uri="{C3380CC4-5D6E-409C-BE32-E72D297353CC}">
                <c16:uniqueId val="{00000331-884B-4709-A2BC-7AD3DD2A1E6E}"/>
              </c:ext>
            </c:extLst>
          </c:dPt>
          <c:dPt>
            <c:idx val="14"/>
            <c:invertIfNegative val="0"/>
            <c:bubble3D val="0"/>
            <c:spPr>
              <a:solidFill>
                <a:srgbClr val="FFE7A7"/>
              </a:solidFill>
              <a:ln w="3175" cmpd="sng">
                <a:noFill/>
                <a:prstDash val="solid"/>
              </a:ln>
            </c:spPr>
            <c:extLst>
              <c:ext xmlns:c16="http://schemas.microsoft.com/office/drawing/2014/chart" uri="{C3380CC4-5D6E-409C-BE32-E72D297353CC}">
                <c16:uniqueId val="{00000333-884B-4709-A2BC-7AD3DD2A1E6E}"/>
              </c:ext>
            </c:extLst>
          </c:dPt>
          <c:dPt>
            <c:idx val="15"/>
            <c:invertIfNegative val="0"/>
            <c:bubble3D val="0"/>
            <c:spPr>
              <a:solidFill>
                <a:srgbClr val="FFE7A7"/>
              </a:solidFill>
              <a:ln w="3175" cmpd="sng">
                <a:noFill/>
                <a:prstDash val="solid"/>
              </a:ln>
            </c:spPr>
            <c:extLst>
              <c:ext xmlns:c16="http://schemas.microsoft.com/office/drawing/2014/chart" uri="{C3380CC4-5D6E-409C-BE32-E72D297353CC}">
                <c16:uniqueId val="{00000335-884B-4709-A2BC-7AD3DD2A1E6E}"/>
              </c:ext>
            </c:extLst>
          </c:dPt>
          <c:dPt>
            <c:idx val="16"/>
            <c:invertIfNegative val="0"/>
            <c:bubble3D val="0"/>
            <c:spPr>
              <a:solidFill>
                <a:srgbClr val="FFE7A7"/>
              </a:solidFill>
              <a:ln w="3175" cmpd="sng">
                <a:noFill/>
                <a:prstDash val="solid"/>
              </a:ln>
            </c:spPr>
            <c:extLst>
              <c:ext xmlns:c16="http://schemas.microsoft.com/office/drawing/2014/chart" uri="{C3380CC4-5D6E-409C-BE32-E72D297353CC}">
                <c16:uniqueId val="{00000337-884B-4709-A2BC-7AD3DD2A1E6E}"/>
              </c:ext>
            </c:extLst>
          </c:dPt>
          <c:dPt>
            <c:idx val="17"/>
            <c:invertIfNegative val="0"/>
            <c:bubble3D val="0"/>
            <c:spPr>
              <a:solidFill>
                <a:srgbClr val="FFE7A7"/>
              </a:solidFill>
              <a:ln w="3175" cmpd="sng">
                <a:noFill/>
                <a:prstDash val="solid"/>
              </a:ln>
            </c:spPr>
            <c:extLst>
              <c:ext xmlns:c16="http://schemas.microsoft.com/office/drawing/2014/chart" uri="{C3380CC4-5D6E-409C-BE32-E72D297353CC}">
                <c16:uniqueId val="{00000339-884B-4709-A2BC-7AD3DD2A1E6E}"/>
              </c:ext>
            </c:extLst>
          </c:dPt>
          <c:dPt>
            <c:idx val="18"/>
            <c:invertIfNegative val="0"/>
            <c:bubble3D val="0"/>
            <c:spPr>
              <a:solidFill>
                <a:srgbClr val="FFE7A7"/>
              </a:solidFill>
              <a:ln w="3175" cmpd="sng">
                <a:noFill/>
                <a:prstDash val="solid"/>
              </a:ln>
            </c:spPr>
            <c:extLst>
              <c:ext xmlns:c16="http://schemas.microsoft.com/office/drawing/2014/chart" uri="{C3380CC4-5D6E-409C-BE32-E72D297353CC}">
                <c16:uniqueId val="{0000033B-884B-4709-A2BC-7AD3DD2A1E6E}"/>
              </c:ext>
            </c:extLst>
          </c:dPt>
          <c:dPt>
            <c:idx val="19"/>
            <c:invertIfNegative val="0"/>
            <c:bubble3D val="0"/>
            <c:spPr>
              <a:solidFill>
                <a:srgbClr val="FFE7A7"/>
              </a:solidFill>
              <a:ln w="3175" cmpd="sng">
                <a:noFill/>
                <a:prstDash val="solid"/>
              </a:ln>
            </c:spPr>
            <c:extLst>
              <c:ext xmlns:c16="http://schemas.microsoft.com/office/drawing/2014/chart" uri="{C3380CC4-5D6E-409C-BE32-E72D297353CC}">
                <c16:uniqueId val="{0000033D-884B-4709-A2BC-7AD3DD2A1E6E}"/>
              </c:ext>
            </c:extLst>
          </c:dPt>
          <c:dPt>
            <c:idx val="20"/>
            <c:invertIfNegative val="0"/>
            <c:bubble3D val="0"/>
            <c:spPr>
              <a:solidFill>
                <a:srgbClr val="FFE7A7"/>
              </a:solidFill>
              <a:ln w="3175" cmpd="sng">
                <a:noFill/>
                <a:prstDash val="solid"/>
              </a:ln>
            </c:spPr>
            <c:extLst>
              <c:ext xmlns:c16="http://schemas.microsoft.com/office/drawing/2014/chart" uri="{C3380CC4-5D6E-409C-BE32-E72D297353CC}">
                <c16:uniqueId val="{0000033F-884B-4709-A2BC-7AD3DD2A1E6E}"/>
              </c:ext>
            </c:extLst>
          </c:dPt>
          <c:dPt>
            <c:idx val="21"/>
            <c:invertIfNegative val="0"/>
            <c:bubble3D val="0"/>
            <c:spPr>
              <a:solidFill>
                <a:srgbClr val="FFE7A7"/>
              </a:solidFill>
              <a:ln w="3175" cmpd="sng">
                <a:noFill/>
                <a:prstDash val="solid"/>
              </a:ln>
            </c:spPr>
            <c:extLst>
              <c:ext xmlns:c16="http://schemas.microsoft.com/office/drawing/2014/chart" uri="{C3380CC4-5D6E-409C-BE32-E72D297353CC}">
                <c16:uniqueId val="{00000341-884B-4709-A2BC-7AD3DD2A1E6E}"/>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Data'!$C$15:$X$15</c:f>
              <c:numCache>
                <c:formatCode>#,##0_ ;\-#,##0\ </c:formatCode>
                <c:ptCount val="22"/>
                <c:pt idx="0">
                  <c:v>9475</c:v>
                </c:pt>
                <c:pt idx="1">
                  <c:v>10796</c:v>
                </c:pt>
                <c:pt idx="2">
                  <c:v>12167</c:v>
                </c:pt>
                <c:pt idx="3">
                  <c:v>13376</c:v>
                </c:pt>
                <c:pt idx="4">
                  <c:v>14355</c:v>
                </c:pt>
                <c:pt idx="5">
                  <c:v>16163</c:v>
                </c:pt>
                <c:pt idx="6">
                  <c:v>17452</c:v>
                </c:pt>
                <c:pt idx="7">
                  <c:v>18649</c:v>
                </c:pt>
                <c:pt idx="8">
                  <c:v>19832</c:v>
                </c:pt>
                <c:pt idx="9">
                  <c:v>21164</c:v>
                </c:pt>
                <c:pt idx="10">
                  <c:v>22247</c:v>
                </c:pt>
                <c:pt idx="11">
                  <c:v>23373</c:v>
                </c:pt>
                <c:pt idx="12">
                  <c:v>24371</c:v>
                </c:pt>
                <c:pt idx="13">
                  <c:v>25416</c:v>
                </c:pt>
                <c:pt idx="14">
                  <c:v>26359</c:v>
                </c:pt>
                <c:pt idx="15">
                  <c:v>27143</c:v>
                </c:pt>
                <c:pt idx="16">
                  <c:v>27900</c:v>
                </c:pt>
                <c:pt idx="17">
                  <c:v>28674</c:v>
                </c:pt>
                <c:pt idx="18">
                  <c:v>29301</c:v>
                </c:pt>
                <c:pt idx="19">
                  <c:v>29864</c:v>
                </c:pt>
                <c:pt idx="20">
                  <c:v>30469</c:v>
                </c:pt>
                <c:pt idx="21">
                  <c:v>31010</c:v>
                </c:pt>
              </c:numCache>
            </c:numRef>
          </c:val>
          <c:extLst>
            <c:ext xmlns:c16="http://schemas.microsoft.com/office/drawing/2014/chart" uri="{C3380CC4-5D6E-409C-BE32-E72D297353CC}">
              <c16:uniqueId val="{00000342-884B-4709-A2BC-7AD3DD2A1E6E}"/>
            </c:ext>
          </c:extLst>
        </c:ser>
        <c:ser>
          <c:idx val="10"/>
          <c:order val="11"/>
          <c:tx>
            <c:strRef>
              <c:f>'NEMEnergyGenerated Data'!$B$13</c:f>
              <c:strCache>
                <c:ptCount val="1"/>
                <c:pt idx="0">
                  <c:v>Utility storage load</c:v>
                </c:pt>
              </c:strCache>
            </c:strRef>
          </c:tx>
          <c:spPr>
            <a:solidFill>
              <a:srgbClr val="E1A8E9"/>
            </a:solidFill>
            <a:ln>
              <a:noFill/>
            </a:ln>
          </c:spPr>
          <c:invertIfNegative val="0"/>
          <c:dPt>
            <c:idx val="0"/>
            <c:invertIfNegative val="0"/>
            <c:bubble3D val="0"/>
            <c:spPr>
              <a:solidFill>
                <a:srgbClr val="E1A8E9"/>
              </a:solidFill>
              <a:ln w="3175" cmpd="sng">
                <a:noFill/>
                <a:prstDash val="solid"/>
              </a:ln>
            </c:spPr>
            <c:extLst>
              <c:ext xmlns:c16="http://schemas.microsoft.com/office/drawing/2014/chart" uri="{C3380CC4-5D6E-409C-BE32-E72D297353CC}">
                <c16:uniqueId val="{00000360-884B-4709-A2BC-7AD3DD2A1E6E}"/>
              </c:ext>
            </c:extLst>
          </c:dPt>
          <c:dPt>
            <c:idx val="1"/>
            <c:invertIfNegative val="0"/>
            <c:bubble3D val="0"/>
            <c:spPr>
              <a:solidFill>
                <a:srgbClr val="E1A8E9"/>
              </a:solidFill>
              <a:ln w="3175" cmpd="sng">
                <a:noFill/>
                <a:prstDash val="solid"/>
              </a:ln>
            </c:spPr>
            <c:extLst>
              <c:ext xmlns:c16="http://schemas.microsoft.com/office/drawing/2014/chart" uri="{C3380CC4-5D6E-409C-BE32-E72D297353CC}">
                <c16:uniqueId val="{00000362-884B-4709-A2BC-7AD3DD2A1E6E}"/>
              </c:ext>
            </c:extLst>
          </c:dPt>
          <c:dPt>
            <c:idx val="2"/>
            <c:invertIfNegative val="0"/>
            <c:bubble3D val="0"/>
            <c:spPr>
              <a:solidFill>
                <a:srgbClr val="E1A8E9"/>
              </a:solidFill>
              <a:ln w="3175" cmpd="sng">
                <a:noFill/>
                <a:prstDash val="solid"/>
              </a:ln>
            </c:spPr>
            <c:extLst>
              <c:ext xmlns:c16="http://schemas.microsoft.com/office/drawing/2014/chart" uri="{C3380CC4-5D6E-409C-BE32-E72D297353CC}">
                <c16:uniqueId val="{00000364-884B-4709-A2BC-7AD3DD2A1E6E}"/>
              </c:ext>
            </c:extLst>
          </c:dPt>
          <c:dPt>
            <c:idx val="3"/>
            <c:invertIfNegative val="0"/>
            <c:bubble3D val="0"/>
            <c:spPr>
              <a:solidFill>
                <a:srgbClr val="E1A8E9"/>
              </a:solidFill>
              <a:ln w="3175" cmpd="sng">
                <a:noFill/>
                <a:prstDash val="solid"/>
              </a:ln>
            </c:spPr>
            <c:extLst>
              <c:ext xmlns:c16="http://schemas.microsoft.com/office/drawing/2014/chart" uri="{C3380CC4-5D6E-409C-BE32-E72D297353CC}">
                <c16:uniqueId val="{00000366-884B-4709-A2BC-7AD3DD2A1E6E}"/>
              </c:ext>
            </c:extLst>
          </c:dPt>
          <c:dPt>
            <c:idx val="4"/>
            <c:invertIfNegative val="0"/>
            <c:bubble3D val="0"/>
            <c:spPr>
              <a:solidFill>
                <a:srgbClr val="E1A8E9"/>
              </a:solidFill>
              <a:ln w="3175" cmpd="sng">
                <a:noFill/>
                <a:prstDash val="solid"/>
              </a:ln>
            </c:spPr>
            <c:extLst>
              <c:ext xmlns:c16="http://schemas.microsoft.com/office/drawing/2014/chart" uri="{C3380CC4-5D6E-409C-BE32-E72D297353CC}">
                <c16:uniqueId val="{00000368-884B-4709-A2BC-7AD3DD2A1E6E}"/>
              </c:ext>
            </c:extLst>
          </c:dPt>
          <c:dPt>
            <c:idx val="5"/>
            <c:invertIfNegative val="0"/>
            <c:bubble3D val="0"/>
            <c:spPr>
              <a:solidFill>
                <a:srgbClr val="E1A8E9"/>
              </a:solidFill>
              <a:ln w="3175" cmpd="sng">
                <a:noFill/>
                <a:prstDash val="solid"/>
              </a:ln>
            </c:spPr>
            <c:extLst>
              <c:ext xmlns:c16="http://schemas.microsoft.com/office/drawing/2014/chart" uri="{C3380CC4-5D6E-409C-BE32-E72D297353CC}">
                <c16:uniqueId val="{0000036A-884B-4709-A2BC-7AD3DD2A1E6E}"/>
              </c:ext>
            </c:extLst>
          </c:dPt>
          <c:dPt>
            <c:idx val="6"/>
            <c:invertIfNegative val="0"/>
            <c:bubble3D val="0"/>
            <c:spPr>
              <a:solidFill>
                <a:srgbClr val="E1A8E9"/>
              </a:solidFill>
              <a:ln w="3175" cmpd="sng">
                <a:noFill/>
                <a:prstDash val="solid"/>
              </a:ln>
            </c:spPr>
            <c:extLst>
              <c:ext xmlns:c16="http://schemas.microsoft.com/office/drawing/2014/chart" uri="{C3380CC4-5D6E-409C-BE32-E72D297353CC}">
                <c16:uniqueId val="{0000036C-884B-4709-A2BC-7AD3DD2A1E6E}"/>
              </c:ext>
            </c:extLst>
          </c:dPt>
          <c:dPt>
            <c:idx val="7"/>
            <c:invertIfNegative val="0"/>
            <c:bubble3D val="0"/>
            <c:spPr>
              <a:solidFill>
                <a:srgbClr val="E1A8E9"/>
              </a:solidFill>
              <a:ln w="3175" cmpd="sng">
                <a:noFill/>
                <a:prstDash val="solid"/>
              </a:ln>
            </c:spPr>
            <c:extLst>
              <c:ext xmlns:c16="http://schemas.microsoft.com/office/drawing/2014/chart" uri="{C3380CC4-5D6E-409C-BE32-E72D297353CC}">
                <c16:uniqueId val="{0000036E-884B-4709-A2BC-7AD3DD2A1E6E}"/>
              </c:ext>
            </c:extLst>
          </c:dPt>
          <c:dPt>
            <c:idx val="8"/>
            <c:invertIfNegative val="0"/>
            <c:bubble3D val="0"/>
            <c:spPr>
              <a:solidFill>
                <a:srgbClr val="E1A8E9"/>
              </a:solidFill>
              <a:ln w="3175" cmpd="sng">
                <a:noFill/>
                <a:prstDash val="solid"/>
              </a:ln>
            </c:spPr>
            <c:extLst>
              <c:ext xmlns:c16="http://schemas.microsoft.com/office/drawing/2014/chart" uri="{C3380CC4-5D6E-409C-BE32-E72D297353CC}">
                <c16:uniqueId val="{00000370-884B-4709-A2BC-7AD3DD2A1E6E}"/>
              </c:ext>
            </c:extLst>
          </c:dPt>
          <c:dPt>
            <c:idx val="9"/>
            <c:invertIfNegative val="0"/>
            <c:bubble3D val="0"/>
            <c:spPr>
              <a:solidFill>
                <a:srgbClr val="E1A8E9"/>
              </a:solidFill>
              <a:ln w="3175" cmpd="sng">
                <a:noFill/>
                <a:prstDash val="solid"/>
              </a:ln>
            </c:spPr>
            <c:extLst>
              <c:ext xmlns:c16="http://schemas.microsoft.com/office/drawing/2014/chart" uri="{C3380CC4-5D6E-409C-BE32-E72D297353CC}">
                <c16:uniqueId val="{00000372-884B-4709-A2BC-7AD3DD2A1E6E}"/>
              </c:ext>
            </c:extLst>
          </c:dPt>
          <c:dPt>
            <c:idx val="10"/>
            <c:invertIfNegative val="0"/>
            <c:bubble3D val="0"/>
            <c:spPr>
              <a:solidFill>
                <a:srgbClr val="E1A8E9"/>
              </a:solidFill>
              <a:ln w="3175" cmpd="sng">
                <a:noFill/>
                <a:prstDash val="solid"/>
              </a:ln>
            </c:spPr>
            <c:extLst>
              <c:ext xmlns:c16="http://schemas.microsoft.com/office/drawing/2014/chart" uri="{C3380CC4-5D6E-409C-BE32-E72D297353CC}">
                <c16:uniqueId val="{00000374-884B-4709-A2BC-7AD3DD2A1E6E}"/>
              </c:ext>
            </c:extLst>
          </c:dPt>
          <c:dPt>
            <c:idx val="11"/>
            <c:invertIfNegative val="0"/>
            <c:bubble3D val="0"/>
            <c:spPr>
              <a:solidFill>
                <a:srgbClr val="E1A8E9"/>
              </a:solidFill>
              <a:ln w="3175" cmpd="sng">
                <a:noFill/>
                <a:prstDash val="solid"/>
              </a:ln>
            </c:spPr>
            <c:extLst>
              <c:ext xmlns:c16="http://schemas.microsoft.com/office/drawing/2014/chart" uri="{C3380CC4-5D6E-409C-BE32-E72D297353CC}">
                <c16:uniqueId val="{00000376-884B-4709-A2BC-7AD3DD2A1E6E}"/>
              </c:ext>
            </c:extLst>
          </c:dPt>
          <c:dPt>
            <c:idx val="12"/>
            <c:invertIfNegative val="0"/>
            <c:bubble3D val="0"/>
            <c:spPr>
              <a:solidFill>
                <a:srgbClr val="E1A8E9"/>
              </a:solidFill>
              <a:ln w="3175" cmpd="sng">
                <a:noFill/>
                <a:prstDash val="solid"/>
              </a:ln>
            </c:spPr>
            <c:extLst>
              <c:ext xmlns:c16="http://schemas.microsoft.com/office/drawing/2014/chart" uri="{C3380CC4-5D6E-409C-BE32-E72D297353CC}">
                <c16:uniqueId val="{00000378-884B-4709-A2BC-7AD3DD2A1E6E}"/>
              </c:ext>
            </c:extLst>
          </c:dPt>
          <c:dPt>
            <c:idx val="13"/>
            <c:invertIfNegative val="0"/>
            <c:bubble3D val="0"/>
            <c:spPr>
              <a:solidFill>
                <a:srgbClr val="E1A8E9"/>
              </a:solidFill>
              <a:ln w="3175" cmpd="sng">
                <a:noFill/>
                <a:prstDash val="solid"/>
              </a:ln>
            </c:spPr>
            <c:extLst>
              <c:ext xmlns:c16="http://schemas.microsoft.com/office/drawing/2014/chart" uri="{C3380CC4-5D6E-409C-BE32-E72D297353CC}">
                <c16:uniqueId val="{0000037A-884B-4709-A2BC-7AD3DD2A1E6E}"/>
              </c:ext>
            </c:extLst>
          </c:dPt>
          <c:dPt>
            <c:idx val="14"/>
            <c:invertIfNegative val="0"/>
            <c:bubble3D val="0"/>
            <c:spPr>
              <a:solidFill>
                <a:srgbClr val="E1A8E9"/>
              </a:solidFill>
              <a:ln w="3175" cmpd="sng">
                <a:noFill/>
                <a:prstDash val="solid"/>
              </a:ln>
            </c:spPr>
            <c:extLst>
              <c:ext xmlns:c16="http://schemas.microsoft.com/office/drawing/2014/chart" uri="{C3380CC4-5D6E-409C-BE32-E72D297353CC}">
                <c16:uniqueId val="{0000037C-884B-4709-A2BC-7AD3DD2A1E6E}"/>
              </c:ext>
            </c:extLst>
          </c:dPt>
          <c:dPt>
            <c:idx val="15"/>
            <c:invertIfNegative val="0"/>
            <c:bubble3D val="0"/>
            <c:spPr>
              <a:solidFill>
                <a:srgbClr val="E1A8E9"/>
              </a:solidFill>
              <a:ln w="3175" cmpd="sng">
                <a:noFill/>
                <a:prstDash val="solid"/>
              </a:ln>
            </c:spPr>
            <c:extLst>
              <c:ext xmlns:c16="http://schemas.microsoft.com/office/drawing/2014/chart" uri="{C3380CC4-5D6E-409C-BE32-E72D297353CC}">
                <c16:uniqueId val="{0000037E-884B-4709-A2BC-7AD3DD2A1E6E}"/>
              </c:ext>
            </c:extLst>
          </c:dPt>
          <c:dPt>
            <c:idx val="16"/>
            <c:invertIfNegative val="0"/>
            <c:bubble3D val="0"/>
            <c:spPr>
              <a:solidFill>
                <a:srgbClr val="E1A8E9"/>
              </a:solidFill>
              <a:ln w="3175" cmpd="sng">
                <a:noFill/>
                <a:prstDash val="solid"/>
              </a:ln>
            </c:spPr>
            <c:extLst>
              <c:ext xmlns:c16="http://schemas.microsoft.com/office/drawing/2014/chart" uri="{C3380CC4-5D6E-409C-BE32-E72D297353CC}">
                <c16:uniqueId val="{00000380-884B-4709-A2BC-7AD3DD2A1E6E}"/>
              </c:ext>
            </c:extLst>
          </c:dPt>
          <c:dPt>
            <c:idx val="17"/>
            <c:invertIfNegative val="0"/>
            <c:bubble3D val="0"/>
            <c:spPr>
              <a:solidFill>
                <a:srgbClr val="E1A8E9"/>
              </a:solidFill>
              <a:ln w="3175" cmpd="sng">
                <a:noFill/>
                <a:prstDash val="solid"/>
              </a:ln>
            </c:spPr>
            <c:extLst>
              <c:ext xmlns:c16="http://schemas.microsoft.com/office/drawing/2014/chart" uri="{C3380CC4-5D6E-409C-BE32-E72D297353CC}">
                <c16:uniqueId val="{00000382-884B-4709-A2BC-7AD3DD2A1E6E}"/>
              </c:ext>
            </c:extLst>
          </c:dPt>
          <c:dPt>
            <c:idx val="18"/>
            <c:invertIfNegative val="0"/>
            <c:bubble3D val="0"/>
            <c:spPr>
              <a:solidFill>
                <a:srgbClr val="E1A8E9"/>
              </a:solidFill>
              <a:ln w="3175" cmpd="sng">
                <a:noFill/>
                <a:prstDash val="solid"/>
              </a:ln>
            </c:spPr>
            <c:extLst>
              <c:ext xmlns:c16="http://schemas.microsoft.com/office/drawing/2014/chart" uri="{C3380CC4-5D6E-409C-BE32-E72D297353CC}">
                <c16:uniqueId val="{00000384-884B-4709-A2BC-7AD3DD2A1E6E}"/>
              </c:ext>
            </c:extLst>
          </c:dPt>
          <c:dPt>
            <c:idx val="19"/>
            <c:invertIfNegative val="0"/>
            <c:bubble3D val="0"/>
            <c:spPr>
              <a:solidFill>
                <a:srgbClr val="E1A8E9"/>
              </a:solidFill>
              <a:ln w="3175" cmpd="sng">
                <a:noFill/>
                <a:prstDash val="solid"/>
              </a:ln>
            </c:spPr>
            <c:extLst>
              <c:ext xmlns:c16="http://schemas.microsoft.com/office/drawing/2014/chart" uri="{C3380CC4-5D6E-409C-BE32-E72D297353CC}">
                <c16:uniqueId val="{00000386-884B-4709-A2BC-7AD3DD2A1E6E}"/>
              </c:ext>
            </c:extLst>
          </c:dPt>
          <c:dPt>
            <c:idx val="20"/>
            <c:invertIfNegative val="0"/>
            <c:bubble3D val="0"/>
            <c:spPr>
              <a:solidFill>
                <a:srgbClr val="E1A8E9"/>
              </a:solidFill>
              <a:ln w="3175" cmpd="sng">
                <a:noFill/>
                <a:prstDash val="solid"/>
              </a:ln>
            </c:spPr>
            <c:extLst>
              <c:ext xmlns:c16="http://schemas.microsoft.com/office/drawing/2014/chart" uri="{C3380CC4-5D6E-409C-BE32-E72D297353CC}">
                <c16:uniqueId val="{00000388-884B-4709-A2BC-7AD3DD2A1E6E}"/>
              </c:ext>
            </c:extLst>
          </c:dPt>
          <c:dPt>
            <c:idx val="21"/>
            <c:invertIfNegative val="0"/>
            <c:bubble3D val="0"/>
            <c:spPr>
              <a:solidFill>
                <a:srgbClr val="E1A8E9"/>
              </a:solidFill>
              <a:ln w="3175" cmpd="sng">
                <a:noFill/>
                <a:prstDash val="solid"/>
              </a:ln>
            </c:spPr>
            <c:extLst>
              <c:ext xmlns:c16="http://schemas.microsoft.com/office/drawing/2014/chart" uri="{C3380CC4-5D6E-409C-BE32-E72D297353CC}">
                <c16:uniqueId val="{0000038A-884B-4709-A2BC-7AD3DD2A1E6E}"/>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Data'!$C$13:$X$13</c:f>
              <c:numCache>
                <c:formatCode>#,##0_ ;\-#,##0\ </c:formatCode>
                <c:ptCount val="22"/>
                <c:pt idx="0">
                  <c:v>-1348.5315754511378</c:v>
                </c:pt>
                <c:pt idx="1">
                  <c:v>-143.94580262759996</c:v>
                </c:pt>
                <c:pt idx="2">
                  <c:v>-102.76634685826248</c:v>
                </c:pt>
                <c:pt idx="3">
                  <c:v>-212.03241144971244</c:v>
                </c:pt>
                <c:pt idx="4">
                  <c:v>-789.45161173838869</c:v>
                </c:pt>
                <c:pt idx="5">
                  <c:v>-827.93412497867621</c:v>
                </c:pt>
                <c:pt idx="6">
                  <c:v>-2763.4495187475627</c:v>
                </c:pt>
                <c:pt idx="7">
                  <c:v>-4579.8587020440627</c:v>
                </c:pt>
                <c:pt idx="8">
                  <c:v>-6107.7452192078636</c:v>
                </c:pt>
                <c:pt idx="9">
                  <c:v>-4022.3133054862874</c:v>
                </c:pt>
                <c:pt idx="10">
                  <c:v>-5833.5164685642267</c:v>
                </c:pt>
                <c:pt idx="11">
                  <c:v>-7769.1096499159839</c:v>
                </c:pt>
                <c:pt idx="12">
                  <c:v>-7463.9024667297217</c:v>
                </c:pt>
                <c:pt idx="13">
                  <c:v>-8176.1550429981089</c:v>
                </c:pt>
                <c:pt idx="14">
                  <c:v>-10396.220337147084</c:v>
                </c:pt>
                <c:pt idx="15">
                  <c:v>-10878.382657619091</c:v>
                </c:pt>
                <c:pt idx="16">
                  <c:v>-16095.413319357824</c:v>
                </c:pt>
                <c:pt idx="17">
                  <c:v>-23690.203358816896</c:v>
                </c:pt>
                <c:pt idx="18">
                  <c:v>-30890.150754037884</c:v>
                </c:pt>
                <c:pt idx="19">
                  <c:v>-33095.98660471302</c:v>
                </c:pt>
                <c:pt idx="20">
                  <c:v>-36132.183951261177</c:v>
                </c:pt>
                <c:pt idx="21">
                  <c:v>-37843.547643698839</c:v>
                </c:pt>
              </c:numCache>
            </c:numRef>
          </c:val>
          <c:extLst>
            <c:ext xmlns:c16="http://schemas.microsoft.com/office/drawing/2014/chart" uri="{C3380CC4-5D6E-409C-BE32-E72D297353CC}">
              <c16:uniqueId val="{0000038B-884B-4709-A2BC-7AD3DD2A1E6E}"/>
            </c:ext>
          </c:extLst>
        </c:ser>
        <c:ser>
          <c:idx val="7"/>
          <c:order val="12"/>
          <c:tx>
            <c:strRef>
              <c:f>'NEMEnergyGenerated Data'!$B$10</c:f>
              <c:strCache>
                <c:ptCount val="1"/>
                <c:pt idx="0">
                  <c:v>Distributed storage load</c:v>
                </c:pt>
              </c:strCache>
            </c:strRef>
          </c:tx>
          <c:spPr>
            <a:solidFill>
              <a:srgbClr val="89FF89"/>
            </a:solidFill>
            <a:ln>
              <a:noFill/>
            </a:ln>
            <a:effectLst/>
          </c:spPr>
          <c:invertIfNegative val="0"/>
          <c:dPt>
            <c:idx val="0"/>
            <c:invertIfNegative val="0"/>
            <c:bubble3D val="0"/>
            <c:extLst>
              <c:ext xmlns:c16="http://schemas.microsoft.com/office/drawing/2014/chart" uri="{C3380CC4-5D6E-409C-BE32-E72D297353CC}">
                <c16:uniqueId val="{00000344-884B-4709-A2BC-7AD3DD2A1E6E}"/>
              </c:ext>
            </c:extLst>
          </c:dPt>
          <c:dPt>
            <c:idx val="1"/>
            <c:invertIfNegative val="0"/>
            <c:bubble3D val="0"/>
            <c:extLst>
              <c:ext xmlns:c16="http://schemas.microsoft.com/office/drawing/2014/chart" uri="{C3380CC4-5D6E-409C-BE32-E72D297353CC}">
                <c16:uniqueId val="{00000345-884B-4709-A2BC-7AD3DD2A1E6E}"/>
              </c:ext>
            </c:extLst>
          </c:dPt>
          <c:dPt>
            <c:idx val="2"/>
            <c:invertIfNegative val="0"/>
            <c:bubble3D val="0"/>
            <c:extLst>
              <c:ext xmlns:c16="http://schemas.microsoft.com/office/drawing/2014/chart" uri="{C3380CC4-5D6E-409C-BE32-E72D297353CC}">
                <c16:uniqueId val="{00000346-884B-4709-A2BC-7AD3DD2A1E6E}"/>
              </c:ext>
            </c:extLst>
          </c:dPt>
          <c:dPt>
            <c:idx val="3"/>
            <c:invertIfNegative val="0"/>
            <c:bubble3D val="0"/>
            <c:extLst>
              <c:ext xmlns:c16="http://schemas.microsoft.com/office/drawing/2014/chart" uri="{C3380CC4-5D6E-409C-BE32-E72D297353CC}">
                <c16:uniqueId val="{00000347-884B-4709-A2BC-7AD3DD2A1E6E}"/>
              </c:ext>
            </c:extLst>
          </c:dPt>
          <c:dPt>
            <c:idx val="4"/>
            <c:invertIfNegative val="0"/>
            <c:bubble3D val="0"/>
            <c:extLst>
              <c:ext xmlns:c16="http://schemas.microsoft.com/office/drawing/2014/chart" uri="{C3380CC4-5D6E-409C-BE32-E72D297353CC}">
                <c16:uniqueId val="{00000348-884B-4709-A2BC-7AD3DD2A1E6E}"/>
              </c:ext>
            </c:extLst>
          </c:dPt>
          <c:dPt>
            <c:idx val="5"/>
            <c:invertIfNegative val="0"/>
            <c:bubble3D val="0"/>
            <c:extLst>
              <c:ext xmlns:c16="http://schemas.microsoft.com/office/drawing/2014/chart" uri="{C3380CC4-5D6E-409C-BE32-E72D297353CC}">
                <c16:uniqueId val="{00000349-884B-4709-A2BC-7AD3DD2A1E6E}"/>
              </c:ext>
            </c:extLst>
          </c:dPt>
          <c:dPt>
            <c:idx val="6"/>
            <c:invertIfNegative val="0"/>
            <c:bubble3D val="0"/>
            <c:extLst>
              <c:ext xmlns:c16="http://schemas.microsoft.com/office/drawing/2014/chart" uri="{C3380CC4-5D6E-409C-BE32-E72D297353CC}">
                <c16:uniqueId val="{0000034A-884B-4709-A2BC-7AD3DD2A1E6E}"/>
              </c:ext>
            </c:extLst>
          </c:dPt>
          <c:dPt>
            <c:idx val="7"/>
            <c:invertIfNegative val="0"/>
            <c:bubble3D val="0"/>
            <c:extLst>
              <c:ext xmlns:c16="http://schemas.microsoft.com/office/drawing/2014/chart" uri="{C3380CC4-5D6E-409C-BE32-E72D297353CC}">
                <c16:uniqueId val="{0000034B-884B-4709-A2BC-7AD3DD2A1E6E}"/>
              </c:ext>
            </c:extLst>
          </c:dPt>
          <c:dPt>
            <c:idx val="8"/>
            <c:invertIfNegative val="0"/>
            <c:bubble3D val="0"/>
            <c:extLst>
              <c:ext xmlns:c16="http://schemas.microsoft.com/office/drawing/2014/chart" uri="{C3380CC4-5D6E-409C-BE32-E72D297353CC}">
                <c16:uniqueId val="{0000034C-884B-4709-A2BC-7AD3DD2A1E6E}"/>
              </c:ext>
            </c:extLst>
          </c:dPt>
          <c:dPt>
            <c:idx val="9"/>
            <c:invertIfNegative val="0"/>
            <c:bubble3D val="0"/>
            <c:extLst>
              <c:ext xmlns:c16="http://schemas.microsoft.com/office/drawing/2014/chart" uri="{C3380CC4-5D6E-409C-BE32-E72D297353CC}">
                <c16:uniqueId val="{0000034D-884B-4709-A2BC-7AD3DD2A1E6E}"/>
              </c:ext>
            </c:extLst>
          </c:dPt>
          <c:dPt>
            <c:idx val="10"/>
            <c:invertIfNegative val="0"/>
            <c:bubble3D val="0"/>
            <c:extLst>
              <c:ext xmlns:c16="http://schemas.microsoft.com/office/drawing/2014/chart" uri="{C3380CC4-5D6E-409C-BE32-E72D297353CC}">
                <c16:uniqueId val="{0000034E-884B-4709-A2BC-7AD3DD2A1E6E}"/>
              </c:ext>
            </c:extLst>
          </c:dPt>
          <c:dPt>
            <c:idx val="11"/>
            <c:invertIfNegative val="0"/>
            <c:bubble3D val="0"/>
            <c:extLst>
              <c:ext xmlns:c16="http://schemas.microsoft.com/office/drawing/2014/chart" uri="{C3380CC4-5D6E-409C-BE32-E72D297353CC}">
                <c16:uniqueId val="{0000034F-884B-4709-A2BC-7AD3DD2A1E6E}"/>
              </c:ext>
            </c:extLst>
          </c:dPt>
          <c:dPt>
            <c:idx val="12"/>
            <c:invertIfNegative val="0"/>
            <c:bubble3D val="0"/>
            <c:extLst>
              <c:ext xmlns:c16="http://schemas.microsoft.com/office/drawing/2014/chart" uri="{C3380CC4-5D6E-409C-BE32-E72D297353CC}">
                <c16:uniqueId val="{00000350-884B-4709-A2BC-7AD3DD2A1E6E}"/>
              </c:ext>
            </c:extLst>
          </c:dPt>
          <c:dPt>
            <c:idx val="13"/>
            <c:invertIfNegative val="0"/>
            <c:bubble3D val="0"/>
            <c:extLst>
              <c:ext xmlns:c16="http://schemas.microsoft.com/office/drawing/2014/chart" uri="{C3380CC4-5D6E-409C-BE32-E72D297353CC}">
                <c16:uniqueId val="{00000351-884B-4709-A2BC-7AD3DD2A1E6E}"/>
              </c:ext>
            </c:extLst>
          </c:dPt>
          <c:dPt>
            <c:idx val="14"/>
            <c:invertIfNegative val="0"/>
            <c:bubble3D val="0"/>
            <c:extLst>
              <c:ext xmlns:c16="http://schemas.microsoft.com/office/drawing/2014/chart" uri="{C3380CC4-5D6E-409C-BE32-E72D297353CC}">
                <c16:uniqueId val="{00000352-884B-4709-A2BC-7AD3DD2A1E6E}"/>
              </c:ext>
            </c:extLst>
          </c:dPt>
          <c:dPt>
            <c:idx val="15"/>
            <c:invertIfNegative val="0"/>
            <c:bubble3D val="0"/>
            <c:extLst>
              <c:ext xmlns:c16="http://schemas.microsoft.com/office/drawing/2014/chart" uri="{C3380CC4-5D6E-409C-BE32-E72D297353CC}">
                <c16:uniqueId val="{00000353-884B-4709-A2BC-7AD3DD2A1E6E}"/>
              </c:ext>
            </c:extLst>
          </c:dPt>
          <c:dPt>
            <c:idx val="16"/>
            <c:invertIfNegative val="0"/>
            <c:bubble3D val="0"/>
            <c:extLst>
              <c:ext xmlns:c16="http://schemas.microsoft.com/office/drawing/2014/chart" uri="{C3380CC4-5D6E-409C-BE32-E72D297353CC}">
                <c16:uniqueId val="{00000354-884B-4709-A2BC-7AD3DD2A1E6E}"/>
              </c:ext>
            </c:extLst>
          </c:dPt>
          <c:dPt>
            <c:idx val="17"/>
            <c:invertIfNegative val="0"/>
            <c:bubble3D val="0"/>
            <c:extLst>
              <c:ext xmlns:c16="http://schemas.microsoft.com/office/drawing/2014/chart" uri="{C3380CC4-5D6E-409C-BE32-E72D297353CC}">
                <c16:uniqueId val="{00000355-884B-4709-A2BC-7AD3DD2A1E6E}"/>
              </c:ext>
            </c:extLst>
          </c:dPt>
          <c:dPt>
            <c:idx val="18"/>
            <c:invertIfNegative val="0"/>
            <c:bubble3D val="0"/>
            <c:extLst>
              <c:ext xmlns:c16="http://schemas.microsoft.com/office/drawing/2014/chart" uri="{C3380CC4-5D6E-409C-BE32-E72D297353CC}">
                <c16:uniqueId val="{00000356-884B-4709-A2BC-7AD3DD2A1E6E}"/>
              </c:ext>
            </c:extLst>
          </c:dPt>
          <c:dPt>
            <c:idx val="19"/>
            <c:invertIfNegative val="0"/>
            <c:bubble3D val="0"/>
            <c:extLst>
              <c:ext xmlns:c16="http://schemas.microsoft.com/office/drawing/2014/chart" uri="{C3380CC4-5D6E-409C-BE32-E72D297353CC}">
                <c16:uniqueId val="{00000357-884B-4709-A2BC-7AD3DD2A1E6E}"/>
              </c:ext>
            </c:extLst>
          </c:dPt>
          <c:dPt>
            <c:idx val="20"/>
            <c:invertIfNegative val="0"/>
            <c:bubble3D val="0"/>
            <c:extLst>
              <c:ext xmlns:c16="http://schemas.microsoft.com/office/drawing/2014/chart" uri="{C3380CC4-5D6E-409C-BE32-E72D297353CC}">
                <c16:uniqueId val="{00000358-884B-4709-A2BC-7AD3DD2A1E6E}"/>
              </c:ext>
            </c:extLst>
          </c:dPt>
          <c:dPt>
            <c:idx val="21"/>
            <c:invertIfNegative val="0"/>
            <c:bubble3D val="0"/>
            <c:extLst>
              <c:ext xmlns:c16="http://schemas.microsoft.com/office/drawing/2014/chart" uri="{C3380CC4-5D6E-409C-BE32-E72D297353CC}">
                <c16:uniqueId val="{00000359-884B-4709-A2BC-7AD3DD2A1E6E}"/>
              </c:ext>
            </c:extLst>
          </c:dPt>
          <c:dPt>
            <c:idx val="22"/>
            <c:invertIfNegative val="0"/>
            <c:bubble3D val="0"/>
            <c:extLst>
              <c:ext xmlns:c16="http://schemas.microsoft.com/office/drawing/2014/chart" uri="{C3380CC4-5D6E-409C-BE32-E72D297353CC}">
                <c16:uniqueId val="{0000035A-884B-4709-A2BC-7AD3DD2A1E6E}"/>
              </c:ext>
            </c:extLst>
          </c:dPt>
          <c:dPt>
            <c:idx val="23"/>
            <c:invertIfNegative val="0"/>
            <c:bubble3D val="0"/>
            <c:extLst>
              <c:ext xmlns:c16="http://schemas.microsoft.com/office/drawing/2014/chart" uri="{C3380CC4-5D6E-409C-BE32-E72D297353CC}">
                <c16:uniqueId val="{0000035B-884B-4709-A2BC-7AD3DD2A1E6E}"/>
              </c:ext>
            </c:extLst>
          </c:dPt>
          <c:dPt>
            <c:idx val="24"/>
            <c:invertIfNegative val="0"/>
            <c:bubble3D val="0"/>
            <c:extLst>
              <c:ext xmlns:c16="http://schemas.microsoft.com/office/drawing/2014/chart" uri="{C3380CC4-5D6E-409C-BE32-E72D297353CC}">
                <c16:uniqueId val="{0000035C-884B-4709-A2BC-7AD3DD2A1E6E}"/>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Data'!$C$10:$X$10</c:f>
              <c:numCache>
                <c:formatCode>#,##0_ ;\-#,##0\ </c:formatCode>
                <c:ptCount val="22"/>
                <c:pt idx="0">
                  <c:v>-129.03595429414443</c:v>
                </c:pt>
                <c:pt idx="1">
                  <c:v>-256.80849357333324</c:v>
                </c:pt>
                <c:pt idx="2">
                  <c:v>-369.47443644251103</c:v>
                </c:pt>
                <c:pt idx="3">
                  <c:v>-552.65066500784451</c:v>
                </c:pt>
                <c:pt idx="4">
                  <c:v>-827.16801425951064</c:v>
                </c:pt>
                <c:pt idx="5">
                  <c:v>-1015.9965492528772</c:v>
                </c:pt>
                <c:pt idx="6">
                  <c:v>-1155.8213002800317</c:v>
                </c:pt>
                <c:pt idx="7">
                  <c:v>-1311.7664113429355</c:v>
                </c:pt>
                <c:pt idx="8">
                  <c:v>-1447.8651761196897</c:v>
                </c:pt>
                <c:pt idx="9">
                  <c:v>-1665.4406477032201</c:v>
                </c:pt>
                <c:pt idx="10">
                  <c:v>-1862.0257911357912</c:v>
                </c:pt>
                <c:pt idx="11">
                  <c:v>-2035.5818281384679</c:v>
                </c:pt>
                <c:pt idx="12">
                  <c:v>-2121.6178281775096</c:v>
                </c:pt>
                <c:pt idx="13">
                  <c:v>-2269.5189384394675</c:v>
                </c:pt>
                <c:pt idx="14">
                  <c:v>-2401.8003445837767</c:v>
                </c:pt>
                <c:pt idx="15">
                  <c:v>-2540.8623010894567</c:v>
                </c:pt>
                <c:pt idx="16">
                  <c:v>-2676.2992164410548</c:v>
                </c:pt>
                <c:pt idx="17">
                  <c:v>-2815.8045768482989</c:v>
                </c:pt>
                <c:pt idx="18">
                  <c:v>-2936.0178757843109</c:v>
                </c:pt>
                <c:pt idx="19">
                  <c:v>-3057.2490241642522</c:v>
                </c:pt>
                <c:pt idx="20">
                  <c:v>-3149.9072323491218</c:v>
                </c:pt>
                <c:pt idx="21">
                  <c:v>-3271.3995643253011</c:v>
                </c:pt>
              </c:numCache>
            </c:numRef>
          </c:val>
          <c:extLst>
            <c:ext xmlns:c16="http://schemas.microsoft.com/office/drawing/2014/chart" uri="{C3380CC4-5D6E-409C-BE32-E72D297353CC}">
              <c16:uniqueId val="{0000035D-884B-4709-A2BC-7AD3DD2A1E6E}"/>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8322709635219802"/>
              <c:y val="0.74525694399438258"/>
            </c:manualLayout>
          </c:layout>
          <c:overlay val="0"/>
          <c:spPr>
            <a:noFill/>
            <a:ln>
              <a:noFill/>
            </a:ln>
            <a:effectLst/>
          </c:sp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Energy Generated (GWh)</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6.4604715849622019E-2"/>
          <c:y val="0.80836030207477083"/>
          <c:w val="0.87297990120331437"/>
          <c:h val="0.15018997401582546"/>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3526772857308464"/>
          <c:y val="3.2648402413411041E-2"/>
          <c:w val="0.84059724936764346"/>
          <c:h val="0.62071273542431116"/>
        </c:manualLayout>
      </c:layout>
      <c:barChart>
        <c:barDir val="col"/>
        <c:grouping val="stacked"/>
        <c:varyColors val="0"/>
        <c:ser>
          <c:idx val="0"/>
          <c:order val="0"/>
          <c:tx>
            <c:strRef>
              <c:f>'NewAndRetiredCapacity Data'!$A$3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13A-EF1D-4833-8337-C9FF4F024954}"/>
              </c:ext>
            </c:extLst>
          </c:dPt>
          <c:dPt>
            <c:idx val="1"/>
            <c:invertIfNegative val="0"/>
            <c:bubble3D val="0"/>
            <c:extLst>
              <c:ext xmlns:c16="http://schemas.microsoft.com/office/drawing/2014/chart" uri="{C3380CC4-5D6E-409C-BE32-E72D297353CC}">
                <c16:uniqueId val="{0000013B-EF1D-4833-8337-C9FF4F024954}"/>
              </c:ext>
            </c:extLst>
          </c:dPt>
          <c:dPt>
            <c:idx val="2"/>
            <c:invertIfNegative val="0"/>
            <c:bubble3D val="0"/>
            <c:extLst>
              <c:ext xmlns:c16="http://schemas.microsoft.com/office/drawing/2014/chart" uri="{C3380CC4-5D6E-409C-BE32-E72D297353CC}">
                <c16:uniqueId val="{0000013C-EF1D-4833-8337-C9FF4F024954}"/>
              </c:ext>
            </c:extLst>
          </c:dPt>
          <c:dPt>
            <c:idx val="3"/>
            <c:invertIfNegative val="0"/>
            <c:bubble3D val="0"/>
            <c:extLst>
              <c:ext xmlns:c16="http://schemas.microsoft.com/office/drawing/2014/chart" uri="{C3380CC4-5D6E-409C-BE32-E72D297353CC}">
                <c16:uniqueId val="{0000013D-EF1D-4833-8337-C9FF4F024954}"/>
              </c:ext>
            </c:extLst>
          </c:dPt>
          <c:dPt>
            <c:idx val="4"/>
            <c:invertIfNegative val="0"/>
            <c:bubble3D val="0"/>
            <c:extLst>
              <c:ext xmlns:c16="http://schemas.microsoft.com/office/drawing/2014/chart" uri="{C3380CC4-5D6E-409C-BE32-E72D297353CC}">
                <c16:uniqueId val="{0000013E-EF1D-4833-8337-C9FF4F024954}"/>
              </c:ext>
            </c:extLst>
          </c:dPt>
          <c:dPt>
            <c:idx val="5"/>
            <c:invertIfNegative val="0"/>
            <c:bubble3D val="0"/>
            <c:extLst>
              <c:ext xmlns:c16="http://schemas.microsoft.com/office/drawing/2014/chart" uri="{C3380CC4-5D6E-409C-BE32-E72D297353CC}">
                <c16:uniqueId val="{0000013F-EF1D-4833-8337-C9FF4F024954}"/>
              </c:ext>
            </c:extLst>
          </c:dPt>
          <c:dPt>
            <c:idx val="6"/>
            <c:invertIfNegative val="0"/>
            <c:bubble3D val="0"/>
            <c:extLst>
              <c:ext xmlns:c16="http://schemas.microsoft.com/office/drawing/2014/chart" uri="{C3380CC4-5D6E-409C-BE32-E72D297353CC}">
                <c16:uniqueId val="{00000140-EF1D-4833-8337-C9FF4F024954}"/>
              </c:ext>
            </c:extLst>
          </c:dPt>
          <c:dPt>
            <c:idx val="7"/>
            <c:invertIfNegative val="0"/>
            <c:bubble3D val="0"/>
            <c:extLst>
              <c:ext xmlns:c16="http://schemas.microsoft.com/office/drawing/2014/chart" uri="{C3380CC4-5D6E-409C-BE32-E72D297353CC}">
                <c16:uniqueId val="{00000141-EF1D-4833-8337-C9FF4F024954}"/>
              </c:ext>
            </c:extLst>
          </c:dPt>
          <c:dPt>
            <c:idx val="8"/>
            <c:invertIfNegative val="0"/>
            <c:bubble3D val="0"/>
            <c:extLst>
              <c:ext xmlns:c16="http://schemas.microsoft.com/office/drawing/2014/chart" uri="{C3380CC4-5D6E-409C-BE32-E72D297353CC}">
                <c16:uniqueId val="{00000142-EF1D-4833-8337-C9FF4F024954}"/>
              </c:ext>
            </c:extLst>
          </c:dPt>
          <c:dPt>
            <c:idx val="9"/>
            <c:invertIfNegative val="0"/>
            <c:bubble3D val="0"/>
            <c:extLst>
              <c:ext xmlns:c16="http://schemas.microsoft.com/office/drawing/2014/chart" uri="{C3380CC4-5D6E-409C-BE32-E72D297353CC}">
                <c16:uniqueId val="{00000143-EF1D-4833-8337-C9FF4F024954}"/>
              </c:ext>
            </c:extLst>
          </c:dPt>
          <c:dPt>
            <c:idx val="10"/>
            <c:invertIfNegative val="0"/>
            <c:bubble3D val="0"/>
            <c:extLst>
              <c:ext xmlns:c16="http://schemas.microsoft.com/office/drawing/2014/chart" uri="{C3380CC4-5D6E-409C-BE32-E72D297353CC}">
                <c16:uniqueId val="{00000144-EF1D-4833-8337-C9FF4F024954}"/>
              </c:ext>
            </c:extLst>
          </c:dPt>
          <c:dPt>
            <c:idx val="11"/>
            <c:invertIfNegative val="0"/>
            <c:bubble3D val="0"/>
            <c:extLst>
              <c:ext xmlns:c16="http://schemas.microsoft.com/office/drawing/2014/chart" uri="{C3380CC4-5D6E-409C-BE32-E72D297353CC}">
                <c16:uniqueId val="{00000145-EF1D-4833-8337-C9FF4F024954}"/>
              </c:ext>
            </c:extLst>
          </c:dPt>
          <c:dPt>
            <c:idx val="12"/>
            <c:invertIfNegative val="0"/>
            <c:bubble3D val="0"/>
            <c:extLst>
              <c:ext xmlns:c16="http://schemas.microsoft.com/office/drawing/2014/chart" uri="{C3380CC4-5D6E-409C-BE32-E72D297353CC}">
                <c16:uniqueId val="{00000146-EF1D-4833-8337-C9FF4F024954}"/>
              </c:ext>
            </c:extLst>
          </c:dPt>
          <c:dPt>
            <c:idx val="13"/>
            <c:invertIfNegative val="0"/>
            <c:bubble3D val="0"/>
            <c:extLst>
              <c:ext xmlns:c16="http://schemas.microsoft.com/office/drawing/2014/chart" uri="{C3380CC4-5D6E-409C-BE32-E72D297353CC}">
                <c16:uniqueId val="{00000147-EF1D-4833-8337-C9FF4F024954}"/>
              </c:ext>
            </c:extLst>
          </c:dPt>
          <c:dPt>
            <c:idx val="14"/>
            <c:invertIfNegative val="0"/>
            <c:bubble3D val="0"/>
            <c:extLst>
              <c:ext xmlns:c16="http://schemas.microsoft.com/office/drawing/2014/chart" uri="{C3380CC4-5D6E-409C-BE32-E72D297353CC}">
                <c16:uniqueId val="{00000148-EF1D-4833-8337-C9FF4F024954}"/>
              </c:ext>
            </c:extLst>
          </c:dPt>
          <c:dPt>
            <c:idx val="15"/>
            <c:invertIfNegative val="0"/>
            <c:bubble3D val="0"/>
            <c:extLst>
              <c:ext xmlns:c16="http://schemas.microsoft.com/office/drawing/2014/chart" uri="{C3380CC4-5D6E-409C-BE32-E72D297353CC}">
                <c16:uniqueId val="{00000149-EF1D-4833-8337-C9FF4F024954}"/>
              </c:ext>
            </c:extLst>
          </c:dPt>
          <c:dPt>
            <c:idx val="16"/>
            <c:invertIfNegative val="0"/>
            <c:bubble3D val="0"/>
            <c:extLst>
              <c:ext xmlns:c16="http://schemas.microsoft.com/office/drawing/2014/chart" uri="{C3380CC4-5D6E-409C-BE32-E72D297353CC}">
                <c16:uniqueId val="{0000014A-EF1D-4833-8337-C9FF4F024954}"/>
              </c:ext>
            </c:extLst>
          </c:dPt>
          <c:dPt>
            <c:idx val="17"/>
            <c:invertIfNegative val="0"/>
            <c:bubble3D val="0"/>
            <c:extLst>
              <c:ext xmlns:c16="http://schemas.microsoft.com/office/drawing/2014/chart" uri="{C3380CC4-5D6E-409C-BE32-E72D297353CC}">
                <c16:uniqueId val="{0000014B-EF1D-4833-8337-C9FF4F024954}"/>
              </c:ext>
            </c:extLst>
          </c:dPt>
          <c:dPt>
            <c:idx val="18"/>
            <c:invertIfNegative val="0"/>
            <c:bubble3D val="0"/>
            <c:extLst>
              <c:ext xmlns:c16="http://schemas.microsoft.com/office/drawing/2014/chart" uri="{C3380CC4-5D6E-409C-BE32-E72D297353CC}">
                <c16:uniqueId val="{0000014C-EF1D-4833-8337-C9FF4F024954}"/>
              </c:ext>
            </c:extLst>
          </c:dPt>
          <c:dPt>
            <c:idx val="19"/>
            <c:invertIfNegative val="0"/>
            <c:bubble3D val="0"/>
            <c:extLst>
              <c:ext xmlns:c16="http://schemas.microsoft.com/office/drawing/2014/chart" uri="{C3380CC4-5D6E-409C-BE32-E72D297353CC}">
                <c16:uniqueId val="{0000014D-EF1D-4833-8337-C9FF4F024954}"/>
              </c:ext>
            </c:extLst>
          </c:dPt>
          <c:dPt>
            <c:idx val="20"/>
            <c:invertIfNegative val="0"/>
            <c:bubble3D val="0"/>
            <c:extLst>
              <c:ext xmlns:c16="http://schemas.microsoft.com/office/drawing/2014/chart" uri="{C3380CC4-5D6E-409C-BE32-E72D297353CC}">
                <c16:uniqueId val="{0000014E-EF1D-4833-8337-C9FF4F024954}"/>
              </c:ext>
            </c:extLst>
          </c:dPt>
          <c:dPt>
            <c:idx val="21"/>
            <c:invertIfNegative val="0"/>
            <c:bubble3D val="0"/>
            <c:extLst>
              <c:ext xmlns:c16="http://schemas.microsoft.com/office/drawing/2014/chart" uri="{C3380CC4-5D6E-409C-BE32-E72D297353CC}">
                <c16:uniqueId val="{0000014F-EF1D-4833-8337-C9FF4F024954}"/>
              </c:ext>
            </c:extLst>
          </c:dPt>
          <c:dPt>
            <c:idx val="22"/>
            <c:invertIfNegative val="0"/>
            <c:bubble3D val="0"/>
            <c:extLst>
              <c:ext xmlns:c16="http://schemas.microsoft.com/office/drawing/2014/chart" uri="{C3380CC4-5D6E-409C-BE32-E72D297353CC}">
                <c16:uniqueId val="{00000150-EF1D-4833-8337-C9FF4F024954}"/>
              </c:ext>
            </c:extLst>
          </c:dPt>
          <c:dPt>
            <c:idx val="23"/>
            <c:invertIfNegative val="0"/>
            <c:bubble3D val="0"/>
            <c:extLst>
              <c:ext xmlns:c16="http://schemas.microsoft.com/office/drawing/2014/chart" uri="{C3380CC4-5D6E-409C-BE32-E72D297353CC}">
                <c16:uniqueId val="{00000151-EF1D-4833-8337-C9FF4F024954}"/>
              </c:ext>
            </c:extLst>
          </c:dPt>
          <c:dPt>
            <c:idx val="24"/>
            <c:invertIfNegative val="0"/>
            <c:bubble3D val="0"/>
            <c:extLst>
              <c:ext xmlns:c16="http://schemas.microsoft.com/office/drawing/2014/chart" uri="{C3380CC4-5D6E-409C-BE32-E72D297353CC}">
                <c16:uniqueId val="{00000152-EF1D-4833-8337-C9FF4F024954}"/>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Data'!$B$3:$W$3</c:f>
              <c:numCache>
                <c:formatCode>#,##0_ ;\-#,##0\ </c:formatCode>
                <c:ptCount val="22"/>
                <c:pt idx="0">
                  <c:v>0</c:v>
                </c:pt>
                <c:pt idx="1">
                  <c:v>0</c:v>
                </c:pt>
                <c:pt idx="2">
                  <c:v>0</c:v>
                </c:pt>
                <c:pt idx="3">
                  <c:v>0</c:v>
                </c:pt>
                <c:pt idx="4">
                  <c:v>-1800</c:v>
                </c:pt>
                <c:pt idx="5">
                  <c:v>-1800</c:v>
                </c:pt>
                <c:pt idx="6">
                  <c:v>-1800</c:v>
                </c:pt>
                <c:pt idx="7">
                  <c:v>-1800</c:v>
                </c:pt>
                <c:pt idx="8">
                  <c:v>-1800</c:v>
                </c:pt>
                <c:pt idx="9">
                  <c:v>-1800</c:v>
                </c:pt>
                <c:pt idx="10">
                  <c:v>-3120</c:v>
                </c:pt>
                <c:pt idx="11">
                  <c:v>-4800</c:v>
                </c:pt>
                <c:pt idx="12">
                  <c:v>-4800</c:v>
                </c:pt>
                <c:pt idx="13">
                  <c:v>-4800</c:v>
                </c:pt>
                <c:pt idx="14">
                  <c:v>-4800</c:v>
                </c:pt>
                <c:pt idx="15">
                  <c:v>-4800</c:v>
                </c:pt>
                <c:pt idx="16">
                  <c:v>-7680</c:v>
                </c:pt>
                <c:pt idx="17">
                  <c:v>-10320</c:v>
                </c:pt>
                <c:pt idx="18">
                  <c:v>-11720</c:v>
                </c:pt>
                <c:pt idx="19">
                  <c:v>-11720</c:v>
                </c:pt>
                <c:pt idx="20">
                  <c:v>-12420</c:v>
                </c:pt>
                <c:pt idx="21">
                  <c:v>-12420</c:v>
                </c:pt>
              </c:numCache>
            </c:numRef>
          </c:val>
          <c:extLst>
            <c:ext xmlns:c16="http://schemas.microsoft.com/office/drawing/2014/chart" uri="{C3380CC4-5D6E-409C-BE32-E72D297353CC}">
              <c16:uniqueId val="{00000153-EF1D-4833-8337-C9FF4F024954}"/>
            </c:ext>
          </c:extLst>
        </c:ser>
        <c:ser>
          <c:idx val="1"/>
          <c:order val="1"/>
          <c:tx>
            <c:strRef>
              <c:f>'NewAndRetiredCapacity Data'!$A$4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155-EF1D-4833-8337-C9FF4F024954}"/>
              </c:ext>
            </c:extLst>
          </c:dPt>
          <c:dPt>
            <c:idx val="1"/>
            <c:invertIfNegative val="0"/>
            <c:bubble3D val="0"/>
            <c:extLst>
              <c:ext xmlns:c16="http://schemas.microsoft.com/office/drawing/2014/chart" uri="{C3380CC4-5D6E-409C-BE32-E72D297353CC}">
                <c16:uniqueId val="{00000156-EF1D-4833-8337-C9FF4F024954}"/>
              </c:ext>
            </c:extLst>
          </c:dPt>
          <c:dPt>
            <c:idx val="2"/>
            <c:invertIfNegative val="0"/>
            <c:bubble3D val="0"/>
            <c:extLst>
              <c:ext xmlns:c16="http://schemas.microsoft.com/office/drawing/2014/chart" uri="{C3380CC4-5D6E-409C-BE32-E72D297353CC}">
                <c16:uniqueId val="{00000157-EF1D-4833-8337-C9FF4F024954}"/>
              </c:ext>
            </c:extLst>
          </c:dPt>
          <c:dPt>
            <c:idx val="3"/>
            <c:invertIfNegative val="0"/>
            <c:bubble3D val="0"/>
            <c:extLst>
              <c:ext xmlns:c16="http://schemas.microsoft.com/office/drawing/2014/chart" uri="{C3380CC4-5D6E-409C-BE32-E72D297353CC}">
                <c16:uniqueId val="{00000158-EF1D-4833-8337-C9FF4F024954}"/>
              </c:ext>
            </c:extLst>
          </c:dPt>
          <c:dPt>
            <c:idx val="4"/>
            <c:invertIfNegative val="0"/>
            <c:bubble3D val="0"/>
            <c:extLst>
              <c:ext xmlns:c16="http://schemas.microsoft.com/office/drawing/2014/chart" uri="{C3380CC4-5D6E-409C-BE32-E72D297353CC}">
                <c16:uniqueId val="{00000159-EF1D-4833-8337-C9FF4F024954}"/>
              </c:ext>
            </c:extLst>
          </c:dPt>
          <c:dPt>
            <c:idx val="5"/>
            <c:invertIfNegative val="0"/>
            <c:bubble3D val="0"/>
            <c:extLst>
              <c:ext xmlns:c16="http://schemas.microsoft.com/office/drawing/2014/chart" uri="{C3380CC4-5D6E-409C-BE32-E72D297353CC}">
                <c16:uniqueId val="{0000015A-EF1D-4833-8337-C9FF4F024954}"/>
              </c:ext>
            </c:extLst>
          </c:dPt>
          <c:dPt>
            <c:idx val="6"/>
            <c:invertIfNegative val="0"/>
            <c:bubble3D val="0"/>
            <c:extLst>
              <c:ext xmlns:c16="http://schemas.microsoft.com/office/drawing/2014/chart" uri="{C3380CC4-5D6E-409C-BE32-E72D297353CC}">
                <c16:uniqueId val="{0000015B-EF1D-4833-8337-C9FF4F024954}"/>
              </c:ext>
            </c:extLst>
          </c:dPt>
          <c:dPt>
            <c:idx val="7"/>
            <c:invertIfNegative val="0"/>
            <c:bubble3D val="0"/>
            <c:extLst>
              <c:ext xmlns:c16="http://schemas.microsoft.com/office/drawing/2014/chart" uri="{C3380CC4-5D6E-409C-BE32-E72D297353CC}">
                <c16:uniqueId val="{0000015C-EF1D-4833-8337-C9FF4F024954}"/>
              </c:ext>
            </c:extLst>
          </c:dPt>
          <c:dPt>
            <c:idx val="8"/>
            <c:invertIfNegative val="0"/>
            <c:bubble3D val="0"/>
            <c:extLst>
              <c:ext xmlns:c16="http://schemas.microsoft.com/office/drawing/2014/chart" uri="{C3380CC4-5D6E-409C-BE32-E72D297353CC}">
                <c16:uniqueId val="{0000015D-EF1D-4833-8337-C9FF4F024954}"/>
              </c:ext>
            </c:extLst>
          </c:dPt>
          <c:dPt>
            <c:idx val="9"/>
            <c:invertIfNegative val="0"/>
            <c:bubble3D val="0"/>
            <c:extLst>
              <c:ext xmlns:c16="http://schemas.microsoft.com/office/drawing/2014/chart" uri="{C3380CC4-5D6E-409C-BE32-E72D297353CC}">
                <c16:uniqueId val="{0000015E-EF1D-4833-8337-C9FF4F024954}"/>
              </c:ext>
            </c:extLst>
          </c:dPt>
          <c:dPt>
            <c:idx val="10"/>
            <c:invertIfNegative val="0"/>
            <c:bubble3D val="0"/>
            <c:extLst>
              <c:ext xmlns:c16="http://schemas.microsoft.com/office/drawing/2014/chart" uri="{C3380CC4-5D6E-409C-BE32-E72D297353CC}">
                <c16:uniqueId val="{0000015F-EF1D-4833-8337-C9FF4F024954}"/>
              </c:ext>
            </c:extLst>
          </c:dPt>
          <c:dPt>
            <c:idx val="11"/>
            <c:invertIfNegative val="0"/>
            <c:bubble3D val="0"/>
            <c:extLst>
              <c:ext xmlns:c16="http://schemas.microsoft.com/office/drawing/2014/chart" uri="{C3380CC4-5D6E-409C-BE32-E72D297353CC}">
                <c16:uniqueId val="{00000160-EF1D-4833-8337-C9FF4F024954}"/>
              </c:ext>
            </c:extLst>
          </c:dPt>
          <c:dPt>
            <c:idx val="12"/>
            <c:invertIfNegative val="0"/>
            <c:bubble3D val="0"/>
            <c:extLst>
              <c:ext xmlns:c16="http://schemas.microsoft.com/office/drawing/2014/chart" uri="{C3380CC4-5D6E-409C-BE32-E72D297353CC}">
                <c16:uniqueId val="{00000161-EF1D-4833-8337-C9FF4F024954}"/>
              </c:ext>
            </c:extLst>
          </c:dPt>
          <c:dPt>
            <c:idx val="13"/>
            <c:invertIfNegative val="0"/>
            <c:bubble3D val="0"/>
            <c:extLst>
              <c:ext xmlns:c16="http://schemas.microsoft.com/office/drawing/2014/chart" uri="{C3380CC4-5D6E-409C-BE32-E72D297353CC}">
                <c16:uniqueId val="{00000162-EF1D-4833-8337-C9FF4F024954}"/>
              </c:ext>
            </c:extLst>
          </c:dPt>
          <c:dPt>
            <c:idx val="14"/>
            <c:invertIfNegative val="0"/>
            <c:bubble3D val="0"/>
            <c:extLst>
              <c:ext xmlns:c16="http://schemas.microsoft.com/office/drawing/2014/chart" uri="{C3380CC4-5D6E-409C-BE32-E72D297353CC}">
                <c16:uniqueId val="{00000163-EF1D-4833-8337-C9FF4F024954}"/>
              </c:ext>
            </c:extLst>
          </c:dPt>
          <c:dPt>
            <c:idx val="15"/>
            <c:invertIfNegative val="0"/>
            <c:bubble3D val="0"/>
            <c:extLst>
              <c:ext xmlns:c16="http://schemas.microsoft.com/office/drawing/2014/chart" uri="{C3380CC4-5D6E-409C-BE32-E72D297353CC}">
                <c16:uniqueId val="{00000164-EF1D-4833-8337-C9FF4F024954}"/>
              </c:ext>
            </c:extLst>
          </c:dPt>
          <c:dPt>
            <c:idx val="16"/>
            <c:invertIfNegative val="0"/>
            <c:bubble3D val="0"/>
            <c:extLst>
              <c:ext xmlns:c16="http://schemas.microsoft.com/office/drawing/2014/chart" uri="{C3380CC4-5D6E-409C-BE32-E72D297353CC}">
                <c16:uniqueId val="{00000165-EF1D-4833-8337-C9FF4F024954}"/>
              </c:ext>
            </c:extLst>
          </c:dPt>
          <c:dPt>
            <c:idx val="17"/>
            <c:invertIfNegative val="0"/>
            <c:bubble3D val="0"/>
            <c:extLst>
              <c:ext xmlns:c16="http://schemas.microsoft.com/office/drawing/2014/chart" uri="{C3380CC4-5D6E-409C-BE32-E72D297353CC}">
                <c16:uniqueId val="{00000166-EF1D-4833-8337-C9FF4F024954}"/>
              </c:ext>
            </c:extLst>
          </c:dPt>
          <c:dPt>
            <c:idx val="18"/>
            <c:invertIfNegative val="0"/>
            <c:bubble3D val="0"/>
            <c:extLst>
              <c:ext xmlns:c16="http://schemas.microsoft.com/office/drawing/2014/chart" uri="{C3380CC4-5D6E-409C-BE32-E72D297353CC}">
                <c16:uniqueId val="{00000167-EF1D-4833-8337-C9FF4F024954}"/>
              </c:ext>
            </c:extLst>
          </c:dPt>
          <c:dPt>
            <c:idx val="19"/>
            <c:invertIfNegative val="0"/>
            <c:bubble3D val="0"/>
            <c:extLst>
              <c:ext xmlns:c16="http://schemas.microsoft.com/office/drawing/2014/chart" uri="{C3380CC4-5D6E-409C-BE32-E72D297353CC}">
                <c16:uniqueId val="{00000168-EF1D-4833-8337-C9FF4F024954}"/>
              </c:ext>
            </c:extLst>
          </c:dPt>
          <c:dPt>
            <c:idx val="20"/>
            <c:invertIfNegative val="0"/>
            <c:bubble3D val="0"/>
            <c:extLst>
              <c:ext xmlns:c16="http://schemas.microsoft.com/office/drawing/2014/chart" uri="{C3380CC4-5D6E-409C-BE32-E72D297353CC}">
                <c16:uniqueId val="{00000169-EF1D-4833-8337-C9FF4F024954}"/>
              </c:ext>
            </c:extLst>
          </c:dPt>
          <c:dPt>
            <c:idx val="21"/>
            <c:invertIfNegative val="0"/>
            <c:bubble3D val="0"/>
            <c:extLst>
              <c:ext xmlns:c16="http://schemas.microsoft.com/office/drawing/2014/chart" uri="{C3380CC4-5D6E-409C-BE32-E72D297353CC}">
                <c16:uniqueId val="{0000016A-EF1D-4833-8337-C9FF4F024954}"/>
              </c:ext>
            </c:extLst>
          </c:dPt>
          <c:dPt>
            <c:idx val="22"/>
            <c:invertIfNegative val="0"/>
            <c:bubble3D val="0"/>
            <c:extLst>
              <c:ext xmlns:c16="http://schemas.microsoft.com/office/drawing/2014/chart" uri="{C3380CC4-5D6E-409C-BE32-E72D297353CC}">
                <c16:uniqueId val="{0000016B-EF1D-4833-8337-C9FF4F024954}"/>
              </c:ext>
            </c:extLst>
          </c:dPt>
          <c:dPt>
            <c:idx val="23"/>
            <c:invertIfNegative val="0"/>
            <c:bubble3D val="0"/>
            <c:extLst>
              <c:ext xmlns:c16="http://schemas.microsoft.com/office/drawing/2014/chart" uri="{C3380CC4-5D6E-409C-BE32-E72D297353CC}">
                <c16:uniqueId val="{0000016C-EF1D-4833-8337-C9FF4F024954}"/>
              </c:ext>
            </c:extLst>
          </c:dPt>
          <c:dPt>
            <c:idx val="24"/>
            <c:invertIfNegative val="0"/>
            <c:bubble3D val="0"/>
            <c:extLst>
              <c:ext xmlns:c16="http://schemas.microsoft.com/office/drawing/2014/chart" uri="{C3380CC4-5D6E-409C-BE32-E72D297353CC}">
                <c16:uniqueId val="{0000016D-EF1D-4833-8337-C9FF4F024954}"/>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Data'!$B$4:$W$4</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-1528</c:v>
                </c:pt>
                <c:pt idx="15">
                  <c:v>-1528</c:v>
                </c:pt>
                <c:pt idx="16">
                  <c:v>-1528</c:v>
                </c:pt>
                <c:pt idx="17">
                  <c:v>-1528</c:v>
                </c:pt>
                <c:pt idx="18">
                  <c:v>-1528</c:v>
                </c:pt>
                <c:pt idx="19">
                  <c:v>-1528</c:v>
                </c:pt>
                <c:pt idx="20">
                  <c:v>-1528</c:v>
                </c:pt>
                <c:pt idx="21">
                  <c:v>-1528</c:v>
                </c:pt>
              </c:numCache>
            </c:numRef>
          </c:val>
          <c:extLst>
            <c:ext xmlns:c16="http://schemas.microsoft.com/office/drawing/2014/chart" uri="{C3380CC4-5D6E-409C-BE32-E72D297353CC}">
              <c16:uniqueId val="{0000016E-EF1D-4833-8337-C9FF4F024954}"/>
            </c:ext>
          </c:extLst>
        </c:ser>
        <c:ser>
          <c:idx val="2"/>
          <c:order val="2"/>
          <c:tx>
            <c:strRef>
              <c:f>'NewAndRetiredCapacity Data'!$A$5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170-EF1D-4833-8337-C9FF4F024954}"/>
              </c:ext>
            </c:extLst>
          </c:dPt>
          <c:dPt>
            <c:idx val="1"/>
            <c:invertIfNegative val="0"/>
            <c:bubble3D val="0"/>
            <c:extLst>
              <c:ext xmlns:c16="http://schemas.microsoft.com/office/drawing/2014/chart" uri="{C3380CC4-5D6E-409C-BE32-E72D297353CC}">
                <c16:uniqueId val="{00000171-EF1D-4833-8337-C9FF4F024954}"/>
              </c:ext>
            </c:extLst>
          </c:dPt>
          <c:dPt>
            <c:idx val="2"/>
            <c:invertIfNegative val="0"/>
            <c:bubble3D val="0"/>
            <c:extLst>
              <c:ext xmlns:c16="http://schemas.microsoft.com/office/drawing/2014/chart" uri="{C3380CC4-5D6E-409C-BE32-E72D297353CC}">
                <c16:uniqueId val="{00000172-EF1D-4833-8337-C9FF4F024954}"/>
              </c:ext>
            </c:extLst>
          </c:dPt>
          <c:dPt>
            <c:idx val="3"/>
            <c:invertIfNegative val="0"/>
            <c:bubble3D val="0"/>
            <c:extLst>
              <c:ext xmlns:c16="http://schemas.microsoft.com/office/drawing/2014/chart" uri="{C3380CC4-5D6E-409C-BE32-E72D297353CC}">
                <c16:uniqueId val="{00000173-EF1D-4833-8337-C9FF4F024954}"/>
              </c:ext>
            </c:extLst>
          </c:dPt>
          <c:dPt>
            <c:idx val="4"/>
            <c:invertIfNegative val="0"/>
            <c:bubble3D val="0"/>
            <c:extLst>
              <c:ext xmlns:c16="http://schemas.microsoft.com/office/drawing/2014/chart" uri="{C3380CC4-5D6E-409C-BE32-E72D297353CC}">
                <c16:uniqueId val="{00000174-EF1D-4833-8337-C9FF4F024954}"/>
              </c:ext>
            </c:extLst>
          </c:dPt>
          <c:dPt>
            <c:idx val="5"/>
            <c:invertIfNegative val="0"/>
            <c:bubble3D val="0"/>
            <c:extLst>
              <c:ext xmlns:c16="http://schemas.microsoft.com/office/drawing/2014/chart" uri="{C3380CC4-5D6E-409C-BE32-E72D297353CC}">
                <c16:uniqueId val="{00000175-EF1D-4833-8337-C9FF4F024954}"/>
              </c:ext>
            </c:extLst>
          </c:dPt>
          <c:dPt>
            <c:idx val="6"/>
            <c:invertIfNegative val="0"/>
            <c:bubble3D val="0"/>
            <c:extLst>
              <c:ext xmlns:c16="http://schemas.microsoft.com/office/drawing/2014/chart" uri="{C3380CC4-5D6E-409C-BE32-E72D297353CC}">
                <c16:uniqueId val="{00000176-EF1D-4833-8337-C9FF4F024954}"/>
              </c:ext>
            </c:extLst>
          </c:dPt>
          <c:dPt>
            <c:idx val="7"/>
            <c:invertIfNegative val="0"/>
            <c:bubble3D val="0"/>
            <c:extLst>
              <c:ext xmlns:c16="http://schemas.microsoft.com/office/drawing/2014/chart" uri="{C3380CC4-5D6E-409C-BE32-E72D297353CC}">
                <c16:uniqueId val="{00000177-EF1D-4833-8337-C9FF4F024954}"/>
              </c:ext>
            </c:extLst>
          </c:dPt>
          <c:dPt>
            <c:idx val="8"/>
            <c:invertIfNegative val="0"/>
            <c:bubble3D val="0"/>
            <c:extLst>
              <c:ext xmlns:c16="http://schemas.microsoft.com/office/drawing/2014/chart" uri="{C3380CC4-5D6E-409C-BE32-E72D297353CC}">
                <c16:uniqueId val="{00000178-EF1D-4833-8337-C9FF4F024954}"/>
              </c:ext>
            </c:extLst>
          </c:dPt>
          <c:dPt>
            <c:idx val="9"/>
            <c:invertIfNegative val="0"/>
            <c:bubble3D val="0"/>
            <c:extLst>
              <c:ext xmlns:c16="http://schemas.microsoft.com/office/drawing/2014/chart" uri="{C3380CC4-5D6E-409C-BE32-E72D297353CC}">
                <c16:uniqueId val="{00000179-EF1D-4833-8337-C9FF4F024954}"/>
              </c:ext>
            </c:extLst>
          </c:dPt>
          <c:dPt>
            <c:idx val="10"/>
            <c:invertIfNegative val="0"/>
            <c:bubble3D val="0"/>
            <c:extLst>
              <c:ext xmlns:c16="http://schemas.microsoft.com/office/drawing/2014/chart" uri="{C3380CC4-5D6E-409C-BE32-E72D297353CC}">
                <c16:uniqueId val="{0000017A-EF1D-4833-8337-C9FF4F024954}"/>
              </c:ext>
            </c:extLst>
          </c:dPt>
          <c:dPt>
            <c:idx val="11"/>
            <c:invertIfNegative val="0"/>
            <c:bubble3D val="0"/>
            <c:extLst>
              <c:ext xmlns:c16="http://schemas.microsoft.com/office/drawing/2014/chart" uri="{C3380CC4-5D6E-409C-BE32-E72D297353CC}">
                <c16:uniqueId val="{0000017B-EF1D-4833-8337-C9FF4F024954}"/>
              </c:ext>
            </c:extLst>
          </c:dPt>
          <c:dPt>
            <c:idx val="12"/>
            <c:invertIfNegative val="0"/>
            <c:bubble3D val="0"/>
            <c:extLst>
              <c:ext xmlns:c16="http://schemas.microsoft.com/office/drawing/2014/chart" uri="{C3380CC4-5D6E-409C-BE32-E72D297353CC}">
                <c16:uniqueId val="{0000017C-EF1D-4833-8337-C9FF4F024954}"/>
              </c:ext>
            </c:extLst>
          </c:dPt>
          <c:dPt>
            <c:idx val="13"/>
            <c:invertIfNegative val="0"/>
            <c:bubble3D val="0"/>
            <c:extLst>
              <c:ext xmlns:c16="http://schemas.microsoft.com/office/drawing/2014/chart" uri="{C3380CC4-5D6E-409C-BE32-E72D297353CC}">
                <c16:uniqueId val="{0000017D-EF1D-4833-8337-C9FF4F024954}"/>
              </c:ext>
            </c:extLst>
          </c:dPt>
          <c:dPt>
            <c:idx val="14"/>
            <c:invertIfNegative val="0"/>
            <c:bubble3D val="0"/>
            <c:extLst>
              <c:ext xmlns:c16="http://schemas.microsoft.com/office/drawing/2014/chart" uri="{C3380CC4-5D6E-409C-BE32-E72D297353CC}">
                <c16:uniqueId val="{0000017E-EF1D-4833-8337-C9FF4F024954}"/>
              </c:ext>
            </c:extLst>
          </c:dPt>
          <c:dPt>
            <c:idx val="15"/>
            <c:invertIfNegative val="0"/>
            <c:bubble3D val="0"/>
            <c:extLst>
              <c:ext xmlns:c16="http://schemas.microsoft.com/office/drawing/2014/chart" uri="{C3380CC4-5D6E-409C-BE32-E72D297353CC}">
                <c16:uniqueId val="{0000017F-EF1D-4833-8337-C9FF4F024954}"/>
              </c:ext>
            </c:extLst>
          </c:dPt>
          <c:dPt>
            <c:idx val="16"/>
            <c:invertIfNegative val="0"/>
            <c:bubble3D val="0"/>
            <c:extLst>
              <c:ext xmlns:c16="http://schemas.microsoft.com/office/drawing/2014/chart" uri="{C3380CC4-5D6E-409C-BE32-E72D297353CC}">
                <c16:uniqueId val="{00000180-EF1D-4833-8337-C9FF4F024954}"/>
              </c:ext>
            </c:extLst>
          </c:dPt>
          <c:dPt>
            <c:idx val="17"/>
            <c:invertIfNegative val="0"/>
            <c:bubble3D val="0"/>
            <c:extLst>
              <c:ext xmlns:c16="http://schemas.microsoft.com/office/drawing/2014/chart" uri="{C3380CC4-5D6E-409C-BE32-E72D297353CC}">
                <c16:uniqueId val="{00000181-EF1D-4833-8337-C9FF4F024954}"/>
              </c:ext>
            </c:extLst>
          </c:dPt>
          <c:dPt>
            <c:idx val="18"/>
            <c:invertIfNegative val="0"/>
            <c:bubble3D val="0"/>
            <c:extLst>
              <c:ext xmlns:c16="http://schemas.microsoft.com/office/drawing/2014/chart" uri="{C3380CC4-5D6E-409C-BE32-E72D297353CC}">
                <c16:uniqueId val="{00000182-EF1D-4833-8337-C9FF4F024954}"/>
              </c:ext>
            </c:extLst>
          </c:dPt>
          <c:dPt>
            <c:idx val="19"/>
            <c:invertIfNegative val="0"/>
            <c:bubble3D val="0"/>
            <c:extLst>
              <c:ext xmlns:c16="http://schemas.microsoft.com/office/drawing/2014/chart" uri="{C3380CC4-5D6E-409C-BE32-E72D297353CC}">
                <c16:uniqueId val="{00000183-EF1D-4833-8337-C9FF4F024954}"/>
              </c:ext>
            </c:extLst>
          </c:dPt>
          <c:dPt>
            <c:idx val="20"/>
            <c:invertIfNegative val="0"/>
            <c:bubble3D val="0"/>
            <c:extLst>
              <c:ext xmlns:c16="http://schemas.microsoft.com/office/drawing/2014/chart" uri="{C3380CC4-5D6E-409C-BE32-E72D297353CC}">
                <c16:uniqueId val="{00000184-EF1D-4833-8337-C9FF4F024954}"/>
              </c:ext>
            </c:extLst>
          </c:dPt>
          <c:dPt>
            <c:idx val="21"/>
            <c:invertIfNegative val="0"/>
            <c:bubble3D val="0"/>
            <c:extLst>
              <c:ext xmlns:c16="http://schemas.microsoft.com/office/drawing/2014/chart" uri="{C3380CC4-5D6E-409C-BE32-E72D297353CC}">
                <c16:uniqueId val="{00000185-EF1D-4833-8337-C9FF4F024954}"/>
              </c:ext>
            </c:extLst>
          </c:dPt>
          <c:dPt>
            <c:idx val="22"/>
            <c:invertIfNegative val="0"/>
            <c:bubble3D val="0"/>
            <c:extLst>
              <c:ext xmlns:c16="http://schemas.microsoft.com/office/drawing/2014/chart" uri="{C3380CC4-5D6E-409C-BE32-E72D297353CC}">
                <c16:uniqueId val="{00000186-EF1D-4833-8337-C9FF4F024954}"/>
              </c:ext>
            </c:extLst>
          </c:dPt>
          <c:dPt>
            <c:idx val="23"/>
            <c:invertIfNegative val="0"/>
            <c:bubble3D val="0"/>
            <c:extLst>
              <c:ext xmlns:c16="http://schemas.microsoft.com/office/drawing/2014/chart" uri="{C3380CC4-5D6E-409C-BE32-E72D297353CC}">
                <c16:uniqueId val="{00000187-EF1D-4833-8337-C9FF4F024954}"/>
              </c:ext>
            </c:extLst>
          </c:dPt>
          <c:dPt>
            <c:idx val="24"/>
            <c:invertIfNegative val="0"/>
            <c:bubble3D val="0"/>
            <c:extLst>
              <c:ext xmlns:c16="http://schemas.microsoft.com/office/drawing/2014/chart" uri="{C3380CC4-5D6E-409C-BE32-E72D297353CC}">
                <c16:uniqueId val="{00000188-EF1D-4833-8337-C9FF4F024954}"/>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Data'!$B$5:$W$5</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189-EF1D-4833-8337-C9FF4F024954}"/>
            </c:ext>
          </c:extLst>
        </c:ser>
        <c:ser>
          <c:idx val="3"/>
          <c:order val="3"/>
          <c:tx>
            <c:strRef>
              <c:f>'NewAndRetiredCapacity Data'!$A$6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18B-EF1D-4833-8337-C9FF4F024954}"/>
              </c:ext>
            </c:extLst>
          </c:dPt>
          <c:dPt>
            <c:idx val="1"/>
            <c:invertIfNegative val="0"/>
            <c:bubble3D val="0"/>
            <c:extLst>
              <c:ext xmlns:c16="http://schemas.microsoft.com/office/drawing/2014/chart" uri="{C3380CC4-5D6E-409C-BE32-E72D297353CC}">
                <c16:uniqueId val="{0000018C-EF1D-4833-8337-C9FF4F024954}"/>
              </c:ext>
            </c:extLst>
          </c:dPt>
          <c:dPt>
            <c:idx val="2"/>
            <c:invertIfNegative val="0"/>
            <c:bubble3D val="0"/>
            <c:extLst>
              <c:ext xmlns:c16="http://schemas.microsoft.com/office/drawing/2014/chart" uri="{C3380CC4-5D6E-409C-BE32-E72D297353CC}">
                <c16:uniqueId val="{0000018D-EF1D-4833-8337-C9FF4F024954}"/>
              </c:ext>
            </c:extLst>
          </c:dPt>
          <c:dPt>
            <c:idx val="3"/>
            <c:invertIfNegative val="0"/>
            <c:bubble3D val="0"/>
            <c:extLst>
              <c:ext xmlns:c16="http://schemas.microsoft.com/office/drawing/2014/chart" uri="{C3380CC4-5D6E-409C-BE32-E72D297353CC}">
                <c16:uniqueId val="{0000018E-EF1D-4833-8337-C9FF4F024954}"/>
              </c:ext>
            </c:extLst>
          </c:dPt>
          <c:dPt>
            <c:idx val="4"/>
            <c:invertIfNegative val="0"/>
            <c:bubble3D val="0"/>
            <c:extLst>
              <c:ext xmlns:c16="http://schemas.microsoft.com/office/drawing/2014/chart" uri="{C3380CC4-5D6E-409C-BE32-E72D297353CC}">
                <c16:uniqueId val="{0000018F-EF1D-4833-8337-C9FF4F024954}"/>
              </c:ext>
            </c:extLst>
          </c:dPt>
          <c:dPt>
            <c:idx val="5"/>
            <c:invertIfNegative val="0"/>
            <c:bubble3D val="0"/>
            <c:extLst>
              <c:ext xmlns:c16="http://schemas.microsoft.com/office/drawing/2014/chart" uri="{C3380CC4-5D6E-409C-BE32-E72D297353CC}">
                <c16:uniqueId val="{00000190-EF1D-4833-8337-C9FF4F024954}"/>
              </c:ext>
            </c:extLst>
          </c:dPt>
          <c:dPt>
            <c:idx val="6"/>
            <c:invertIfNegative val="0"/>
            <c:bubble3D val="0"/>
            <c:extLst>
              <c:ext xmlns:c16="http://schemas.microsoft.com/office/drawing/2014/chart" uri="{C3380CC4-5D6E-409C-BE32-E72D297353CC}">
                <c16:uniqueId val="{00000191-EF1D-4833-8337-C9FF4F024954}"/>
              </c:ext>
            </c:extLst>
          </c:dPt>
          <c:dPt>
            <c:idx val="7"/>
            <c:invertIfNegative val="0"/>
            <c:bubble3D val="0"/>
            <c:extLst>
              <c:ext xmlns:c16="http://schemas.microsoft.com/office/drawing/2014/chart" uri="{C3380CC4-5D6E-409C-BE32-E72D297353CC}">
                <c16:uniqueId val="{00000192-EF1D-4833-8337-C9FF4F024954}"/>
              </c:ext>
            </c:extLst>
          </c:dPt>
          <c:dPt>
            <c:idx val="8"/>
            <c:invertIfNegative val="0"/>
            <c:bubble3D val="0"/>
            <c:extLst>
              <c:ext xmlns:c16="http://schemas.microsoft.com/office/drawing/2014/chart" uri="{C3380CC4-5D6E-409C-BE32-E72D297353CC}">
                <c16:uniqueId val="{00000193-EF1D-4833-8337-C9FF4F024954}"/>
              </c:ext>
            </c:extLst>
          </c:dPt>
          <c:dPt>
            <c:idx val="9"/>
            <c:invertIfNegative val="0"/>
            <c:bubble3D val="0"/>
            <c:extLst>
              <c:ext xmlns:c16="http://schemas.microsoft.com/office/drawing/2014/chart" uri="{C3380CC4-5D6E-409C-BE32-E72D297353CC}">
                <c16:uniqueId val="{00000194-EF1D-4833-8337-C9FF4F024954}"/>
              </c:ext>
            </c:extLst>
          </c:dPt>
          <c:dPt>
            <c:idx val="10"/>
            <c:invertIfNegative val="0"/>
            <c:bubble3D val="0"/>
            <c:extLst>
              <c:ext xmlns:c16="http://schemas.microsoft.com/office/drawing/2014/chart" uri="{C3380CC4-5D6E-409C-BE32-E72D297353CC}">
                <c16:uniqueId val="{00000195-EF1D-4833-8337-C9FF4F024954}"/>
              </c:ext>
            </c:extLst>
          </c:dPt>
          <c:dPt>
            <c:idx val="11"/>
            <c:invertIfNegative val="0"/>
            <c:bubble3D val="0"/>
            <c:extLst>
              <c:ext xmlns:c16="http://schemas.microsoft.com/office/drawing/2014/chart" uri="{C3380CC4-5D6E-409C-BE32-E72D297353CC}">
                <c16:uniqueId val="{00000196-EF1D-4833-8337-C9FF4F024954}"/>
              </c:ext>
            </c:extLst>
          </c:dPt>
          <c:dPt>
            <c:idx val="12"/>
            <c:invertIfNegative val="0"/>
            <c:bubble3D val="0"/>
            <c:extLst>
              <c:ext xmlns:c16="http://schemas.microsoft.com/office/drawing/2014/chart" uri="{C3380CC4-5D6E-409C-BE32-E72D297353CC}">
                <c16:uniqueId val="{00000197-EF1D-4833-8337-C9FF4F024954}"/>
              </c:ext>
            </c:extLst>
          </c:dPt>
          <c:dPt>
            <c:idx val="13"/>
            <c:invertIfNegative val="0"/>
            <c:bubble3D val="0"/>
            <c:extLst>
              <c:ext xmlns:c16="http://schemas.microsoft.com/office/drawing/2014/chart" uri="{C3380CC4-5D6E-409C-BE32-E72D297353CC}">
                <c16:uniqueId val="{00000198-EF1D-4833-8337-C9FF4F024954}"/>
              </c:ext>
            </c:extLst>
          </c:dPt>
          <c:dPt>
            <c:idx val="14"/>
            <c:invertIfNegative val="0"/>
            <c:bubble3D val="0"/>
            <c:extLst>
              <c:ext xmlns:c16="http://schemas.microsoft.com/office/drawing/2014/chart" uri="{C3380CC4-5D6E-409C-BE32-E72D297353CC}">
                <c16:uniqueId val="{00000199-EF1D-4833-8337-C9FF4F024954}"/>
              </c:ext>
            </c:extLst>
          </c:dPt>
          <c:dPt>
            <c:idx val="15"/>
            <c:invertIfNegative val="0"/>
            <c:bubble3D val="0"/>
            <c:extLst>
              <c:ext xmlns:c16="http://schemas.microsoft.com/office/drawing/2014/chart" uri="{C3380CC4-5D6E-409C-BE32-E72D297353CC}">
                <c16:uniqueId val="{0000019A-EF1D-4833-8337-C9FF4F024954}"/>
              </c:ext>
            </c:extLst>
          </c:dPt>
          <c:dPt>
            <c:idx val="16"/>
            <c:invertIfNegative val="0"/>
            <c:bubble3D val="0"/>
            <c:extLst>
              <c:ext xmlns:c16="http://schemas.microsoft.com/office/drawing/2014/chart" uri="{C3380CC4-5D6E-409C-BE32-E72D297353CC}">
                <c16:uniqueId val="{0000019B-EF1D-4833-8337-C9FF4F024954}"/>
              </c:ext>
            </c:extLst>
          </c:dPt>
          <c:dPt>
            <c:idx val="17"/>
            <c:invertIfNegative val="0"/>
            <c:bubble3D val="0"/>
            <c:extLst>
              <c:ext xmlns:c16="http://schemas.microsoft.com/office/drawing/2014/chart" uri="{C3380CC4-5D6E-409C-BE32-E72D297353CC}">
                <c16:uniqueId val="{0000019C-EF1D-4833-8337-C9FF4F024954}"/>
              </c:ext>
            </c:extLst>
          </c:dPt>
          <c:dPt>
            <c:idx val="18"/>
            <c:invertIfNegative val="0"/>
            <c:bubble3D val="0"/>
            <c:extLst>
              <c:ext xmlns:c16="http://schemas.microsoft.com/office/drawing/2014/chart" uri="{C3380CC4-5D6E-409C-BE32-E72D297353CC}">
                <c16:uniqueId val="{0000019D-EF1D-4833-8337-C9FF4F024954}"/>
              </c:ext>
            </c:extLst>
          </c:dPt>
          <c:dPt>
            <c:idx val="19"/>
            <c:invertIfNegative val="0"/>
            <c:bubble3D val="0"/>
            <c:extLst>
              <c:ext xmlns:c16="http://schemas.microsoft.com/office/drawing/2014/chart" uri="{C3380CC4-5D6E-409C-BE32-E72D297353CC}">
                <c16:uniqueId val="{0000019E-EF1D-4833-8337-C9FF4F024954}"/>
              </c:ext>
            </c:extLst>
          </c:dPt>
          <c:dPt>
            <c:idx val="20"/>
            <c:invertIfNegative val="0"/>
            <c:bubble3D val="0"/>
            <c:extLst>
              <c:ext xmlns:c16="http://schemas.microsoft.com/office/drawing/2014/chart" uri="{C3380CC4-5D6E-409C-BE32-E72D297353CC}">
                <c16:uniqueId val="{0000019F-EF1D-4833-8337-C9FF4F024954}"/>
              </c:ext>
            </c:extLst>
          </c:dPt>
          <c:dPt>
            <c:idx val="21"/>
            <c:invertIfNegative val="0"/>
            <c:bubble3D val="0"/>
            <c:extLst>
              <c:ext xmlns:c16="http://schemas.microsoft.com/office/drawing/2014/chart" uri="{C3380CC4-5D6E-409C-BE32-E72D297353CC}">
                <c16:uniqueId val="{000001A0-EF1D-4833-8337-C9FF4F024954}"/>
              </c:ext>
            </c:extLst>
          </c:dPt>
          <c:dPt>
            <c:idx val="22"/>
            <c:invertIfNegative val="0"/>
            <c:bubble3D val="0"/>
            <c:extLst>
              <c:ext xmlns:c16="http://schemas.microsoft.com/office/drawing/2014/chart" uri="{C3380CC4-5D6E-409C-BE32-E72D297353CC}">
                <c16:uniqueId val="{000001A1-EF1D-4833-8337-C9FF4F024954}"/>
              </c:ext>
            </c:extLst>
          </c:dPt>
          <c:dPt>
            <c:idx val="23"/>
            <c:invertIfNegative val="0"/>
            <c:bubble3D val="0"/>
            <c:extLst>
              <c:ext xmlns:c16="http://schemas.microsoft.com/office/drawing/2014/chart" uri="{C3380CC4-5D6E-409C-BE32-E72D297353CC}">
                <c16:uniqueId val="{000001A2-EF1D-4833-8337-C9FF4F024954}"/>
              </c:ext>
            </c:extLst>
          </c:dPt>
          <c:dPt>
            <c:idx val="24"/>
            <c:invertIfNegative val="0"/>
            <c:bubble3D val="0"/>
            <c:extLst>
              <c:ext xmlns:c16="http://schemas.microsoft.com/office/drawing/2014/chart" uri="{C3380CC4-5D6E-409C-BE32-E72D297353CC}">
                <c16:uniqueId val="{000001A3-EF1D-4833-8337-C9FF4F024954}"/>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Data'!$B$6:$W$6</c:f>
              <c:numCache>
                <c:formatCode>#,##0_ ;\-#,##0\ </c:formatCode>
                <c:ptCount val="22"/>
                <c:pt idx="0">
                  <c:v>0</c:v>
                </c:pt>
                <c:pt idx="1">
                  <c:v>0</c:v>
                </c:pt>
                <c:pt idx="2">
                  <c:v>0</c:v>
                </c:pt>
                <c:pt idx="3">
                  <c:v>0</c:v>
                </c:pt>
                <c:pt idx="4">
                  <c:v>0</c:v>
                </c:pt>
                <c:pt idx="5">
                  <c:v>0</c:v>
                </c:pt>
                <c:pt idx="6">
                  <c:v>-1462</c:v>
                </c:pt>
                <c:pt idx="7">
                  <c:v>-1462</c:v>
                </c:pt>
                <c:pt idx="8">
                  <c:v>-1462</c:v>
                </c:pt>
                <c:pt idx="9">
                  <c:v>-1462</c:v>
                </c:pt>
                <c:pt idx="10">
                  <c:v>-1462</c:v>
                </c:pt>
                <c:pt idx="11">
                  <c:v>-1462</c:v>
                </c:pt>
                <c:pt idx="12">
                  <c:v>-1462</c:v>
                </c:pt>
                <c:pt idx="13">
                  <c:v>-1972</c:v>
                </c:pt>
                <c:pt idx="14">
                  <c:v>-1972</c:v>
                </c:pt>
                <c:pt idx="15">
                  <c:v>-1972</c:v>
                </c:pt>
                <c:pt idx="16">
                  <c:v>-1972</c:v>
                </c:pt>
                <c:pt idx="17">
                  <c:v>-1972</c:v>
                </c:pt>
                <c:pt idx="18">
                  <c:v>-1972</c:v>
                </c:pt>
                <c:pt idx="19">
                  <c:v>-1972</c:v>
                </c:pt>
                <c:pt idx="20">
                  <c:v>-1972</c:v>
                </c:pt>
                <c:pt idx="21">
                  <c:v>-1972</c:v>
                </c:pt>
              </c:numCache>
            </c:numRef>
          </c:val>
          <c:extLst>
            <c:ext xmlns:c16="http://schemas.microsoft.com/office/drawing/2014/chart" uri="{C3380CC4-5D6E-409C-BE32-E72D297353CC}">
              <c16:uniqueId val="{000001A4-EF1D-4833-8337-C9FF4F024954}"/>
            </c:ext>
          </c:extLst>
        </c:ser>
        <c:ser>
          <c:idx val="4"/>
          <c:order val="4"/>
          <c:tx>
            <c:strRef>
              <c:f>'NewAndRetiredCapacity Data'!$A$7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1A6-EF1D-4833-8337-C9FF4F024954}"/>
              </c:ext>
            </c:extLst>
          </c:dPt>
          <c:dPt>
            <c:idx val="1"/>
            <c:invertIfNegative val="0"/>
            <c:bubble3D val="0"/>
            <c:extLst>
              <c:ext xmlns:c16="http://schemas.microsoft.com/office/drawing/2014/chart" uri="{C3380CC4-5D6E-409C-BE32-E72D297353CC}">
                <c16:uniqueId val="{000001A7-EF1D-4833-8337-C9FF4F024954}"/>
              </c:ext>
            </c:extLst>
          </c:dPt>
          <c:dPt>
            <c:idx val="2"/>
            <c:invertIfNegative val="0"/>
            <c:bubble3D val="0"/>
            <c:extLst>
              <c:ext xmlns:c16="http://schemas.microsoft.com/office/drawing/2014/chart" uri="{C3380CC4-5D6E-409C-BE32-E72D297353CC}">
                <c16:uniqueId val="{000001A8-EF1D-4833-8337-C9FF4F024954}"/>
              </c:ext>
            </c:extLst>
          </c:dPt>
          <c:dPt>
            <c:idx val="3"/>
            <c:invertIfNegative val="0"/>
            <c:bubble3D val="0"/>
            <c:extLst>
              <c:ext xmlns:c16="http://schemas.microsoft.com/office/drawing/2014/chart" uri="{C3380CC4-5D6E-409C-BE32-E72D297353CC}">
                <c16:uniqueId val="{000001A9-EF1D-4833-8337-C9FF4F024954}"/>
              </c:ext>
            </c:extLst>
          </c:dPt>
          <c:dPt>
            <c:idx val="4"/>
            <c:invertIfNegative val="0"/>
            <c:bubble3D val="0"/>
            <c:extLst>
              <c:ext xmlns:c16="http://schemas.microsoft.com/office/drawing/2014/chart" uri="{C3380CC4-5D6E-409C-BE32-E72D297353CC}">
                <c16:uniqueId val="{000001AA-EF1D-4833-8337-C9FF4F024954}"/>
              </c:ext>
            </c:extLst>
          </c:dPt>
          <c:dPt>
            <c:idx val="5"/>
            <c:invertIfNegative val="0"/>
            <c:bubble3D val="0"/>
            <c:extLst>
              <c:ext xmlns:c16="http://schemas.microsoft.com/office/drawing/2014/chart" uri="{C3380CC4-5D6E-409C-BE32-E72D297353CC}">
                <c16:uniqueId val="{000001AB-EF1D-4833-8337-C9FF4F024954}"/>
              </c:ext>
            </c:extLst>
          </c:dPt>
          <c:dPt>
            <c:idx val="6"/>
            <c:invertIfNegative val="0"/>
            <c:bubble3D val="0"/>
            <c:extLst>
              <c:ext xmlns:c16="http://schemas.microsoft.com/office/drawing/2014/chart" uri="{C3380CC4-5D6E-409C-BE32-E72D297353CC}">
                <c16:uniqueId val="{000001AC-EF1D-4833-8337-C9FF4F024954}"/>
              </c:ext>
            </c:extLst>
          </c:dPt>
          <c:dPt>
            <c:idx val="7"/>
            <c:invertIfNegative val="0"/>
            <c:bubble3D val="0"/>
            <c:extLst>
              <c:ext xmlns:c16="http://schemas.microsoft.com/office/drawing/2014/chart" uri="{C3380CC4-5D6E-409C-BE32-E72D297353CC}">
                <c16:uniqueId val="{000001AD-EF1D-4833-8337-C9FF4F024954}"/>
              </c:ext>
            </c:extLst>
          </c:dPt>
          <c:dPt>
            <c:idx val="8"/>
            <c:invertIfNegative val="0"/>
            <c:bubble3D val="0"/>
            <c:extLst>
              <c:ext xmlns:c16="http://schemas.microsoft.com/office/drawing/2014/chart" uri="{C3380CC4-5D6E-409C-BE32-E72D297353CC}">
                <c16:uniqueId val="{000001AE-EF1D-4833-8337-C9FF4F024954}"/>
              </c:ext>
            </c:extLst>
          </c:dPt>
          <c:dPt>
            <c:idx val="9"/>
            <c:invertIfNegative val="0"/>
            <c:bubble3D val="0"/>
            <c:extLst>
              <c:ext xmlns:c16="http://schemas.microsoft.com/office/drawing/2014/chart" uri="{C3380CC4-5D6E-409C-BE32-E72D297353CC}">
                <c16:uniqueId val="{000001AF-EF1D-4833-8337-C9FF4F024954}"/>
              </c:ext>
            </c:extLst>
          </c:dPt>
          <c:dPt>
            <c:idx val="10"/>
            <c:invertIfNegative val="0"/>
            <c:bubble3D val="0"/>
            <c:extLst>
              <c:ext xmlns:c16="http://schemas.microsoft.com/office/drawing/2014/chart" uri="{C3380CC4-5D6E-409C-BE32-E72D297353CC}">
                <c16:uniqueId val="{000001B0-EF1D-4833-8337-C9FF4F024954}"/>
              </c:ext>
            </c:extLst>
          </c:dPt>
          <c:dPt>
            <c:idx val="11"/>
            <c:invertIfNegative val="0"/>
            <c:bubble3D val="0"/>
            <c:extLst>
              <c:ext xmlns:c16="http://schemas.microsoft.com/office/drawing/2014/chart" uri="{C3380CC4-5D6E-409C-BE32-E72D297353CC}">
                <c16:uniqueId val="{000001B1-EF1D-4833-8337-C9FF4F024954}"/>
              </c:ext>
            </c:extLst>
          </c:dPt>
          <c:dPt>
            <c:idx val="12"/>
            <c:invertIfNegative val="0"/>
            <c:bubble3D val="0"/>
            <c:extLst>
              <c:ext xmlns:c16="http://schemas.microsoft.com/office/drawing/2014/chart" uri="{C3380CC4-5D6E-409C-BE32-E72D297353CC}">
                <c16:uniqueId val="{000001B2-EF1D-4833-8337-C9FF4F024954}"/>
              </c:ext>
            </c:extLst>
          </c:dPt>
          <c:dPt>
            <c:idx val="13"/>
            <c:invertIfNegative val="0"/>
            <c:bubble3D val="0"/>
            <c:extLst>
              <c:ext xmlns:c16="http://schemas.microsoft.com/office/drawing/2014/chart" uri="{C3380CC4-5D6E-409C-BE32-E72D297353CC}">
                <c16:uniqueId val="{000001B3-EF1D-4833-8337-C9FF4F024954}"/>
              </c:ext>
            </c:extLst>
          </c:dPt>
          <c:dPt>
            <c:idx val="14"/>
            <c:invertIfNegative val="0"/>
            <c:bubble3D val="0"/>
            <c:extLst>
              <c:ext xmlns:c16="http://schemas.microsoft.com/office/drawing/2014/chart" uri="{C3380CC4-5D6E-409C-BE32-E72D297353CC}">
                <c16:uniqueId val="{000001B4-EF1D-4833-8337-C9FF4F024954}"/>
              </c:ext>
            </c:extLst>
          </c:dPt>
          <c:dPt>
            <c:idx val="15"/>
            <c:invertIfNegative val="0"/>
            <c:bubble3D val="0"/>
            <c:extLst>
              <c:ext xmlns:c16="http://schemas.microsoft.com/office/drawing/2014/chart" uri="{C3380CC4-5D6E-409C-BE32-E72D297353CC}">
                <c16:uniqueId val="{000001B5-EF1D-4833-8337-C9FF4F024954}"/>
              </c:ext>
            </c:extLst>
          </c:dPt>
          <c:dPt>
            <c:idx val="16"/>
            <c:invertIfNegative val="0"/>
            <c:bubble3D val="0"/>
            <c:extLst>
              <c:ext xmlns:c16="http://schemas.microsoft.com/office/drawing/2014/chart" uri="{C3380CC4-5D6E-409C-BE32-E72D297353CC}">
                <c16:uniqueId val="{000001B6-EF1D-4833-8337-C9FF4F024954}"/>
              </c:ext>
            </c:extLst>
          </c:dPt>
          <c:dPt>
            <c:idx val="17"/>
            <c:invertIfNegative val="0"/>
            <c:bubble3D val="0"/>
            <c:extLst>
              <c:ext xmlns:c16="http://schemas.microsoft.com/office/drawing/2014/chart" uri="{C3380CC4-5D6E-409C-BE32-E72D297353CC}">
                <c16:uniqueId val="{000001B7-EF1D-4833-8337-C9FF4F024954}"/>
              </c:ext>
            </c:extLst>
          </c:dPt>
          <c:dPt>
            <c:idx val="18"/>
            <c:invertIfNegative val="0"/>
            <c:bubble3D val="0"/>
            <c:extLst>
              <c:ext xmlns:c16="http://schemas.microsoft.com/office/drawing/2014/chart" uri="{C3380CC4-5D6E-409C-BE32-E72D297353CC}">
                <c16:uniqueId val="{000001B8-EF1D-4833-8337-C9FF4F024954}"/>
              </c:ext>
            </c:extLst>
          </c:dPt>
          <c:dPt>
            <c:idx val="19"/>
            <c:invertIfNegative val="0"/>
            <c:bubble3D val="0"/>
            <c:extLst>
              <c:ext xmlns:c16="http://schemas.microsoft.com/office/drawing/2014/chart" uri="{C3380CC4-5D6E-409C-BE32-E72D297353CC}">
                <c16:uniqueId val="{000001B9-EF1D-4833-8337-C9FF4F024954}"/>
              </c:ext>
            </c:extLst>
          </c:dPt>
          <c:dPt>
            <c:idx val="20"/>
            <c:invertIfNegative val="0"/>
            <c:bubble3D val="0"/>
            <c:extLst>
              <c:ext xmlns:c16="http://schemas.microsoft.com/office/drawing/2014/chart" uri="{C3380CC4-5D6E-409C-BE32-E72D297353CC}">
                <c16:uniqueId val="{000001BA-EF1D-4833-8337-C9FF4F024954}"/>
              </c:ext>
            </c:extLst>
          </c:dPt>
          <c:dPt>
            <c:idx val="21"/>
            <c:invertIfNegative val="0"/>
            <c:bubble3D val="0"/>
            <c:extLst>
              <c:ext xmlns:c16="http://schemas.microsoft.com/office/drawing/2014/chart" uri="{C3380CC4-5D6E-409C-BE32-E72D297353CC}">
                <c16:uniqueId val="{000001BB-EF1D-4833-8337-C9FF4F024954}"/>
              </c:ext>
            </c:extLst>
          </c:dPt>
          <c:dPt>
            <c:idx val="22"/>
            <c:invertIfNegative val="0"/>
            <c:bubble3D val="0"/>
            <c:extLst>
              <c:ext xmlns:c16="http://schemas.microsoft.com/office/drawing/2014/chart" uri="{C3380CC4-5D6E-409C-BE32-E72D297353CC}">
                <c16:uniqueId val="{000001BC-EF1D-4833-8337-C9FF4F024954}"/>
              </c:ext>
            </c:extLst>
          </c:dPt>
          <c:dPt>
            <c:idx val="23"/>
            <c:invertIfNegative val="0"/>
            <c:bubble3D val="0"/>
            <c:extLst>
              <c:ext xmlns:c16="http://schemas.microsoft.com/office/drawing/2014/chart" uri="{C3380CC4-5D6E-409C-BE32-E72D297353CC}">
                <c16:uniqueId val="{000001BD-EF1D-4833-8337-C9FF4F024954}"/>
              </c:ext>
            </c:extLst>
          </c:dPt>
          <c:dPt>
            <c:idx val="24"/>
            <c:invertIfNegative val="0"/>
            <c:bubble3D val="0"/>
            <c:extLst>
              <c:ext xmlns:c16="http://schemas.microsoft.com/office/drawing/2014/chart" uri="{C3380CC4-5D6E-409C-BE32-E72D297353CC}">
                <c16:uniqueId val="{000001BE-EF1D-4833-8337-C9FF4F024954}"/>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Data'!$B$7:$W$7</c:f>
              <c:numCache>
                <c:formatCode>#,##0_ ;\-#,##0\ </c:formatCode>
                <c:ptCount val="22"/>
                <c:pt idx="0">
                  <c:v>0</c:v>
                </c:pt>
                <c:pt idx="1">
                  <c:v>-24</c:v>
                </c:pt>
                <c:pt idx="2">
                  <c:v>-24</c:v>
                </c:pt>
                <c:pt idx="3">
                  <c:v>-298</c:v>
                </c:pt>
                <c:pt idx="4">
                  <c:v>3</c:v>
                </c:pt>
                <c:pt idx="5">
                  <c:v>3</c:v>
                </c:pt>
                <c:pt idx="6">
                  <c:v>93</c:v>
                </c:pt>
                <c:pt idx="7">
                  <c:v>93</c:v>
                </c:pt>
                <c:pt idx="8">
                  <c:v>93</c:v>
                </c:pt>
                <c:pt idx="9">
                  <c:v>93</c:v>
                </c:pt>
                <c:pt idx="10">
                  <c:v>93</c:v>
                </c:pt>
                <c:pt idx="11">
                  <c:v>93</c:v>
                </c:pt>
                <c:pt idx="12">
                  <c:v>93</c:v>
                </c:pt>
                <c:pt idx="13">
                  <c:v>93</c:v>
                </c:pt>
                <c:pt idx="14">
                  <c:v>93</c:v>
                </c:pt>
                <c:pt idx="15">
                  <c:v>93</c:v>
                </c:pt>
                <c:pt idx="16">
                  <c:v>93</c:v>
                </c:pt>
                <c:pt idx="17">
                  <c:v>93</c:v>
                </c:pt>
                <c:pt idx="18">
                  <c:v>93</c:v>
                </c:pt>
                <c:pt idx="19">
                  <c:v>93</c:v>
                </c:pt>
                <c:pt idx="20">
                  <c:v>93</c:v>
                </c:pt>
                <c:pt idx="21">
                  <c:v>93</c:v>
                </c:pt>
              </c:numCache>
            </c:numRef>
          </c:val>
          <c:extLst>
            <c:ext xmlns:c16="http://schemas.microsoft.com/office/drawing/2014/chart" uri="{C3380CC4-5D6E-409C-BE32-E72D297353CC}">
              <c16:uniqueId val="{000001BF-EF1D-4833-8337-C9FF4F024954}"/>
            </c:ext>
          </c:extLst>
        </c:ser>
        <c:ser>
          <c:idx val="8"/>
          <c:order val="5"/>
          <c:tx>
            <c:strRef>
              <c:f>'NewAndRetiredCapacity Data'!$A$8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1C1-EF1D-4833-8337-C9FF4F024954}"/>
              </c:ext>
            </c:extLst>
          </c:dPt>
          <c:dPt>
            <c:idx val="1"/>
            <c:invertIfNegative val="0"/>
            <c:bubble3D val="0"/>
            <c:extLst>
              <c:ext xmlns:c16="http://schemas.microsoft.com/office/drawing/2014/chart" uri="{C3380CC4-5D6E-409C-BE32-E72D297353CC}">
                <c16:uniqueId val="{000001C2-EF1D-4833-8337-C9FF4F024954}"/>
              </c:ext>
            </c:extLst>
          </c:dPt>
          <c:dPt>
            <c:idx val="2"/>
            <c:invertIfNegative val="0"/>
            <c:bubble3D val="0"/>
            <c:extLst>
              <c:ext xmlns:c16="http://schemas.microsoft.com/office/drawing/2014/chart" uri="{C3380CC4-5D6E-409C-BE32-E72D297353CC}">
                <c16:uniqueId val="{000001C3-EF1D-4833-8337-C9FF4F024954}"/>
              </c:ext>
            </c:extLst>
          </c:dPt>
          <c:dPt>
            <c:idx val="3"/>
            <c:invertIfNegative val="0"/>
            <c:bubble3D val="0"/>
            <c:extLst>
              <c:ext xmlns:c16="http://schemas.microsoft.com/office/drawing/2014/chart" uri="{C3380CC4-5D6E-409C-BE32-E72D297353CC}">
                <c16:uniqueId val="{000001C4-EF1D-4833-8337-C9FF4F024954}"/>
              </c:ext>
            </c:extLst>
          </c:dPt>
          <c:dPt>
            <c:idx val="4"/>
            <c:invertIfNegative val="0"/>
            <c:bubble3D val="0"/>
            <c:extLst>
              <c:ext xmlns:c16="http://schemas.microsoft.com/office/drawing/2014/chart" uri="{C3380CC4-5D6E-409C-BE32-E72D297353CC}">
                <c16:uniqueId val="{000001C5-EF1D-4833-8337-C9FF4F024954}"/>
              </c:ext>
            </c:extLst>
          </c:dPt>
          <c:dPt>
            <c:idx val="5"/>
            <c:invertIfNegative val="0"/>
            <c:bubble3D val="0"/>
            <c:extLst>
              <c:ext xmlns:c16="http://schemas.microsoft.com/office/drawing/2014/chart" uri="{C3380CC4-5D6E-409C-BE32-E72D297353CC}">
                <c16:uniqueId val="{000001C6-EF1D-4833-8337-C9FF4F024954}"/>
              </c:ext>
            </c:extLst>
          </c:dPt>
          <c:dPt>
            <c:idx val="6"/>
            <c:invertIfNegative val="0"/>
            <c:bubble3D val="0"/>
            <c:extLst>
              <c:ext xmlns:c16="http://schemas.microsoft.com/office/drawing/2014/chart" uri="{C3380CC4-5D6E-409C-BE32-E72D297353CC}">
                <c16:uniqueId val="{000001C7-EF1D-4833-8337-C9FF4F024954}"/>
              </c:ext>
            </c:extLst>
          </c:dPt>
          <c:dPt>
            <c:idx val="7"/>
            <c:invertIfNegative val="0"/>
            <c:bubble3D val="0"/>
            <c:extLst>
              <c:ext xmlns:c16="http://schemas.microsoft.com/office/drawing/2014/chart" uri="{C3380CC4-5D6E-409C-BE32-E72D297353CC}">
                <c16:uniqueId val="{000001C8-EF1D-4833-8337-C9FF4F024954}"/>
              </c:ext>
            </c:extLst>
          </c:dPt>
          <c:dPt>
            <c:idx val="8"/>
            <c:invertIfNegative val="0"/>
            <c:bubble3D val="0"/>
            <c:extLst>
              <c:ext xmlns:c16="http://schemas.microsoft.com/office/drawing/2014/chart" uri="{C3380CC4-5D6E-409C-BE32-E72D297353CC}">
                <c16:uniqueId val="{000001C9-EF1D-4833-8337-C9FF4F024954}"/>
              </c:ext>
            </c:extLst>
          </c:dPt>
          <c:dPt>
            <c:idx val="9"/>
            <c:invertIfNegative val="0"/>
            <c:bubble3D val="0"/>
            <c:extLst>
              <c:ext xmlns:c16="http://schemas.microsoft.com/office/drawing/2014/chart" uri="{C3380CC4-5D6E-409C-BE32-E72D297353CC}">
                <c16:uniqueId val="{000001CA-EF1D-4833-8337-C9FF4F024954}"/>
              </c:ext>
            </c:extLst>
          </c:dPt>
          <c:dPt>
            <c:idx val="10"/>
            <c:invertIfNegative val="0"/>
            <c:bubble3D val="0"/>
            <c:extLst>
              <c:ext xmlns:c16="http://schemas.microsoft.com/office/drawing/2014/chart" uri="{C3380CC4-5D6E-409C-BE32-E72D297353CC}">
                <c16:uniqueId val="{000001CB-EF1D-4833-8337-C9FF4F024954}"/>
              </c:ext>
            </c:extLst>
          </c:dPt>
          <c:dPt>
            <c:idx val="11"/>
            <c:invertIfNegative val="0"/>
            <c:bubble3D val="0"/>
            <c:extLst>
              <c:ext xmlns:c16="http://schemas.microsoft.com/office/drawing/2014/chart" uri="{C3380CC4-5D6E-409C-BE32-E72D297353CC}">
                <c16:uniqueId val="{000001CC-EF1D-4833-8337-C9FF4F024954}"/>
              </c:ext>
            </c:extLst>
          </c:dPt>
          <c:dPt>
            <c:idx val="12"/>
            <c:invertIfNegative val="0"/>
            <c:bubble3D val="0"/>
            <c:extLst>
              <c:ext xmlns:c16="http://schemas.microsoft.com/office/drawing/2014/chart" uri="{C3380CC4-5D6E-409C-BE32-E72D297353CC}">
                <c16:uniqueId val="{000001CD-EF1D-4833-8337-C9FF4F024954}"/>
              </c:ext>
            </c:extLst>
          </c:dPt>
          <c:dPt>
            <c:idx val="13"/>
            <c:invertIfNegative val="0"/>
            <c:bubble3D val="0"/>
            <c:extLst>
              <c:ext xmlns:c16="http://schemas.microsoft.com/office/drawing/2014/chart" uri="{C3380CC4-5D6E-409C-BE32-E72D297353CC}">
                <c16:uniqueId val="{000001CE-EF1D-4833-8337-C9FF4F024954}"/>
              </c:ext>
            </c:extLst>
          </c:dPt>
          <c:dPt>
            <c:idx val="14"/>
            <c:invertIfNegative val="0"/>
            <c:bubble3D val="0"/>
            <c:extLst>
              <c:ext xmlns:c16="http://schemas.microsoft.com/office/drawing/2014/chart" uri="{C3380CC4-5D6E-409C-BE32-E72D297353CC}">
                <c16:uniqueId val="{000001CF-EF1D-4833-8337-C9FF4F024954}"/>
              </c:ext>
            </c:extLst>
          </c:dPt>
          <c:dPt>
            <c:idx val="15"/>
            <c:invertIfNegative val="0"/>
            <c:bubble3D val="0"/>
            <c:extLst>
              <c:ext xmlns:c16="http://schemas.microsoft.com/office/drawing/2014/chart" uri="{C3380CC4-5D6E-409C-BE32-E72D297353CC}">
                <c16:uniqueId val="{000001D0-EF1D-4833-8337-C9FF4F024954}"/>
              </c:ext>
            </c:extLst>
          </c:dPt>
          <c:dPt>
            <c:idx val="16"/>
            <c:invertIfNegative val="0"/>
            <c:bubble3D val="0"/>
            <c:extLst>
              <c:ext xmlns:c16="http://schemas.microsoft.com/office/drawing/2014/chart" uri="{C3380CC4-5D6E-409C-BE32-E72D297353CC}">
                <c16:uniqueId val="{000001D1-EF1D-4833-8337-C9FF4F024954}"/>
              </c:ext>
            </c:extLst>
          </c:dPt>
          <c:dPt>
            <c:idx val="17"/>
            <c:invertIfNegative val="0"/>
            <c:bubble3D val="0"/>
            <c:extLst>
              <c:ext xmlns:c16="http://schemas.microsoft.com/office/drawing/2014/chart" uri="{C3380CC4-5D6E-409C-BE32-E72D297353CC}">
                <c16:uniqueId val="{000001D2-EF1D-4833-8337-C9FF4F024954}"/>
              </c:ext>
            </c:extLst>
          </c:dPt>
          <c:dPt>
            <c:idx val="18"/>
            <c:invertIfNegative val="0"/>
            <c:bubble3D val="0"/>
            <c:extLst>
              <c:ext xmlns:c16="http://schemas.microsoft.com/office/drawing/2014/chart" uri="{C3380CC4-5D6E-409C-BE32-E72D297353CC}">
                <c16:uniqueId val="{000001D3-EF1D-4833-8337-C9FF4F024954}"/>
              </c:ext>
            </c:extLst>
          </c:dPt>
          <c:dPt>
            <c:idx val="19"/>
            <c:invertIfNegative val="0"/>
            <c:bubble3D val="0"/>
            <c:extLst>
              <c:ext xmlns:c16="http://schemas.microsoft.com/office/drawing/2014/chart" uri="{C3380CC4-5D6E-409C-BE32-E72D297353CC}">
                <c16:uniqueId val="{000001D4-EF1D-4833-8337-C9FF4F024954}"/>
              </c:ext>
            </c:extLst>
          </c:dPt>
          <c:dPt>
            <c:idx val="20"/>
            <c:invertIfNegative val="0"/>
            <c:bubble3D val="0"/>
            <c:extLst>
              <c:ext xmlns:c16="http://schemas.microsoft.com/office/drawing/2014/chart" uri="{C3380CC4-5D6E-409C-BE32-E72D297353CC}">
                <c16:uniqueId val="{000001D5-EF1D-4833-8337-C9FF4F024954}"/>
              </c:ext>
            </c:extLst>
          </c:dPt>
          <c:dPt>
            <c:idx val="21"/>
            <c:invertIfNegative val="0"/>
            <c:bubble3D val="0"/>
            <c:extLst>
              <c:ext xmlns:c16="http://schemas.microsoft.com/office/drawing/2014/chart" uri="{C3380CC4-5D6E-409C-BE32-E72D297353CC}">
                <c16:uniqueId val="{000001D6-EF1D-4833-8337-C9FF4F024954}"/>
              </c:ext>
            </c:extLst>
          </c:dPt>
          <c:dPt>
            <c:idx val="22"/>
            <c:invertIfNegative val="0"/>
            <c:bubble3D val="0"/>
            <c:extLst>
              <c:ext xmlns:c16="http://schemas.microsoft.com/office/drawing/2014/chart" uri="{C3380CC4-5D6E-409C-BE32-E72D297353CC}">
                <c16:uniqueId val="{000001D7-EF1D-4833-8337-C9FF4F024954}"/>
              </c:ext>
            </c:extLst>
          </c:dPt>
          <c:dPt>
            <c:idx val="23"/>
            <c:invertIfNegative val="0"/>
            <c:bubble3D val="0"/>
            <c:extLst>
              <c:ext xmlns:c16="http://schemas.microsoft.com/office/drawing/2014/chart" uri="{C3380CC4-5D6E-409C-BE32-E72D297353CC}">
                <c16:uniqueId val="{000001D8-EF1D-4833-8337-C9FF4F024954}"/>
              </c:ext>
            </c:extLst>
          </c:dPt>
          <c:dPt>
            <c:idx val="24"/>
            <c:invertIfNegative val="0"/>
            <c:bubble3D val="0"/>
            <c:extLst>
              <c:ext xmlns:c16="http://schemas.microsoft.com/office/drawing/2014/chart" uri="{C3380CC4-5D6E-409C-BE32-E72D297353CC}">
                <c16:uniqueId val="{000001D9-EF1D-4833-8337-C9FF4F024954}"/>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Data'!$B$8:$W$8</c:f>
              <c:numCache>
                <c:formatCode>#,##0_ ;\-#,##0\ </c:formatCode>
                <c:ptCount val="22"/>
                <c:pt idx="0">
                  <c:v>0</c:v>
                </c:pt>
                <c:pt idx="1">
                  <c:v>1894.0000000000009</c:v>
                </c:pt>
                <c:pt idx="2">
                  <c:v>2294.0000000000009</c:v>
                </c:pt>
                <c:pt idx="3">
                  <c:v>2694</c:v>
                </c:pt>
                <c:pt idx="4">
                  <c:v>3094</c:v>
                </c:pt>
                <c:pt idx="5">
                  <c:v>3987</c:v>
                </c:pt>
                <c:pt idx="6">
                  <c:v>4387</c:v>
                </c:pt>
                <c:pt idx="7">
                  <c:v>4387</c:v>
                </c:pt>
                <c:pt idx="8">
                  <c:v>4477.4871959100019</c:v>
                </c:pt>
                <c:pt idx="9">
                  <c:v>4636.751807820001</c:v>
                </c:pt>
                <c:pt idx="10">
                  <c:v>4894.9410939200006</c:v>
                </c:pt>
                <c:pt idx="11">
                  <c:v>5041.8036120100005</c:v>
                </c:pt>
                <c:pt idx="12">
                  <c:v>5041.8036120100005</c:v>
                </c:pt>
                <c:pt idx="13">
                  <c:v>5041.8036120100005</c:v>
                </c:pt>
                <c:pt idx="14">
                  <c:v>5389.8844388800007</c:v>
                </c:pt>
                <c:pt idx="15">
                  <c:v>5505.7963777100013</c:v>
                </c:pt>
                <c:pt idx="16">
                  <c:v>6594.1125233100011</c:v>
                </c:pt>
                <c:pt idx="17">
                  <c:v>7694.2478422600016</c:v>
                </c:pt>
                <c:pt idx="18">
                  <c:v>9656.7555044600012</c:v>
                </c:pt>
                <c:pt idx="19">
                  <c:v>9656.7555044600012</c:v>
                </c:pt>
                <c:pt idx="20">
                  <c:v>10111.039211540001</c:v>
                </c:pt>
                <c:pt idx="21">
                  <c:v>10127.745189190002</c:v>
                </c:pt>
              </c:numCache>
            </c:numRef>
          </c:val>
          <c:extLst>
            <c:ext xmlns:c16="http://schemas.microsoft.com/office/drawing/2014/chart" uri="{C3380CC4-5D6E-409C-BE32-E72D297353CC}">
              <c16:uniqueId val="{000001DA-EF1D-4833-8337-C9FF4F024954}"/>
            </c:ext>
          </c:extLst>
        </c:ser>
        <c:ser>
          <c:idx val="5"/>
          <c:order val="6"/>
          <c:tx>
            <c:strRef>
              <c:f>'NewAndRetiredCapacity Data'!$A$11</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1DC-EF1D-4833-8337-C9FF4F024954}"/>
              </c:ext>
            </c:extLst>
          </c:dPt>
          <c:dPt>
            <c:idx val="1"/>
            <c:invertIfNegative val="0"/>
            <c:bubble3D val="0"/>
            <c:extLst>
              <c:ext xmlns:c16="http://schemas.microsoft.com/office/drawing/2014/chart" uri="{C3380CC4-5D6E-409C-BE32-E72D297353CC}">
                <c16:uniqueId val="{000001DD-EF1D-4833-8337-C9FF4F024954}"/>
              </c:ext>
            </c:extLst>
          </c:dPt>
          <c:dPt>
            <c:idx val="2"/>
            <c:invertIfNegative val="0"/>
            <c:bubble3D val="0"/>
            <c:extLst>
              <c:ext xmlns:c16="http://schemas.microsoft.com/office/drawing/2014/chart" uri="{C3380CC4-5D6E-409C-BE32-E72D297353CC}">
                <c16:uniqueId val="{000001DE-EF1D-4833-8337-C9FF4F024954}"/>
              </c:ext>
            </c:extLst>
          </c:dPt>
          <c:dPt>
            <c:idx val="3"/>
            <c:invertIfNegative val="0"/>
            <c:bubble3D val="0"/>
            <c:extLst>
              <c:ext xmlns:c16="http://schemas.microsoft.com/office/drawing/2014/chart" uri="{C3380CC4-5D6E-409C-BE32-E72D297353CC}">
                <c16:uniqueId val="{000001DF-EF1D-4833-8337-C9FF4F024954}"/>
              </c:ext>
            </c:extLst>
          </c:dPt>
          <c:dPt>
            <c:idx val="4"/>
            <c:invertIfNegative val="0"/>
            <c:bubble3D val="0"/>
            <c:extLst>
              <c:ext xmlns:c16="http://schemas.microsoft.com/office/drawing/2014/chart" uri="{C3380CC4-5D6E-409C-BE32-E72D297353CC}">
                <c16:uniqueId val="{000001E0-EF1D-4833-8337-C9FF4F024954}"/>
              </c:ext>
            </c:extLst>
          </c:dPt>
          <c:dPt>
            <c:idx val="5"/>
            <c:invertIfNegative val="0"/>
            <c:bubble3D val="0"/>
            <c:extLst>
              <c:ext xmlns:c16="http://schemas.microsoft.com/office/drawing/2014/chart" uri="{C3380CC4-5D6E-409C-BE32-E72D297353CC}">
                <c16:uniqueId val="{000001E1-EF1D-4833-8337-C9FF4F024954}"/>
              </c:ext>
            </c:extLst>
          </c:dPt>
          <c:dPt>
            <c:idx val="6"/>
            <c:invertIfNegative val="0"/>
            <c:bubble3D val="0"/>
            <c:extLst>
              <c:ext xmlns:c16="http://schemas.microsoft.com/office/drawing/2014/chart" uri="{C3380CC4-5D6E-409C-BE32-E72D297353CC}">
                <c16:uniqueId val="{000001E2-EF1D-4833-8337-C9FF4F024954}"/>
              </c:ext>
            </c:extLst>
          </c:dPt>
          <c:dPt>
            <c:idx val="7"/>
            <c:invertIfNegative val="0"/>
            <c:bubble3D val="0"/>
            <c:extLst>
              <c:ext xmlns:c16="http://schemas.microsoft.com/office/drawing/2014/chart" uri="{C3380CC4-5D6E-409C-BE32-E72D297353CC}">
                <c16:uniqueId val="{000001E3-EF1D-4833-8337-C9FF4F024954}"/>
              </c:ext>
            </c:extLst>
          </c:dPt>
          <c:dPt>
            <c:idx val="8"/>
            <c:invertIfNegative val="0"/>
            <c:bubble3D val="0"/>
            <c:extLst>
              <c:ext xmlns:c16="http://schemas.microsoft.com/office/drawing/2014/chart" uri="{C3380CC4-5D6E-409C-BE32-E72D297353CC}">
                <c16:uniqueId val="{000001E4-EF1D-4833-8337-C9FF4F024954}"/>
              </c:ext>
            </c:extLst>
          </c:dPt>
          <c:dPt>
            <c:idx val="9"/>
            <c:invertIfNegative val="0"/>
            <c:bubble3D val="0"/>
            <c:extLst>
              <c:ext xmlns:c16="http://schemas.microsoft.com/office/drawing/2014/chart" uri="{C3380CC4-5D6E-409C-BE32-E72D297353CC}">
                <c16:uniqueId val="{000001E5-EF1D-4833-8337-C9FF4F024954}"/>
              </c:ext>
            </c:extLst>
          </c:dPt>
          <c:dPt>
            <c:idx val="10"/>
            <c:invertIfNegative val="0"/>
            <c:bubble3D val="0"/>
            <c:extLst>
              <c:ext xmlns:c16="http://schemas.microsoft.com/office/drawing/2014/chart" uri="{C3380CC4-5D6E-409C-BE32-E72D297353CC}">
                <c16:uniqueId val="{000001E6-EF1D-4833-8337-C9FF4F024954}"/>
              </c:ext>
            </c:extLst>
          </c:dPt>
          <c:dPt>
            <c:idx val="11"/>
            <c:invertIfNegative val="0"/>
            <c:bubble3D val="0"/>
            <c:extLst>
              <c:ext xmlns:c16="http://schemas.microsoft.com/office/drawing/2014/chart" uri="{C3380CC4-5D6E-409C-BE32-E72D297353CC}">
                <c16:uniqueId val="{000001E7-EF1D-4833-8337-C9FF4F024954}"/>
              </c:ext>
            </c:extLst>
          </c:dPt>
          <c:dPt>
            <c:idx val="12"/>
            <c:invertIfNegative val="0"/>
            <c:bubble3D val="0"/>
            <c:extLst>
              <c:ext xmlns:c16="http://schemas.microsoft.com/office/drawing/2014/chart" uri="{C3380CC4-5D6E-409C-BE32-E72D297353CC}">
                <c16:uniqueId val="{000001E8-EF1D-4833-8337-C9FF4F024954}"/>
              </c:ext>
            </c:extLst>
          </c:dPt>
          <c:dPt>
            <c:idx val="13"/>
            <c:invertIfNegative val="0"/>
            <c:bubble3D val="0"/>
            <c:extLst>
              <c:ext xmlns:c16="http://schemas.microsoft.com/office/drawing/2014/chart" uri="{C3380CC4-5D6E-409C-BE32-E72D297353CC}">
                <c16:uniqueId val="{000001E9-EF1D-4833-8337-C9FF4F024954}"/>
              </c:ext>
            </c:extLst>
          </c:dPt>
          <c:dPt>
            <c:idx val="14"/>
            <c:invertIfNegative val="0"/>
            <c:bubble3D val="0"/>
            <c:extLst>
              <c:ext xmlns:c16="http://schemas.microsoft.com/office/drawing/2014/chart" uri="{C3380CC4-5D6E-409C-BE32-E72D297353CC}">
                <c16:uniqueId val="{000001EA-EF1D-4833-8337-C9FF4F024954}"/>
              </c:ext>
            </c:extLst>
          </c:dPt>
          <c:dPt>
            <c:idx val="15"/>
            <c:invertIfNegative val="0"/>
            <c:bubble3D val="0"/>
            <c:extLst>
              <c:ext xmlns:c16="http://schemas.microsoft.com/office/drawing/2014/chart" uri="{C3380CC4-5D6E-409C-BE32-E72D297353CC}">
                <c16:uniqueId val="{000001EB-EF1D-4833-8337-C9FF4F024954}"/>
              </c:ext>
            </c:extLst>
          </c:dPt>
          <c:dPt>
            <c:idx val="16"/>
            <c:invertIfNegative val="0"/>
            <c:bubble3D val="0"/>
            <c:extLst>
              <c:ext xmlns:c16="http://schemas.microsoft.com/office/drawing/2014/chart" uri="{C3380CC4-5D6E-409C-BE32-E72D297353CC}">
                <c16:uniqueId val="{000001EC-EF1D-4833-8337-C9FF4F024954}"/>
              </c:ext>
            </c:extLst>
          </c:dPt>
          <c:dPt>
            <c:idx val="17"/>
            <c:invertIfNegative val="0"/>
            <c:bubble3D val="0"/>
            <c:extLst>
              <c:ext xmlns:c16="http://schemas.microsoft.com/office/drawing/2014/chart" uri="{C3380CC4-5D6E-409C-BE32-E72D297353CC}">
                <c16:uniqueId val="{000001ED-EF1D-4833-8337-C9FF4F024954}"/>
              </c:ext>
            </c:extLst>
          </c:dPt>
          <c:dPt>
            <c:idx val="18"/>
            <c:invertIfNegative val="0"/>
            <c:bubble3D val="0"/>
            <c:extLst>
              <c:ext xmlns:c16="http://schemas.microsoft.com/office/drawing/2014/chart" uri="{C3380CC4-5D6E-409C-BE32-E72D297353CC}">
                <c16:uniqueId val="{000001EE-EF1D-4833-8337-C9FF4F024954}"/>
              </c:ext>
            </c:extLst>
          </c:dPt>
          <c:dPt>
            <c:idx val="19"/>
            <c:invertIfNegative val="0"/>
            <c:bubble3D val="0"/>
            <c:extLst>
              <c:ext xmlns:c16="http://schemas.microsoft.com/office/drawing/2014/chart" uri="{C3380CC4-5D6E-409C-BE32-E72D297353CC}">
                <c16:uniqueId val="{000001EF-EF1D-4833-8337-C9FF4F024954}"/>
              </c:ext>
            </c:extLst>
          </c:dPt>
          <c:dPt>
            <c:idx val="20"/>
            <c:invertIfNegative val="0"/>
            <c:bubble3D val="0"/>
            <c:extLst>
              <c:ext xmlns:c16="http://schemas.microsoft.com/office/drawing/2014/chart" uri="{C3380CC4-5D6E-409C-BE32-E72D297353CC}">
                <c16:uniqueId val="{000001F0-EF1D-4833-8337-C9FF4F024954}"/>
              </c:ext>
            </c:extLst>
          </c:dPt>
          <c:dPt>
            <c:idx val="21"/>
            <c:invertIfNegative val="0"/>
            <c:bubble3D val="0"/>
            <c:extLst>
              <c:ext xmlns:c16="http://schemas.microsoft.com/office/drawing/2014/chart" uri="{C3380CC4-5D6E-409C-BE32-E72D297353CC}">
                <c16:uniqueId val="{000001F1-EF1D-4833-8337-C9FF4F024954}"/>
              </c:ext>
            </c:extLst>
          </c:dPt>
          <c:dPt>
            <c:idx val="22"/>
            <c:invertIfNegative val="0"/>
            <c:bubble3D val="0"/>
            <c:extLst>
              <c:ext xmlns:c16="http://schemas.microsoft.com/office/drawing/2014/chart" uri="{C3380CC4-5D6E-409C-BE32-E72D297353CC}">
                <c16:uniqueId val="{000001F2-EF1D-4833-8337-C9FF4F024954}"/>
              </c:ext>
            </c:extLst>
          </c:dPt>
          <c:dPt>
            <c:idx val="23"/>
            <c:invertIfNegative val="0"/>
            <c:bubble3D val="0"/>
            <c:extLst>
              <c:ext xmlns:c16="http://schemas.microsoft.com/office/drawing/2014/chart" uri="{C3380CC4-5D6E-409C-BE32-E72D297353CC}">
                <c16:uniqueId val="{000001F3-EF1D-4833-8337-C9FF4F024954}"/>
              </c:ext>
            </c:extLst>
          </c:dPt>
          <c:dPt>
            <c:idx val="24"/>
            <c:invertIfNegative val="0"/>
            <c:bubble3D val="0"/>
            <c:extLst>
              <c:ext xmlns:c16="http://schemas.microsoft.com/office/drawing/2014/chart" uri="{C3380CC4-5D6E-409C-BE32-E72D297353CC}">
                <c16:uniqueId val="{000001F4-EF1D-4833-8337-C9FF4F024954}"/>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Data'!$B$11:$W$11</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1F5-EF1D-4833-8337-C9FF4F024954}"/>
            </c:ext>
          </c:extLst>
        </c:ser>
        <c:ser>
          <c:idx val="11"/>
          <c:order val="7"/>
          <c:tx>
            <c:strRef>
              <c:f>'NewAndRetiredCapacity Data'!$A$9</c:f>
              <c:strCache>
                <c:ptCount val="1"/>
                <c:pt idx="0">
                  <c:v>Utility Solar</c:v>
                </c:pt>
              </c:strCache>
            </c:strRef>
          </c:tx>
          <c:spPr>
            <a:solidFill>
              <a:srgbClr val="FFC222"/>
            </a:solidFill>
            <a:ln>
              <a:noFill/>
            </a:ln>
          </c:spPr>
          <c:invertIfNegative val="0"/>
          <c:dPt>
            <c:idx val="0"/>
            <c:invertIfNegative val="0"/>
            <c:bubble3D val="0"/>
            <c:spPr>
              <a:solidFill>
                <a:srgbClr val="FFC222"/>
              </a:solidFill>
              <a:ln w="3175" cmpd="sng">
                <a:noFill/>
                <a:prstDash val="solid"/>
              </a:ln>
            </c:spPr>
            <c:extLst>
              <c:ext xmlns:c16="http://schemas.microsoft.com/office/drawing/2014/chart" uri="{C3380CC4-5D6E-409C-BE32-E72D297353CC}">
                <c16:uniqueId val="{000001F8-EF1D-4833-8337-C9FF4F024954}"/>
              </c:ext>
            </c:extLst>
          </c:dPt>
          <c:dPt>
            <c:idx val="1"/>
            <c:invertIfNegative val="0"/>
            <c:bubble3D val="0"/>
            <c:spPr>
              <a:solidFill>
                <a:srgbClr val="FFC222"/>
              </a:solidFill>
              <a:ln w="3175" cmpd="sng">
                <a:noFill/>
                <a:prstDash val="solid"/>
              </a:ln>
            </c:spPr>
            <c:extLst>
              <c:ext xmlns:c16="http://schemas.microsoft.com/office/drawing/2014/chart" uri="{C3380CC4-5D6E-409C-BE32-E72D297353CC}">
                <c16:uniqueId val="{000001FA-EF1D-4833-8337-C9FF4F024954}"/>
              </c:ext>
            </c:extLst>
          </c:dPt>
          <c:dPt>
            <c:idx val="2"/>
            <c:invertIfNegative val="0"/>
            <c:bubble3D val="0"/>
            <c:spPr>
              <a:solidFill>
                <a:srgbClr val="FFC222"/>
              </a:solidFill>
              <a:ln w="3175" cmpd="sng">
                <a:noFill/>
                <a:prstDash val="solid"/>
              </a:ln>
            </c:spPr>
            <c:extLst>
              <c:ext xmlns:c16="http://schemas.microsoft.com/office/drawing/2014/chart" uri="{C3380CC4-5D6E-409C-BE32-E72D297353CC}">
                <c16:uniqueId val="{000001FC-EF1D-4833-8337-C9FF4F024954}"/>
              </c:ext>
            </c:extLst>
          </c:dPt>
          <c:dPt>
            <c:idx val="3"/>
            <c:invertIfNegative val="0"/>
            <c:bubble3D val="0"/>
            <c:spPr>
              <a:solidFill>
                <a:srgbClr val="FFC222"/>
              </a:solidFill>
              <a:ln w="3175" cmpd="sng">
                <a:noFill/>
                <a:prstDash val="solid"/>
              </a:ln>
            </c:spPr>
            <c:extLst>
              <c:ext xmlns:c16="http://schemas.microsoft.com/office/drawing/2014/chart" uri="{C3380CC4-5D6E-409C-BE32-E72D297353CC}">
                <c16:uniqueId val="{000001FE-EF1D-4833-8337-C9FF4F024954}"/>
              </c:ext>
            </c:extLst>
          </c:dPt>
          <c:dPt>
            <c:idx val="4"/>
            <c:invertIfNegative val="0"/>
            <c:bubble3D val="0"/>
            <c:spPr>
              <a:solidFill>
                <a:srgbClr val="FFC222"/>
              </a:solidFill>
              <a:ln w="3175" cmpd="sng">
                <a:noFill/>
                <a:prstDash val="solid"/>
              </a:ln>
            </c:spPr>
            <c:extLst>
              <c:ext xmlns:c16="http://schemas.microsoft.com/office/drawing/2014/chart" uri="{C3380CC4-5D6E-409C-BE32-E72D297353CC}">
                <c16:uniqueId val="{00000200-EF1D-4833-8337-C9FF4F024954}"/>
              </c:ext>
            </c:extLst>
          </c:dPt>
          <c:dPt>
            <c:idx val="5"/>
            <c:invertIfNegative val="0"/>
            <c:bubble3D val="0"/>
            <c:spPr>
              <a:solidFill>
                <a:srgbClr val="FFC222"/>
              </a:solidFill>
              <a:ln w="3175" cmpd="sng">
                <a:noFill/>
                <a:prstDash val="solid"/>
              </a:ln>
            </c:spPr>
            <c:extLst>
              <c:ext xmlns:c16="http://schemas.microsoft.com/office/drawing/2014/chart" uri="{C3380CC4-5D6E-409C-BE32-E72D297353CC}">
                <c16:uniqueId val="{00000202-EF1D-4833-8337-C9FF4F024954}"/>
              </c:ext>
            </c:extLst>
          </c:dPt>
          <c:dPt>
            <c:idx val="6"/>
            <c:invertIfNegative val="0"/>
            <c:bubble3D val="0"/>
            <c:spPr>
              <a:solidFill>
                <a:srgbClr val="FFC222"/>
              </a:solidFill>
              <a:ln w="3175" cmpd="sng">
                <a:noFill/>
                <a:prstDash val="solid"/>
              </a:ln>
            </c:spPr>
            <c:extLst>
              <c:ext xmlns:c16="http://schemas.microsoft.com/office/drawing/2014/chart" uri="{C3380CC4-5D6E-409C-BE32-E72D297353CC}">
                <c16:uniqueId val="{00000204-EF1D-4833-8337-C9FF4F024954}"/>
              </c:ext>
            </c:extLst>
          </c:dPt>
          <c:dPt>
            <c:idx val="7"/>
            <c:invertIfNegative val="0"/>
            <c:bubble3D val="0"/>
            <c:spPr>
              <a:solidFill>
                <a:srgbClr val="FFC222"/>
              </a:solidFill>
              <a:ln w="3175" cmpd="sng">
                <a:noFill/>
                <a:prstDash val="solid"/>
              </a:ln>
            </c:spPr>
            <c:extLst>
              <c:ext xmlns:c16="http://schemas.microsoft.com/office/drawing/2014/chart" uri="{C3380CC4-5D6E-409C-BE32-E72D297353CC}">
                <c16:uniqueId val="{00000206-EF1D-4833-8337-C9FF4F024954}"/>
              </c:ext>
            </c:extLst>
          </c:dPt>
          <c:dPt>
            <c:idx val="8"/>
            <c:invertIfNegative val="0"/>
            <c:bubble3D val="0"/>
            <c:spPr>
              <a:solidFill>
                <a:srgbClr val="FFC222"/>
              </a:solidFill>
              <a:ln w="3175" cmpd="sng">
                <a:noFill/>
                <a:prstDash val="solid"/>
              </a:ln>
            </c:spPr>
            <c:extLst>
              <c:ext xmlns:c16="http://schemas.microsoft.com/office/drawing/2014/chart" uri="{C3380CC4-5D6E-409C-BE32-E72D297353CC}">
                <c16:uniqueId val="{00000208-EF1D-4833-8337-C9FF4F024954}"/>
              </c:ext>
            </c:extLst>
          </c:dPt>
          <c:dPt>
            <c:idx val="9"/>
            <c:invertIfNegative val="0"/>
            <c:bubble3D val="0"/>
            <c:spPr>
              <a:solidFill>
                <a:srgbClr val="FFC222"/>
              </a:solidFill>
              <a:ln w="3175" cmpd="sng">
                <a:noFill/>
                <a:prstDash val="solid"/>
              </a:ln>
            </c:spPr>
            <c:extLst>
              <c:ext xmlns:c16="http://schemas.microsoft.com/office/drawing/2014/chart" uri="{C3380CC4-5D6E-409C-BE32-E72D297353CC}">
                <c16:uniqueId val="{0000020A-EF1D-4833-8337-C9FF4F024954}"/>
              </c:ext>
            </c:extLst>
          </c:dPt>
          <c:dPt>
            <c:idx val="10"/>
            <c:invertIfNegative val="0"/>
            <c:bubble3D val="0"/>
            <c:spPr>
              <a:solidFill>
                <a:srgbClr val="FFC222"/>
              </a:solidFill>
              <a:ln w="3175" cmpd="sng">
                <a:noFill/>
                <a:prstDash val="solid"/>
              </a:ln>
            </c:spPr>
            <c:extLst>
              <c:ext xmlns:c16="http://schemas.microsoft.com/office/drawing/2014/chart" uri="{C3380CC4-5D6E-409C-BE32-E72D297353CC}">
                <c16:uniqueId val="{0000020C-EF1D-4833-8337-C9FF4F024954}"/>
              </c:ext>
            </c:extLst>
          </c:dPt>
          <c:dPt>
            <c:idx val="11"/>
            <c:invertIfNegative val="0"/>
            <c:bubble3D val="0"/>
            <c:spPr>
              <a:solidFill>
                <a:srgbClr val="FFC222"/>
              </a:solidFill>
              <a:ln w="3175" cmpd="sng">
                <a:noFill/>
                <a:prstDash val="solid"/>
              </a:ln>
            </c:spPr>
            <c:extLst>
              <c:ext xmlns:c16="http://schemas.microsoft.com/office/drawing/2014/chart" uri="{C3380CC4-5D6E-409C-BE32-E72D297353CC}">
                <c16:uniqueId val="{0000020E-EF1D-4833-8337-C9FF4F024954}"/>
              </c:ext>
            </c:extLst>
          </c:dPt>
          <c:dPt>
            <c:idx val="12"/>
            <c:invertIfNegative val="0"/>
            <c:bubble3D val="0"/>
            <c:spPr>
              <a:solidFill>
                <a:srgbClr val="FFC222"/>
              </a:solidFill>
              <a:ln w="3175" cmpd="sng">
                <a:noFill/>
                <a:prstDash val="solid"/>
              </a:ln>
            </c:spPr>
            <c:extLst>
              <c:ext xmlns:c16="http://schemas.microsoft.com/office/drawing/2014/chart" uri="{C3380CC4-5D6E-409C-BE32-E72D297353CC}">
                <c16:uniqueId val="{00000210-EF1D-4833-8337-C9FF4F024954}"/>
              </c:ext>
            </c:extLst>
          </c:dPt>
          <c:dPt>
            <c:idx val="13"/>
            <c:invertIfNegative val="0"/>
            <c:bubble3D val="0"/>
            <c:spPr>
              <a:solidFill>
                <a:srgbClr val="FFC222"/>
              </a:solidFill>
              <a:ln w="3175" cmpd="sng">
                <a:noFill/>
                <a:prstDash val="solid"/>
              </a:ln>
            </c:spPr>
            <c:extLst>
              <c:ext xmlns:c16="http://schemas.microsoft.com/office/drawing/2014/chart" uri="{C3380CC4-5D6E-409C-BE32-E72D297353CC}">
                <c16:uniqueId val="{00000212-EF1D-4833-8337-C9FF4F024954}"/>
              </c:ext>
            </c:extLst>
          </c:dPt>
          <c:dPt>
            <c:idx val="14"/>
            <c:invertIfNegative val="0"/>
            <c:bubble3D val="0"/>
            <c:spPr>
              <a:solidFill>
                <a:srgbClr val="FFC222"/>
              </a:solidFill>
              <a:ln w="3175" cmpd="sng">
                <a:noFill/>
                <a:prstDash val="solid"/>
              </a:ln>
            </c:spPr>
            <c:extLst>
              <c:ext xmlns:c16="http://schemas.microsoft.com/office/drawing/2014/chart" uri="{C3380CC4-5D6E-409C-BE32-E72D297353CC}">
                <c16:uniqueId val="{00000214-EF1D-4833-8337-C9FF4F024954}"/>
              </c:ext>
            </c:extLst>
          </c:dPt>
          <c:dPt>
            <c:idx val="15"/>
            <c:invertIfNegative val="0"/>
            <c:bubble3D val="0"/>
            <c:spPr>
              <a:solidFill>
                <a:srgbClr val="FFC222"/>
              </a:solidFill>
              <a:ln w="3175" cmpd="sng">
                <a:noFill/>
                <a:prstDash val="solid"/>
              </a:ln>
            </c:spPr>
            <c:extLst>
              <c:ext xmlns:c16="http://schemas.microsoft.com/office/drawing/2014/chart" uri="{C3380CC4-5D6E-409C-BE32-E72D297353CC}">
                <c16:uniqueId val="{00000216-EF1D-4833-8337-C9FF4F024954}"/>
              </c:ext>
            </c:extLst>
          </c:dPt>
          <c:dPt>
            <c:idx val="16"/>
            <c:invertIfNegative val="0"/>
            <c:bubble3D val="0"/>
            <c:spPr>
              <a:solidFill>
                <a:srgbClr val="FFC222"/>
              </a:solidFill>
              <a:ln w="3175" cmpd="sng">
                <a:noFill/>
                <a:prstDash val="solid"/>
              </a:ln>
            </c:spPr>
            <c:extLst>
              <c:ext xmlns:c16="http://schemas.microsoft.com/office/drawing/2014/chart" uri="{C3380CC4-5D6E-409C-BE32-E72D297353CC}">
                <c16:uniqueId val="{00000218-EF1D-4833-8337-C9FF4F024954}"/>
              </c:ext>
            </c:extLst>
          </c:dPt>
          <c:dPt>
            <c:idx val="17"/>
            <c:invertIfNegative val="0"/>
            <c:bubble3D val="0"/>
            <c:spPr>
              <a:solidFill>
                <a:srgbClr val="FFC222"/>
              </a:solidFill>
              <a:ln w="3175" cmpd="sng">
                <a:noFill/>
                <a:prstDash val="solid"/>
              </a:ln>
            </c:spPr>
            <c:extLst>
              <c:ext xmlns:c16="http://schemas.microsoft.com/office/drawing/2014/chart" uri="{C3380CC4-5D6E-409C-BE32-E72D297353CC}">
                <c16:uniqueId val="{0000021A-EF1D-4833-8337-C9FF4F024954}"/>
              </c:ext>
            </c:extLst>
          </c:dPt>
          <c:dPt>
            <c:idx val="18"/>
            <c:invertIfNegative val="0"/>
            <c:bubble3D val="0"/>
            <c:spPr>
              <a:solidFill>
                <a:srgbClr val="FFC222"/>
              </a:solidFill>
              <a:ln w="3175" cmpd="sng">
                <a:noFill/>
                <a:prstDash val="solid"/>
              </a:ln>
            </c:spPr>
            <c:extLst>
              <c:ext xmlns:c16="http://schemas.microsoft.com/office/drawing/2014/chart" uri="{C3380CC4-5D6E-409C-BE32-E72D297353CC}">
                <c16:uniqueId val="{0000021C-EF1D-4833-8337-C9FF4F024954}"/>
              </c:ext>
            </c:extLst>
          </c:dPt>
          <c:dPt>
            <c:idx val="19"/>
            <c:invertIfNegative val="0"/>
            <c:bubble3D val="0"/>
            <c:spPr>
              <a:solidFill>
                <a:srgbClr val="FFC222"/>
              </a:solidFill>
              <a:ln w="3175" cmpd="sng">
                <a:noFill/>
                <a:prstDash val="solid"/>
              </a:ln>
            </c:spPr>
            <c:extLst>
              <c:ext xmlns:c16="http://schemas.microsoft.com/office/drawing/2014/chart" uri="{C3380CC4-5D6E-409C-BE32-E72D297353CC}">
                <c16:uniqueId val="{0000021E-EF1D-4833-8337-C9FF4F024954}"/>
              </c:ext>
            </c:extLst>
          </c:dPt>
          <c:dPt>
            <c:idx val="20"/>
            <c:invertIfNegative val="0"/>
            <c:bubble3D val="0"/>
            <c:spPr>
              <a:solidFill>
                <a:srgbClr val="FFC222"/>
              </a:solidFill>
              <a:ln w="3175" cmpd="sng">
                <a:noFill/>
                <a:prstDash val="solid"/>
              </a:ln>
            </c:spPr>
            <c:extLst>
              <c:ext xmlns:c16="http://schemas.microsoft.com/office/drawing/2014/chart" uri="{C3380CC4-5D6E-409C-BE32-E72D297353CC}">
                <c16:uniqueId val="{00000220-EF1D-4833-8337-C9FF4F024954}"/>
              </c:ext>
            </c:extLst>
          </c:dPt>
          <c:dPt>
            <c:idx val="21"/>
            <c:invertIfNegative val="0"/>
            <c:bubble3D val="0"/>
            <c:spPr>
              <a:solidFill>
                <a:srgbClr val="FFC222"/>
              </a:solidFill>
              <a:ln w="3175" cmpd="sng">
                <a:noFill/>
                <a:prstDash val="solid"/>
              </a:ln>
            </c:spPr>
            <c:extLst>
              <c:ext xmlns:c16="http://schemas.microsoft.com/office/drawing/2014/chart" uri="{C3380CC4-5D6E-409C-BE32-E72D297353CC}">
                <c16:uniqueId val="{00000222-EF1D-4833-8337-C9FF4F024954}"/>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Data'!$B$9:$W$9</c:f>
              <c:numCache>
                <c:formatCode>#,##0_ ;\-#,##0\ </c:formatCode>
                <c:ptCount val="22"/>
                <c:pt idx="0">
                  <c:v>0</c:v>
                </c:pt>
                <c:pt idx="1">
                  <c:v>625.06065449000016</c:v>
                </c:pt>
                <c:pt idx="2">
                  <c:v>625.06065449000016</c:v>
                </c:pt>
                <c:pt idx="3">
                  <c:v>685.92248241000016</c:v>
                </c:pt>
                <c:pt idx="4">
                  <c:v>1531.58250641</c:v>
                </c:pt>
                <c:pt idx="5">
                  <c:v>2115.5825064100004</c:v>
                </c:pt>
                <c:pt idx="6">
                  <c:v>2743.1903160300003</c:v>
                </c:pt>
                <c:pt idx="7">
                  <c:v>3782.1609541699995</c:v>
                </c:pt>
                <c:pt idx="8">
                  <c:v>4519.0551526999989</c:v>
                </c:pt>
                <c:pt idx="9">
                  <c:v>5193.3703489099989</c:v>
                </c:pt>
                <c:pt idx="10">
                  <c:v>5980.3791690900016</c:v>
                </c:pt>
                <c:pt idx="11">
                  <c:v>7546.9422559200011</c:v>
                </c:pt>
                <c:pt idx="12">
                  <c:v>7546.9422559200011</c:v>
                </c:pt>
                <c:pt idx="13">
                  <c:v>7850.4069833100002</c:v>
                </c:pt>
                <c:pt idx="14">
                  <c:v>10677.020985280002</c:v>
                </c:pt>
                <c:pt idx="15">
                  <c:v>11064.560501610002</c:v>
                </c:pt>
                <c:pt idx="16">
                  <c:v>14242.192502010001</c:v>
                </c:pt>
                <c:pt idx="17">
                  <c:v>19140.79429899</c:v>
                </c:pt>
                <c:pt idx="18">
                  <c:v>22363.001108729997</c:v>
                </c:pt>
                <c:pt idx="19">
                  <c:v>23263.705204709997</c:v>
                </c:pt>
                <c:pt idx="20">
                  <c:v>24476.341579089996</c:v>
                </c:pt>
                <c:pt idx="21">
                  <c:v>25125.869016969998</c:v>
                </c:pt>
              </c:numCache>
            </c:numRef>
          </c:val>
          <c:extLst>
            <c:ext xmlns:c16="http://schemas.microsoft.com/office/drawing/2014/chart" uri="{C3380CC4-5D6E-409C-BE32-E72D297353CC}">
              <c16:uniqueId val="{00000223-EF1D-4833-8337-C9FF4F024954}"/>
            </c:ext>
          </c:extLst>
        </c:ser>
        <c:ser>
          <c:idx val="9"/>
          <c:order val="8"/>
          <c:tx>
            <c:strRef>
              <c:f>'NewAndRetiredCapacity Data'!$A$10</c:f>
              <c:strCache>
                <c:ptCount val="1"/>
                <c:pt idx="0">
                  <c:v>Utility storage</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225-EF1D-4833-8337-C9FF4F024954}"/>
              </c:ext>
            </c:extLst>
          </c:dPt>
          <c:dPt>
            <c:idx val="1"/>
            <c:invertIfNegative val="0"/>
            <c:bubble3D val="0"/>
            <c:extLst>
              <c:ext xmlns:c16="http://schemas.microsoft.com/office/drawing/2014/chart" uri="{C3380CC4-5D6E-409C-BE32-E72D297353CC}">
                <c16:uniqueId val="{00000226-EF1D-4833-8337-C9FF4F024954}"/>
              </c:ext>
            </c:extLst>
          </c:dPt>
          <c:dPt>
            <c:idx val="2"/>
            <c:invertIfNegative val="0"/>
            <c:bubble3D val="0"/>
            <c:extLst>
              <c:ext xmlns:c16="http://schemas.microsoft.com/office/drawing/2014/chart" uri="{C3380CC4-5D6E-409C-BE32-E72D297353CC}">
                <c16:uniqueId val="{00000227-EF1D-4833-8337-C9FF4F024954}"/>
              </c:ext>
            </c:extLst>
          </c:dPt>
          <c:dPt>
            <c:idx val="3"/>
            <c:invertIfNegative val="0"/>
            <c:bubble3D val="0"/>
            <c:extLst>
              <c:ext xmlns:c16="http://schemas.microsoft.com/office/drawing/2014/chart" uri="{C3380CC4-5D6E-409C-BE32-E72D297353CC}">
                <c16:uniqueId val="{00000228-EF1D-4833-8337-C9FF4F024954}"/>
              </c:ext>
            </c:extLst>
          </c:dPt>
          <c:dPt>
            <c:idx val="4"/>
            <c:invertIfNegative val="0"/>
            <c:bubble3D val="0"/>
            <c:extLst>
              <c:ext xmlns:c16="http://schemas.microsoft.com/office/drawing/2014/chart" uri="{C3380CC4-5D6E-409C-BE32-E72D297353CC}">
                <c16:uniqueId val="{00000229-EF1D-4833-8337-C9FF4F024954}"/>
              </c:ext>
            </c:extLst>
          </c:dPt>
          <c:dPt>
            <c:idx val="5"/>
            <c:invertIfNegative val="0"/>
            <c:bubble3D val="0"/>
            <c:extLst>
              <c:ext xmlns:c16="http://schemas.microsoft.com/office/drawing/2014/chart" uri="{C3380CC4-5D6E-409C-BE32-E72D297353CC}">
                <c16:uniqueId val="{0000022A-EF1D-4833-8337-C9FF4F024954}"/>
              </c:ext>
            </c:extLst>
          </c:dPt>
          <c:dPt>
            <c:idx val="6"/>
            <c:invertIfNegative val="0"/>
            <c:bubble3D val="0"/>
            <c:extLst>
              <c:ext xmlns:c16="http://schemas.microsoft.com/office/drawing/2014/chart" uri="{C3380CC4-5D6E-409C-BE32-E72D297353CC}">
                <c16:uniqueId val="{0000022B-EF1D-4833-8337-C9FF4F024954}"/>
              </c:ext>
            </c:extLst>
          </c:dPt>
          <c:dPt>
            <c:idx val="7"/>
            <c:invertIfNegative val="0"/>
            <c:bubble3D val="0"/>
            <c:extLst>
              <c:ext xmlns:c16="http://schemas.microsoft.com/office/drawing/2014/chart" uri="{C3380CC4-5D6E-409C-BE32-E72D297353CC}">
                <c16:uniqueId val="{0000022C-EF1D-4833-8337-C9FF4F024954}"/>
              </c:ext>
            </c:extLst>
          </c:dPt>
          <c:dPt>
            <c:idx val="8"/>
            <c:invertIfNegative val="0"/>
            <c:bubble3D val="0"/>
            <c:extLst>
              <c:ext xmlns:c16="http://schemas.microsoft.com/office/drawing/2014/chart" uri="{C3380CC4-5D6E-409C-BE32-E72D297353CC}">
                <c16:uniqueId val="{0000022D-EF1D-4833-8337-C9FF4F024954}"/>
              </c:ext>
            </c:extLst>
          </c:dPt>
          <c:dPt>
            <c:idx val="9"/>
            <c:invertIfNegative val="0"/>
            <c:bubble3D val="0"/>
            <c:extLst>
              <c:ext xmlns:c16="http://schemas.microsoft.com/office/drawing/2014/chart" uri="{C3380CC4-5D6E-409C-BE32-E72D297353CC}">
                <c16:uniqueId val="{0000022E-EF1D-4833-8337-C9FF4F024954}"/>
              </c:ext>
            </c:extLst>
          </c:dPt>
          <c:dPt>
            <c:idx val="10"/>
            <c:invertIfNegative val="0"/>
            <c:bubble3D val="0"/>
            <c:extLst>
              <c:ext xmlns:c16="http://schemas.microsoft.com/office/drawing/2014/chart" uri="{C3380CC4-5D6E-409C-BE32-E72D297353CC}">
                <c16:uniqueId val="{0000022F-EF1D-4833-8337-C9FF4F024954}"/>
              </c:ext>
            </c:extLst>
          </c:dPt>
          <c:dPt>
            <c:idx val="11"/>
            <c:invertIfNegative val="0"/>
            <c:bubble3D val="0"/>
            <c:extLst>
              <c:ext xmlns:c16="http://schemas.microsoft.com/office/drawing/2014/chart" uri="{C3380CC4-5D6E-409C-BE32-E72D297353CC}">
                <c16:uniqueId val="{00000230-EF1D-4833-8337-C9FF4F024954}"/>
              </c:ext>
            </c:extLst>
          </c:dPt>
          <c:dPt>
            <c:idx val="12"/>
            <c:invertIfNegative val="0"/>
            <c:bubble3D val="0"/>
            <c:extLst>
              <c:ext xmlns:c16="http://schemas.microsoft.com/office/drawing/2014/chart" uri="{C3380CC4-5D6E-409C-BE32-E72D297353CC}">
                <c16:uniqueId val="{00000231-EF1D-4833-8337-C9FF4F024954}"/>
              </c:ext>
            </c:extLst>
          </c:dPt>
          <c:dPt>
            <c:idx val="13"/>
            <c:invertIfNegative val="0"/>
            <c:bubble3D val="0"/>
            <c:extLst>
              <c:ext xmlns:c16="http://schemas.microsoft.com/office/drawing/2014/chart" uri="{C3380CC4-5D6E-409C-BE32-E72D297353CC}">
                <c16:uniqueId val="{00000232-EF1D-4833-8337-C9FF4F024954}"/>
              </c:ext>
            </c:extLst>
          </c:dPt>
          <c:dPt>
            <c:idx val="14"/>
            <c:invertIfNegative val="0"/>
            <c:bubble3D val="0"/>
            <c:extLst>
              <c:ext xmlns:c16="http://schemas.microsoft.com/office/drawing/2014/chart" uri="{C3380CC4-5D6E-409C-BE32-E72D297353CC}">
                <c16:uniqueId val="{00000233-EF1D-4833-8337-C9FF4F024954}"/>
              </c:ext>
            </c:extLst>
          </c:dPt>
          <c:dPt>
            <c:idx val="15"/>
            <c:invertIfNegative val="0"/>
            <c:bubble3D val="0"/>
            <c:extLst>
              <c:ext xmlns:c16="http://schemas.microsoft.com/office/drawing/2014/chart" uri="{C3380CC4-5D6E-409C-BE32-E72D297353CC}">
                <c16:uniqueId val="{00000234-EF1D-4833-8337-C9FF4F024954}"/>
              </c:ext>
            </c:extLst>
          </c:dPt>
          <c:dPt>
            <c:idx val="16"/>
            <c:invertIfNegative val="0"/>
            <c:bubble3D val="0"/>
            <c:extLst>
              <c:ext xmlns:c16="http://schemas.microsoft.com/office/drawing/2014/chart" uri="{C3380CC4-5D6E-409C-BE32-E72D297353CC}">
                <c16:uniqueId val="{00000235-EF1D-4833-8337-C9FF4F024954}"/>
              </c:ext>
            </c:extLst>
          </c:dPt>
          <c:dPt>
            <c:idx val="17"/>
            <c:invertIfNegative val="0"/>
            <c:bubble3D val="0"/>
            <c:extLst>
              <c:ext xmlns:c16="http://schemas.microsoft.com/office/drawing/2014/chart" uri="{C3380CC4-5D6E-409C-BE32-E72D297353CC}">
                <c16:uniqueId val="{00000236-EF1D-4833-8337-C9FF4F024954}"/>
              </c:ext>
            </c:extLst>
          </c:dPt>
          <c:dPt>
            <c:idx val="18"/>
            <c:invertIfNegative val="0"/>
            <c:bubble3D val="0"/>
            <c:extLst>
              <c:ext xmlns:c16="http://schemas.microsoft.com/office/drawing/2014/chart" uri="{C3380CC4-5D6E-409C-BE32-E72D297353CC}">
                <c16:uniqueId val="{00000237-EF1D-4833-8337-C9FF4F024954}"/>
              </c:ext>
            </c:extLst>
          </c:dPt>
          <c:dPt>
            <c:idx val="19"/>
            <c:invertIfNegative val="0"/>
            <c:bubble3D val="0"/>
            <c:extLst>
              <c:ext xmlns:c16="http://schemas.microsoft.com/office/drawing/2014/chart" uri="{C3380CC4-5D6E-409C-BE32-E72D297353CC}">
                <c16:uniqueId val="{00000238-EF1D-4833-8337-C9FF4F024954}"/>
              </c:ext>
            </c:extLst>
          </c:dPt>
          <c:dPt>
            <c:idx val="20"/>
            <c:invertIfNegative val="0"/>
            <c:bubble3D val="0"/>
            <c:extLst>
              <c:ext xmlns:c16="http://schemas.microsoft.com/office/drawing/2014/chart" uri="{C3380CC4-5D6E-409C-BE32-E72D297353CC}">
                <c16:uniqueId val="{00000239-EF1D-4833-8337-C9FF4F024954}"/>
              </c:ext>
            </c:extLst>
          </c:dPt>
          <c:dPt>
            <c:idx val="21"/>
            <c:invertIfNegative val="0"/>
            <c:bubble3D val="0"/>
            <c:extLst>
              <c:ext xmlns:c16="http://schemas.microsoft.com/office/drawing/2014/chart" uri="{C3380CC4-5D6E-409C-BE32-E72D297353CC}">
                <c16:uniqueId val="{0000023A-EF1D-4833-8337-C9FF4F024954}"/>
              </c:ext>
            </c:extLst>
          </c:dPt>
          <c:dPt>
            <c:idx val="22"/>
            <c:invertIfNegative val="0"/>
            <c:bubble3D val="0"/>
            <c:extLst>
              <c:ext xmlns:c16="http://schemas.microsoft.com/office/drawing/2014/chart" uri="{C3380CC4-5D6E-409C-BE32-E72D297353CC}">
                <c16:uniqueId val="{0000023B-EF1D-4833-8337-C9FF4F024954}"/>
              </c:ext>
            </c:extLst>
          </c:dPt>
          <c:dPt>
            <c:idx val="23"/>
            <c:invertIfNegative val="0"/>
            <c:bubble3D val="0"/>
            <c:extLst>
              <c:ext xmlns:c16="http://schemas.microsoft.com/office/drawing/2014/chart" uri="{C3380CC4-5D6E-409C-BE32-E72D297353CC}">
                <c16:uniqueId val="{0000023C-EF1D-4833-8337-C9FF4F024954}"/>
              </c:ext>
            </c:extLst>
          </c:dPt>
          <c:dPt>
            <c:idx val="24"/>
            <c:invertIfNegative val="0"/>
            <c:bubble3D val="0"/>
            <c:extLst>
              <c:ext xmlns:c16="http://schemas.microsoft.com/office/drawing/2014/chart" uri="{C3380CC4-5D6E-409C-BE32-E72D297353CC}">
                <c16:uniqueId val="{0000023D-EF1D-4833-8337-C9FF4F024954}"/>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Data'!$B$10:$W$10</c:f>
              <c:numCache>
                <c:formatCode>#,##0_ ;\-#,##0\ </c:formatCode>
                <c:ptCount val="22"/>
                <c:pt idx="0">
                  <c:v>0</c:v>
                </c:pt>
                <c:pt idx="1">
                  <c:v>20</c:v>
                </c:pt>
                <c:pt idx="2">
                  <c:v>120</c:v>
                </c:pt>
                <c:pt idx="3">
                  <c:v>120</c:v>
                </c:pt>
                <c:pt idx="4">
                  <c:v>120</c:v>
                </c:pt>
                <c:pt idx="5">
                  <c:v>120</c:v>
                </c:pt>
                <c:pt idx="6">
                  <c:v>2240.4189089999995</c:v>
                </c:pt>
                <c:pt idx="7">
                  <c:v>2240.4189089999995</c:v>
                </c:pt>
                <c:pt idx="8">
                  <c:v>2354.3872650000008</c:v>
                </c:pt>
                <c:pt idx="9">
                  <c:v>2354.3872650000008</c:v>
                </c:pt>
                <c:pt idx="10">
                  <c:v>2354.3872650000008</c:v>
                </c:pt>
                <c:pt idx="11">
                  <c:v>2685.1484720000003</c:v>
                </c:pt>
                <c:pt idx="12">
                  <c:v>2685.1484720000003</c:v>
                </c:pt>
                <c:pt idx="13">
                  <c:v>2793.5365839999999</c:v>
                </c:pt>
                <c:pt idx="14">
                  <c:v>4293.5365839999995</c:v>
                </c:pt>
                <c:pt idx="15">
                  <c:v>4368.8012340000005</c:v>
                </c:pt>
                <c:pt idx="16">
                  <c:v>6312.1128090000002</c:v>
                </c:pt>
                <c:pt idx="17">
                  <c:v>9303.6181759999999</c:v>
                </c:pt>
                <c:pt idx="18">
                  <c:v>11565.149755999999</c:v>
                </c:pt>
                <c:pt idx="19">
                  <c:v>12383.656756999999</c:v>
                </c:pt>
                <c:pt idx="20">
                  <c:v>13618.263470999998</c:v>
                </c:pt>
                <c:pt idx="21">
                  <c:v>14121.443566999997</c:v>
                </c:pt>
              </c:numCache>
            </c:numRef>
          </c:val>
          <c:extLst>
            <c:ext xmlns:c16="http://schemas.microsoft.com/office/drawing/2014/chart" uri="{C3380CC4-5D6E-409C-BE32-E72D297353CC}">
              <c16:uniqueId val="{0000023E-EF1D-4833-8337-C9FF4F024954}"/>
            </c:ext>
          </c:extLst>
        </c:ser>
        <c:ser>
          <c:idx val="6"/>
          <c:order val="9"/>
          <c:tx>
            <c:strRef>
              <c:f>'NewAndRetiredCapacity Data'!$A$12</c:f>
              <c:strCache>
                <c:ptCount val="1"/>
                <c:pt idx="0">
                  <c:v>Distributed storage</c:v>
                </c:pt>
              </c:strCache>
            </c:strRef>
          </c:tx>
          <c:spPr>
            <a:solidFill>
              <a:srgbClr val="92D050"/>
            </a:solidFill>
            <a:ln>
              <a:noFill/>
            </a:ln>
            <a:effectLst/>
          </c:spPr>
          <c:invertIfNegative val="0"/>
          <c:dPt>
            <c:idx val="0"/>
            <c:invertIfNegative val="0"/>
            <c:bubble3D val="0"/>
            <c:extLst>
              <c:ext xmlns:c16="http://schemas.microsoft.com/office/drawing/2014/chart" uri="{C3380CC4-5D6E-409C-BE32-E72D297353CC}">
                <c16:uniqueId val="{00000240-EF1D-4833-8337-C9FF4F024954}"/>
              </c:ext>
            </c:extLst>
          </c:dPt>
          <c:dPt>
            <c:idx val="1"/>
            <c:invertIfNegative val="0"/>
            <c:bubble3D val="0"/>
            <c:extLst>
              <c:ext xmlns:c16="http://schemas.microsoft.com/office/drawing/2014/chart" uri="{C3380CC4-5D6E-409C-BE32-E72D297353CC}">
                <c16:uniqueId val="{00000241-EF1D-4833-8337-C9FF4F024954}"/>
              </c:ext>
            </c:extLst>
          </c:dPt>
          <c:dPt>
            <c:idx val="2"/>
            <c:invertIfNegative val="0"/>
            <c:bubble3D val="0"/>
            <c:extLst>
              <c:ext xmlns:c16="http://schemas.microsoft.com/office/drawing/2014/chart" uri="{C3380CC4-5D6E-409C-BE32-E72D297353CC}">
                <c16:uniqueId val="{00000242-EF1D-4833-8337-C9FF4F024954}"/>
              </c:ext>
            </c:extLst>
          </c:dPt>
          <c:dPt>
            <c:idx val="3"/>
            <c:invertIfNegative val="0"/>
            <c:bubble3D val="0"/>
            <c:extLst>
              <c:ext xmlns:c16="http://schemas.microsoft.com/office/drawing/2014/chart" uri="{C3380CC4-5D6E-409C-BE32-E72D297353CC}">
                <c16:uniqueId val="{00000243-EF1D-4833-8337-C9FF4F024954}"/>
              </c:ext>
            </c:extLst>
          </c:dPt>
          <c:dPt>
            <c:idx val="4"/>
            <c:invertIfNegative val="0"/>
            <c:bubble3D val="0"/>
            <c:extLst>
              <c:ext xmlns:c16="http://schemas.microsoft.com/office/drawing/2014/chart" uri="{C3380CC4-5D6E-409C-BE32-E72D297353CC}">
                <c16:uniqueId val="{00000244-EF1D-4833-8337-C9FF4F024954}"/>
              </c:ext>
            </c:extLst>
          </c:dPt>
          <c:dPt>
            <c:idx val="5"/>
            <c:invertIfNegative val="0"/>
            <c:bubble3D val="0"/>
            <c:extLst>
              <c:ext xmlns:c16="http://schemas.microsoft.com/office/drawing/2014/chart" uri="{C3380CC4-5D6E-409C-BE32-E72D297353CC}">
                <c16:uniqueId val="{00000245-EF1D-4833-8337-C9FF4F024954}"/>
              </c:ext>
            </c:extLst>
          </c:dPt>
          <c:dPt>
            <c:idx val="6"/>
            <c:invertIfNegative val="0"/>
            <c:bubble3D val="0"/>
            <c:extLst>
              <c:ext xmlns:c16="http://schemas.microsoft.com/office/drawing/2014/chart" uri="{C3380CC4-5D6E-409C-BE32-E72D297353CC}">
                <c16:uniqueId val="{00000246-EF1D-4833-8337-C9FF4F024954}"/>
              </c:ext>
            </c:extLst>
          </c:dPt>
          <c:dPt>
            <c:idx val="7"/>
            <c:invertIfNegative val="0"/>
            <c:bubble3D val="0"/>
            <c:extLst>
              <c:ext xmlns:c16="http://schemas.microsoft.com/office/drawing/2014/chart" uri="{C3380CC4-5D6E-409C-BE32-E72D297353CC}">
                <c16:uniqueId val="{00000247-EF1D-4833-8337-C9FF4F024954}"/>
              </c:ext>
            </c:extLst>
          </c:dPt>
          <c:dPt>
            <c:idx val="8"/>
            <c:invertIfNegative val="0"/>
            <c:bubble3D val="0"/>
            <c:extLst>
              <c:ext xmlns:c16="http://schemas.microsoft.com/office/drawing/2014/chart" uri="{C3380CC4-5D6E-409C-BE32-E72D297353CC}">
                <c16:uniqueId val="{00000248-EF1D-4833-8337-C9FF4F024954}"/>
              </c:ext>
            </c:extLst>
          </c:dPt>
          <c:dPt>
            <c:idx val="9"/>
            <c:invertIfNegative val="0"/>
            <c:bubble3D val="0"/>
            <c:extLst>
              <c:ext xmlns:c16="http://schemas.microsoft.com/office/drawing/2014/chart" uri="{C3380CC4-5D6E-409C-BE32-E72D297353CC}">
                <c16:uniqueId val="{00000249-EF1D-4833-8337-C9FF4F024954}"/>
              </c:ext>
            </c:extLst>
          </c:dPt>
          <c:dPt>
            <c:idx val="10"/>
            <c:invertIfNegative val="0"/>
            <c:bubble3D val="0"/>
            <c:extLst>
              <c:ext xmlns:c16="http://schemas.microsoft.com/office/drawing/2014/chart" uri="{C3380CC4-5D6E-409C-BE32-E72D297353CC}">
                <c16:uniqueId val="{0000024A-EF1D-4833-8337-C9FF4F024954}"/>
              </c:ext>
            </c:extLst>
          </c:dPt>
          <c:dPt>
            <c:idx val="11"/>
            <c:invertIfNegative val="0"/>
            <c:bubble3D val="0"/>
            <c:extLst>
              <c:ext xmlns:c16="http://schemas.microsoft.com/office/drawing/2014/chart" uri="{C3380CC4-5D6E-409C-BE32-E72D297353CC}">
                <c16:uniqueId val="{0000024B-EF1D-4833-8337-C9FF4F024954}"/>
              </c:ext>
            </c:extLst>
          </c:dPt>
          <c:dPt>
            <c:idx val="12"/>
            <c:invertIfNegative val="0"/>
            <c:bubble3D val="0"/>
            <c:extLst>
              <c:ext xmlns:c16="http://schemas.microsoft.com/office/drawing/2014/chart" uri="{C3380CC4-5D6E-409C-BE32-E72D297353CC}">
                <c16:uniqueId val="{0000024C-EF1D-4833-8337-C9FF4F024954}"/>
              </c:ext>
            </c:extLst>
          </c:dPt>
          <c:dPt>
            <c:idx val="13"/>
            <c:invertIfNegative val="0"/>
            <c:bubble3D val="0"/>
            <c:extLst>
              <c:ext xmlns:c16="http://schemas.microsoft.com/office/drawing/2014/chart" uri="{C3380CC4-5D6E-409C-BE32-E72D297353CC}">
                <c16:uniqueId val="{0000024D-EF1D-4833-8337-C9FF4F024954}"/>
              </c:ext>
            </c:extLst>
          </c:dPt>
          <c:dPt>
            <c:idx val="14"/>
            <c:invertIfNegative val="0"/>
            <c:bubble3D val="0"/>
            <c:extLst>
              <c:ext xmlns:c16="http://schemas.microsoft.com/office/drawing/2014/chart" uri="{C3380CC4-5D6E-409C-BE32-E72D297353CC}">
                <c16:uniqueId val="{0000024E-EF1D-4833-8337-C9FF4F024954}"/>
              </c:ext>
            </c:extLst>
          </c:dPt>
          <c:dPt>
            <c:idx val="15"/>
            <c:invertIfNegative val="0"/>
            <c:bubble3D val="0"/>
            <c:extLst>
              <c:ext xmlns:c16="http://schemas.microsoft.com/office/drawing/2014/chart" uri="{C3380CC4-5D6E-409C-BE32-E72D297353CC}">
                <c16:uniqueId val="{0000024F-EF1D-4833-8337-C9FF4F024954}"/>
              </c:ext>
            </c:extLst>
          </c:dPt>
          <c:dPt>
            <c:idx val="16"/>
            <c:invertIfNegative val="0"/>
            <c:bubble3D val="0"/>
            <c:extLst>
              <c:ext xmlns:c16="http://schemas.microsoft.com/office/drawing/2014/chart" uri="{C3380CC4-5D6E-409C-BE32-E72D297353CC}">
                <c16:uniqueId val="{00000250-EF1D-4833-8337-C9FF4F024954}"/>
              </c:ext>
            </c:extLst>
          </c:dPt>
          <c:dPt>
            <c:idx val="17"/>
            <c:invertIfNegative val="0"/>
            <c:bubble3D val="0"/>
            <c:extLst>
              <c:ext xmlns:c16="http://schemas.microsoft.com/office/drawing/2014/chart" uri="{C3380CC4-5D6E-409C-BE32-E72D297353CC}">
                <c16:uniqueId val="{00000251-EF1D-4833-8337-C9FF4F024954}"/>
              </c:ext>
            </c:extLst>
          </c:dPt>
          <c:dPt>
            <c:idx val="18"/>
            <c:invertIfNegative val="0"/>
            <c:bubble3D val="0"/>
            <c:extLst>
              <c:ext xmlns:c16="http://schemas.microsoft.com/office/drawing/2014/chart" uri="{C3380CC4-5D6E-409C-BE32-E72D297353CC}">
                <c16:uniqueId val="{00000252-EF1D-4833-8337-C9FF4F024954}"/>
              </c:ext>
            </c:extLst>
          </c:dPt>
          <c:dPt>
            <c:idx val="19"/>
            <c:invertIfNegative val="0"/>
            <c:bubble3D val="0"/>
            <c:extLst>
              <c:ext xmlns:c16="http://schemas.microsoft.com/office/drawing/2014/chart" uri="{C3380CC4-5D6E-409C-BE32-E72D297353CC}">
                <c16:uniqueId val="{00000253-EF1D-4833-8337-C9FF4F024954}"/>
              </c:ext>
            </c:extLst>
          </c:dPt>
          <c:dPt>
            <c:idx val="20"/>
            <c:invertIfNegative val="0"/>
            <c:bubble3D val="0"/>
            <c:extLst>
              <c:ext xmlns:c16="http://schemas.microsoft.com/office/drawing/2014/chart" uri="{C3380CC4-5D6E-409C-BE32-E72D297353CC}">
                <c16:uniqueId val="{00000254-EF1D-4833-8337-C9FF4F024954}"/>
              </c:ext>
            </c:extLst>
          </c:dPt>
          <c:dPt>
            <c:idx val="21"/>
            <c:invertIfNegative val="0"/>
            <c:bubble3D val="0"/>
            <c:extLst>
              <c:ext xmlns:c16="http://schemas.microsoft.com/office/drawing/2014/chart" uri="{C3380CC4-5D6E-409C-BE32-E72D297353CC}">
                <c16:uniqueId val="{00000255-EF1D-4833-8337-C9FF4F024954}"/>
              </c:ext>
            </c:extLst>
          </c:dPt>
          <c:dPt>
            <c:idx val="22"/>
            <c:invertIfNegative val="0"/>
            <c:bubble3D val="0"/>
            <c:extLst>
              <c:ext xmlns:c16="http://schemas.microsoft.com/office/drawing/2014/chart" uri="{C3380CC4-5D6E-409C-BE32-E72D297353CC}">
                <c16:uniqueId val="{00000256-EF1D-4833-8337-C9FF4F024954}"/>
              </c:ext>
            </c:extLst>
          </c:dPt>
          <c:dPt>
            <c:idx val="23"/>
            <c:invertIfNegative val="0"/>
            <c:bubble3D val="0"/>
            <c:extLst>
              <c:ext xmlns:c16="http://schemas.microsoft.com/office/drawing/2014/chart" uri="{C3380CC4-5D6E-409C-BE32-E72D297353CC}">
                <c16:uniqueId val="{00000257-EF1D-4833-8337-C9FF4F024954}"/>
              </c:ext>
            </c:extLst>
          </c:dPt>
          <c:dPt>
            <c:idx val="24"/>
            <c:invertIfNegative val="0"/>
            <c:bubble3D val="0"/>
            <c:extLst>
              <c:ext xmlns:c16="http://schemas.microsoft.com/office/drawing/2014/chart" uri="{C3380CC4-5D6E-409C-BE32-E72D297353CC}">
                <c16:uniqueId val="{00000258-EF1D-4833-8337-C9FF4F024954}"/>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Data'!$B$12:$W$12</c:f>
              <c:numCache>
                <c:formatCode>#,##0_ ;\-#,##0\ </c:formatCode>
                <c:ptCount val="22"/>
                <c:pt idx="0">
                  <c:v>0</c:v>
                </c:pt>
                <c:pt idx="1">
                  <c:v>288.88</c:v>
                </c:pt>
                <c:pt idx="2">
                  <c:v>665.11</c:v>
                </c:pt>
                <c:pt idx="3">
                  <c:v>1011.3399999999999</c:v>
                </c:pt>
                <c:pt idx="4">
                  <c:v>1343.9</c:v>
                </c:pt>
                <c:pt idx="5">
                  <c:v>1663.06</c:v>
                </c:pt>
                <c:pt idx="6">
                  <c:v>1976.1000000000001</c:v>
                </c:pt>
                <c:pt idx="7">
                  <c:v>2275.6899999999996</c:v>
                </c:pt>
                <c:pt idx="8">
                  <c:v>2568.8599999999997</c:v>
                </c:pt>
                <c:pt idx="9">
                  <c:v>2854.41</c:v>
                </c:pt>
                <c:pt idx="10">
                  <c:v>3133.92</c:v>
                </c:pt>
                <c:pt idx="11">
                  <c:v>3411.12</c:v>
                </c:pt>
                <c:pt idx="12">
                  <c:v>3667.8199999999997</c:v>
                </c:pt>
                <c:pt idx="13">
                  <c:v>3900.08</c:v>
                </c:pt>
                <c:pt idx="14">
                  <c:v>4123.63</c:v>
                </c:pt>
                <c:pt idx="15">
                  <c:v>4339.12</c:v>
                </c:pt>
                <c:pt idx="16">
                  <c:v>4548.2699999999995</c:v>
                </c:pt>
                <c:pt idx="17">
                  <c:v>4753.29</c:v>
                </c:pt>
                <c:pt idx="18">
                  <c:v>4949.6899999999996</c:v>
                </c:pt>
                <c:pt idx="19">
                  <c:v>5139.84</c:v>
                </c:pt>
                <c:pt idx="20">
                  <c:v>5280.4</c:v>
                </c:pt>
                <c:pt idx="21">
                  <c:v>5461.92</c:v>
                </c:pt>
              </c:numCache>
            </c:numRef>
          </c:val>
          <c:extLst>
            <c:ext xmlns:c16="http://schemas.microsoft.com/office/drawing/2014/chart" uri="{C3380CC4-5D6E-409C-BE32-E72D297353CC}">
              <c16:uniqueId val="{00000259-EF1D-4833-8337-C9FF4F024954}"/>
            </c:ext>
          </c:extLst>
        </c:ser>
        <c:ser>
          <c:idx val="12"/>
          <c:order val="10"/>
          <c:tx>
            <c:strRef>
              <c:f>'NewAndRetiredCapacity Data'!$A$13</c:f>
              <c:strCache>
                <c:ptCount val="1"/>
                <c:pt idx="0">
                  <c:v>Rooftop PV</c:v>
                </c:pt>
              </c:strCache>
            </c:strRef>
          </c:tx>
          <c:spPr>
            <a:solidFill>
              <a:srgbClr val="FFE7A7"/>
            </a:solidFill>
            <a:ln>
              <a:noFill/>
            </a:ln>
          </c:spPr>
          <c:invertIfNegative val="0"/>
          <c:dPt>
            <c:idx val="0"/>
            <c:invertIfNegative val="0"/>
            <c:bubble3D val="0"/>
            <c:spPr>
              <a:solidFill>
                <a:srgbClr val="FFE7A7"/>
              </a:solidFill>
              <a:ln w="3175" cmpd="sng">
                <a:noFill/>
                <a:prstDash val="solid"/>
              </a:ln>
            </c:spPr>
            <c:extLst>
              <c:ext xmlns:c16="http://schemas.microsoft.com/office/drawing/2014/chart" uri="{C3380CC4-5D6E-409C-BE32-E72D297353CC}">
                <c16:uniqueId val="{0000025C-EF1D-4833-8337-C9FF4F024954}"/>
              </c:ext>
            </c:extLst>
          </c:dPt>
          <c:dPt>
            <c:idx val="1"/>
            <c:invertIfNegative val="0"/>
            <c:bubble3D val="0"/>
            <c:spPr>
              <a:solidFill>
                <a:srgbClr val="FFE7A7"/>
              </a:solidFill>
              <a:ln w="3175" cmpd="sng">
                <a:noFill/>
                <a:prstDash val="solid"/>
              </a:ln>
            </c:spPr>
            <c:extLst>
              <c:ext xmlns:c16="http://schemas.microsoft.com/office/drawing/2014/chart" uri="{C3380CC4-5D6E-409C-BE32-E72D297353CC}">
                <c16:uniqueId val="{0000025E-EF1D-4833-8337-C9FF4F024954}"/>
              </c:ext>
            </c:extLst>
          </c:dPt>
          <c:dPt>
            <c:idx val="2"/>
            <c:invertIfNegative val="0"/>
            <c:bubble3D val="0"/>
            <c:spPr>
              <a:solidFill>
                <a:srgbClr val="FFE7A7"/>
              </a:solidFill>
              <a:ln w="3175" cmpd="sng">
                <a:noFill/>
                <a:prstDash val="solid"/>
              </a:ln>
            </c:spPr>
            <c:extLst>
              <c:ext xmlns:c16="http://schemas.microsoft.com/office/drawing/2014/chart" uri="{C3380CC4-5D6E-409C-BE32-E72D297353CC}">
                <c16:uniqueId val="{00000260-EF1D-4833-8337-C9FF4F024954}"/>
              </c:ext>
            </c:extLst>
          </c:dPt>
          <c:dPt>
            <c:idx val="3"/>
            <c:invertIfNegative val="0"/>
            <c:bubble3D val="0"/>
            <c:spPr>
              <a:solidFill>
                <a:srgbClr val="FFE7A7"/>
              </a:solidFill>
              <a:ln w="3175" cmpd="sng">
                <a:noFill/>
                <a:prstDash val="solid"/>
              </a:ln>
            </c:spPr>
            <c:extLst>
              <c:ext xmlns:c16="http://schemas.microsoft.com/office/drawing/2014/chart" uri="{C3380CC4-5D6E-409C-BE32-E72D297353CC}">
                <c16:uniqueId val="{00000262-EF1D-4833-8337-C9FF4F024954}"/>
              </c:ext>
            </c:extLst>
          </c:dPt>
          <c:dPt>
            <c:idx val="4"/>
            <c:invertIfNegative val="0"/>
            <c:bubble3D val="0"/>
            <c:spPr>
              <a:solidFill>
                <a:srgbClr val="FFE7A7"/>
              </a:solidFill>
              <a:ln w="3175" cmpd="sng">
                <a:noFill/>
                <a:prstDash val="solid"/>
              </a:ln>
            </c:spPr>
            <c:extLst>
              <c:ext xmlns:c16="http://schemas.microsoft.com/office/drawing/2014/chart" uri="{C3380CC4-5D6E-409C-BE32-E72D297353CC}">
                <c16:uniqueId val="{00000264-EF1D-4833-8337-C9FF4F024954}"/>
              </c:ext>
            </c:extLst>
          </c:dPt>
          <c:dPt>
            <c:idx val="5"/>
            <c:invertIfNegative val="0"/>
            <c:bubble3D val="0"/>
            <c:spPr>
              <a:solidFill>
                <a:srgbClr val="FFE7A7"/>
              </a:solidFill>
              <a:ln w="3175" cmpd="sng">
                <a:noFill/>
                <a:prstDash val="solid"/>
              </a:ln>
            </c:spPr>
            <c:extLst>
              <c:ext xmlns:c16="http://schemas.microsoft.com/office/drawing/2014/chart" uri="{C3380CC4-5D6E-409C-BE32-E72D297353CC}">
                <c16:uniqueId val="{00000266-EF1D-4833-8337-C9FF4F024954}"/>
              </c:ext>
            </c:extLst>
          </c:dPt>
          <c:dPt>
            <c:idx val="6"/>
            <c:invertIfNegative val="0"/>
            <c:bubble3D val="0"/>
            <c:spPr>
              <a:solidFill>
                <a:srgbClr val="FFE7A7"/>
              </a:solidFill>
              <a:ln w="3175" cmpd="sng">
                <a:noFill/>
                <a:prstDash val="solid"/>
              </a:ln>
            </c:spPr>
            <c:extLst>
              <c:ext xmlns:c16="http://schemas.microsoft.com/office/drawing/2014/chart" uri="{C3380CC4-5D6E-409C-BE32-E72D297353CC}">
                <c16:uniqueId val="{00000268-EF1D-4833-8337-C9FF4F024954}"/>
              </c:ext>
            </c:extLst>
          </c:dPt>
          <c:dPt>
            <c:idx val="7"/>
            <c:invertIfNegative val="0"/>
            <c:bubble3D val="0"/>
            <c:spPr>
              <a:solidFill>
                <a:srgbClr val="FFE7A7"/>
              </a:solidFill>
              <a:ln w="3175" cmpd="sng">
                <a:noFill/>
                <a:prstDash val="solid"/>
              </a:ln>
            </c:spPr>
            <c:extLst>
              <c:ext xmlns:c16="http://schemas.microsoft.com/office/drawing/2014/chart" uri="{C3380CC4-5D6E-409C-BE32-E72D297353CC}">
                <c16:uniqueId val="{0000026A-EF1D-4833-8337-C9FF4F024954}"/>
              </c:ext>
            </c:extLst>
          </c:dPt>
          <c:dPt>
            <c:idx val="8"/>
            <c:invertIfNegative val="0"/>
            <c:bubble3D val="0"/>
            <c:spPr>
              <a:solidFill>
                <a:srgbClr val="FFE7A7"/>
              </a:solidFill>
              <a:ln w="3175" cmpd="sng">
                <a:noFill/>
                <a:prstDash val="solid"/>
              </a:ln>
            </c:spPr>
            <c:extLst>
              <c:ext xmlns:c16="http://schemas.microsoft.com/office/drawing/2014/chart" uri="{C3380CC4-5D6E-409C-BE32-E72D297353CC}">
                <c16:uniqueId val="{0000026C-EF1D-4833-8337-C9FF4F024954}"/>
              </c:ext>
            </c:extLst>
          </c:dPt>
          <c:dPt>
            <c:idx val="9"/>
            <c:invertIfNegative val="0"/>
            <c:bubble3D val="0"/>
            <c:spPr>
              <a:solidFill>
                <a:srgbClr val="FFE7A7"/>
              </a:solidFill>
              <a:ln w="3175" cmpd="sng">
                <a:noFill/>
                <a:prstDash val="solid"/>
              </a:ln>
            </c:spPr>
            <c:extLst>
              <c:ext xmlns:c16="http://schemas.microsoft.com/office/drawing/2014/chart" uri="{C3380CC4-5D6E-409C-BE32-E72D297353CC}">
                <c16:uniqueId val="{0000026E-EF1D-4833-8337-C9FF4F024954}"/>
              </c:ext>
            </c:extLst>
          </c:dPt>
          <c:dPt>
            <c:idx val="10"/>
            <c:invertIfNegative val="0"/>
            <c:bubble3D val="0"/>
            <c:spPr>
              <a:solidFill>
                <a:srgbClr val="FFE7A7"/>
              </a:solidFill>
              <a:ln w="3175" cmpd="sng">
                <a:noFill/>
                <a:prstDash val="solid"/>
              </a:ln>
            </c:spPr>
            <c:extLst>
              <c:ext xmlns:c16="http://schemas.microsoft.com/office/drawing/2014/chart" uri="{C3380CC4-5D6E-409C-BE32-E72D297353CC}">
                <c16:uniqueId val="{00000270-EF1D-4833-8337-C9FF4F024954}"/>
              </c:ext>
            </c:extLst>
          </c:dPt>
          <c:dPt>
            <c:idx val="11"/>
            <c:invertIfNegative val="0"/>
            <c:bubble3D val="0"/>
            <c:spPr>
              <a:solidFill>
                <a:srgbClr val="FFE7A7"/>
              </a:solidFill>
              <a:ln w="3175" cmpd="sng">
                <a:noFill/>
                <a:prstDash val="solid"/>
              </a:ln>
            </c:spPr>
            <c:extLst>
              <c:ext xmlns:c16="http://schemas.microsoft.com/office/drawing/2014/chart" uri="{C3380CC4-5D6E-409C-BE32-E72D297353CC}">
                <c16:uniqueId val="{00000272-EF1D-4833-8337-C9FF4F024954}"/>
              </c:ext>
            </c:extLst>
          </c:dPt>
          <c:dPt>
            <c:idx val="12"/>
            <c:invertIfNegative val="0"/>
            <c:bubble3D val="0"/>
            <c:spPr>
              <a:solidFill>
                <a:srgbClr val="FFE7A7"/>
              </a:solidFill>
              <a:ln w="3175" cmpd="sng">
                <a:noFill/>
                <a:prstDash val="solid"/>
              </a:ln>
            </c:spPr>
            <c:extLst>
              <c:ext xmlns:c16="http://schemas.microsoft.com/office/drawing/2014/chart" uri="{C3380CC4-5D6E-409C-BE32-E72D297353CC}">
                <c16:uniqueId val="{00000274-EF1D-4833-8337-C9FF4F024954}"/>
              </c:ext>
            </c:extLst>
          </c:dPt>
          <c:dPt>
            <c:idx val="13"/>
            <c:invertIfNegative val="0"/>
            <c:bubble3D val="0"/>
            <c:spPr>
              <a:solidFill>
                <a:srgbClr val="FFE7A7"/>
              </a:solidFill>
              <a:ln w="3175" cmpd="sng">
                <a:noFill/>
                <a:prstDash val="solid"/>
              </a:ln>
            </c:spPr>
            <c:extLst>
              <c:ext xmlns:c16="http://schemas.microsoft.com/office/drawing/2014/chart" uri="{C3380CC4-5D6E-409C-BE32-E72D297353CC}">
                <c16:uniqueId val="{00000276-EF1D-4833-8337-C9FF4F024954}"/>
              </c:ext>
            </c:extLst>
          </c:dPt>
          <c:dPt>
            <c:idx val="14"/>
            <c:invertIfNegative val="0"/>
            <c:bubble3D val="0"/>
            <c:spPr>
              <a:solidFill>
                <a:srgbClr val="FFE7A7"/>
              </a:solidFill>
              <a:ln w="3175" cmpd="sng">
                <a:noFill/>
                <a:prstDash val="solid"/>
              </a:ln>
            </c:spPr>
            <c:extLst>
              <c:ext xmlns:c16="http://schemas.microsoft.com/office/drawing/2014/chart" uri="{C3380CC4-5D6E-409C-BE32-E72D297353CC}">
                <c16:uniqueId val="{00000278-EF1D-4833-8337-C9FF4F024954}"/>
              </c:ext>
            </c:extLst>
          </c:dPt>
          <c:dPt>
            <c:idx val="15"/>
            <c:invertIfNegative val="0"/>
            <c:bubble3D val="0"/>
            <c:spPr>
              <a:solidFill>
                <a:srgbClr val="FFE7A7"/>
              </a:solidFill>
              <a:ln w="3175" cmpd="sng">
                <a:noFill/>
                <a:prstDash val="solid"/>
              </a:ln>
            </c:spPr>
            <c:extLst>
              <c:ext xmlns:c16="http://schemas.microsoft.com/office/drawing/2014/chart" uri="{C3380CC4-5D6E-409C-BE32-E72D297353CC}">
                <c16:uniqueId val="{0000027A-EF1D-4833-8337-C9FF4F024954}"/>
              </c:ext>
            </c:extLst>
          </c:dPt>
          <c:dPt>
            <c:idx val="16"/>
            <c:invertIfNegative val="0"/>
            <c:bubble3D val="0"/>
            <c:spPr>
              <a:solidFill>
                <a:srgbClr val="FFE7A7"/>
              </a:solidFill>
              <a:ln w="3175" cmpd="sng">
                <a:noFill/>
                <a:prstDash val="solid"/>
              </a:ln>
            </c:spPr>
            <c:extLst>
              <c:ext xmlns:c16="http://schemas.microsoft.com/office/drawing/2014/chart" uri="{C3380CC4-5D6E-409C-BE32-E72D297353CC}">
                <c16:uniqueId val="{0000027C-EF1D-4833-8337-C9FF4F024954}"/>
              </c:ext>
            </c:extLst>
          </c:dPt>
          <c:dPt>
            <c:idx val="17"/>
            <c:invertIfNegative val="0"/>
            <c:bubble3D val="0"/>
            <c:spPr>
              <a:solidFill>
                <a:srgbClr val="FFE7A7"/>
              </a:solidFill>
              <a:ln w="3175" cmpd="sng">
                <a:noFill/>
                <a:prstDash val="solid"/>
              </a:ln>
            </c:spPr>
            <c:extLst>
              <c:ext xmlns:c16="http://schemas.microsoft.com/office/drawing/2014/chart" uri="{C3380CC4-5D6E-409C-BE32-E72D297353CC}">
                <c16:uniqueId val="{0000027E-EF1D-4833-8337-C9FF4F024954}"/>
              </c:ext>
            </c:extLst>
          </c:dPt>
          <c:dPt>
            <c:idx val="18"/>
            <c:invertIfNegative val="0"/>
            <c:bubble3D val="0"/>
            <c:spPr>
              <a:solidFill>
                <a:srgbClr val="FFE7A7"/>
              </a:solidFill>
              <a:ln w="3175" cmpd="sng">
                <a:noFill/>
                <a:prstDash val="solid"/>
              </a:ln>
            </c:spPr>
            <c:extLst>
              <c:ext xmlns:c16="http://schemas.microsoft.com/office/drawing/2014/chart" uri="{C3380CC4-5D6E-409C-BE32-E72D297353CC}">
                <c16:uniqueId val="{00000280-EF1D-4833-8337-C9FF4F024954}"/>
              </c:ext>
            </c:extLst>
          </c:dPt>
          <c:dPt>
            <c:idx val="19"/>
            <c:invertIfNegative val="0"/>
            <c:bubble3D val="0"/>
            <c:spPr>
              <a:solidFill>
                <a:srgbClr val="FFE7A7"/>
              </a:solidFill>
              <a:ln w="3175" cmpd="sng">
                <a:noFill/>
                <a:prstDash val="solid"/>
              </a:ln>
            </c:spPr>
            <c:extLst>
              <c:ext xmlns:c16="http://schemas.microsoft.com/office/drawing/2014/chart" uri="{C3380CC4-5D6E-409C-BE32-E72D297353CC}">
                <c16:uniqueId val="{00000282-EF1D-4833-8337-C9FF4F024954}"/>
              </c:ext>
            </c:extLst>
          </c:dPt>
          <c:dPt>
            <c:idx val="20"/>
            <c:invertIfNegative val="0"/>
            <c:bubble3D val="0"/>
            <c:spPr>
              <a:solidFill>
                <a:srgbClr val="FFE7A7"/>
              </a:solidFill>
              <a:ln w="3175" cmpd="sng">
                <a:noFill/>
                <a:prstDash val="solid"/>
              </a:ln>
            </c:spPr>
            <c:extLst>
              <c:ext xmlns:c16="http://schemas.microsoft.com/office/drawing/2014/chart" uri="{C3380CC4-5D6E-409C-BE32-E72D297353CC}">
                <c16:uniqueId val="{00000284-EF1D-4833-8337-C9FF4F024954}"/>
              </c:ext>
            </c:extLst>
          </c:dPt>
          <c:dPt>
            <c:idx val="21"/>
            <c:invertIfNegative val="0"/>
            <c:bubble3D val="0"/>
            <c:spPr>
              <a:solidFill>
                <a:srgbClr val="FFE7A7"/>
              </a:solidFill>
              <a:ln w="3175" cmpd="sng">
                <a:noFill/>
                <a:prstDash val="solid"/>
              </a:ln>
            </c:spPr>
            <c:extLst>
              <c:ext xmlns:c16="http://schemas.microsoft.com/office/drawing/2014/chart" uri="{C3380CC4-5D6E-409C-BE32-E72D297353CC}">
                <c16:uniqueId val="{00000286-EF1D-4833-8337-C9FF4F024954}"/>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Data'!$B$13:$W$13</c:f>
              <c:numCache>
                <c:formatCode>#,##0_ ;\-#,##0\ </c:formatCode>
                <c:ptCount val="22"/>
                <c:pt idx="0">
                  <c:v>0</c:v>
                </c:pt>
                <c:pt idx="1">
                  <c:v>940</c:v>
                </c:pt>
                <c:pt idx="2">
                  <c:v>1862</c:v>
                </c:pt>
                <c:pt idx="3">
                  <c:v>2758</c:v>
                </c:pt>
                <c:pt idx="4">
                  <c:v>3634</c:v>
                </c:pt>
                <c:pt idx="5">
                  <c:v>4493</c:v>
                </c:pt>
                <c:pt idx="6">
                  <c:v>5327</c:v>
                </c:pt>
                <c:pt idx="7">
                  <c:v>6135</c:v>
                </c:pt>
                <c:pt idx="8">
                  <c:v>6924</c:v>
                </c:pt>
                <c:pt idx="9">
                  <c:v>7686</c:v>
                </c:pt>
                <c:pt idx="10">
                  <c:v>8415</c:v>
                </c:pt>
                <c:pt idx="11">
                  <c:v>9115</c:v>
                </c:pt>
                <c:pt idx="12">
                  <c:v>9768</c:v>
                </c:pt>
                <c:pt idx="13">
                  <c:v>10377</c:v>
                </c:pt>
                <c:pt idx="14">
                  <c:v>10921</c:v>
                </c:pt>
                <c:pt idx="15">
                  <c:v>11420</c:v>
                </c:pt>
                <c:pt idx="16">
                  <c:v>11890</c:v>
                </c:pt>
                <c:pt idx="17">
                  <c:v>12331</c:v>
                </c:pt>
                <c:pt idx="18">
                  <c:v>12734</c:v>
                </c:pt>
                <c:pt idx="19">
                  <c:v>13062</c:v>
                </c:pt>
                <c:pt idx="20">
                  <c:v>13400</c:v>
                </c:pt>
                <c:pt idx="21">
                  <c:v>13694</c:v>
                </c:pt>
              </c:numCache>
            </c:numRef>
          </c:val>
          <c:extLst>
            <c:ext xmlns:c16="http://schemas.microsoft.com/office/drawing/2014/chart" uri="{C3380CC4-5D6E-409C-BE32-E72D297353CC}">
              <c16:uniqueId val="{00000287-EF1D-4833-8337-C9FF4F024954}"/>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7444615998323514"/>
              <c:y val="0.76911129272482814"/>
            </c:manualLayout>
          </c:layout>
          <c:overlay val="0"/>
          <c:spPr>
            <a:noFill/>
            <a:ln>
              <a:noFill/>
            </a:ln>
            <a:effectLst/>
          </c:sp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Installed capacity (MW)</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0.18732249658749447"/>
          <c:y val="0.80852191077053737"/>
          <c:w val="0.68014288900533126"/>
          <c:h val="0.17080466276210157"/>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chartsheets/sheet1.xml><?xml version="1.0" encoding="utf-8"?>
<chartsheet xmlns="http://schemas.openxmlformats.org/spreadsheetml/2006/main" xmlns:r="http://schemas.openxmlformats.org/officeDocument/2006/relationships">
  <sheetPr codeName="Chart2"/>
  <sheetViews>
    <sheetView zoomScale="130" workbookViewId="0"/>
  </sheetViews>
  <pageMargins left="2.6181102362204722" right="2.6181102362204722" top="1.734251968503937" bottom="1.734251968503937"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sheetPr codeName="Chart3"/>
  <sheetViews>
    <sheetView zoomScale="145" workbookViewId="0"/>
  </sheetViews>
  <pageMargins left="2.6181102362204722" right="2.6181102362204722" top="1.734251968503937" bottom="1.734251968503937"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sheetPr codeName="Chart1"/>
  <sheetViews>
    <sheetView zoomScale="130" workbookViewId="0"/>
  </sheetViews>
  <pageMargins left="2.6181102362204722" right="2.6181102362204722" top="1.734251968503937" bottom="1.734251968503937" header="0.3" footer="0.3"/>
  <pageSetup paperSize="9" orientation="landscape" verticalDpi="1200"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5788269" cy="4278923"/>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5800397" cy="4289534"/>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5788269" cy="4278923"/>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NewAEMOtheme">
  <a:themeElements>
    <a:clrScheme name="AEMO">
      <a:dk1>
        <a:srgbClr val="222324"/>
      </a:dk1>
      <a:lt1>
        <a:sysClr val="window" lastClr="FFFFFF"/>
      </a:lt1>
      <a:dk2>
        <a:srgbClr val="000000"/>
      </a:dk2>
      <a:lt2>
        <a:srgbClr val="E0E8EA"/>
      </a:lt2>
      <a:accent1>
        <a:srgbClr val="C41230"/>
      </a:accent1>
      <a:accent2>
        <a:srgbClr val="360F3C"/>
      </a:accent2>
      <a:accent3>
        <a:srgbClr val="F37421"/>
      </a:accent3>
      <a:accent4>
        <a:srgbClr val="FFC222"/>
      </a:accent4>
      <a:accent5>
        <a:srgbClr val="82859C"/>
      </a:accent5>
      <a:accent6>
        <a:srgbClr val="B3E0EE"/>
      </a:accent6>
      <a:hlink>
        <a:srgbClr val="C41230"/>
      </a:hlink>
      <a:folHlink>
        <a:srgbClr val="C41230"/>
      </a:folHlink>
    </a:clrScheme>
    <a:fontScheme name="AEMO">
      <a:majorFont>
        <a:latin typeface="Tw Cen MT"/>
        <a:ea typeface=""/>
        <a:cs typeface=""/>
      </a:majorFont>
      <a:minorFont>
        <a:latin typeface="Tw Cen M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2"/>
        </a:solidFill>
        <a:ln>
          <a:noFill/>
        </a:ln>
      </a:spPr>
      <a:bodyPr rtlCol="0" anchor="ct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C27"/>
  <sheetViews>
    <sheetView tabSelected="1" zoomScaleNormal="100" workbookViewId="0"/>
  </sheetViews>
  <sheetFormatPr defaultColWidth="9.140625" defaultRowHeight="12.75" x14ac:dyDescent="0.2"/>
  <cols>
    <col min="1" max="1" width="3.140625" style="50" customWidth="1"/>
    <col min="2" max="2" width="30" style="50" customWidth="1"/>
    <col min="3" max="3" width="52.42578125" style="50" customWidth="1"/>
    <col min="4" max="16384" width="9.140625" style="50"/>
  </cols>
  <sheetData>
    <row r="2" spans="2:3" ht="25.5" x14ac:dyDescent="0.2">
      <c r="B2" s="51" t="s">
        <v>72</v>
      </c>
      <c r="C2" s="5"/>
    </row>
    <row r="3" spans="2:3" x14ac:dyDescent="0.2">
      <c r="B3" s="91"/>
      <c r="C3" s="91"/>
    </row>
    <row r="4" spans="2:3" ht="49.5" customHeight="1" x14ac:dyDescent="0.2">
      <c r="B4" s="92" t="s">
        <v>23</v>
      </c>
      <c r="C4" s="92"/>
    </row>
    <row r="5" spans="2:3" x14ac:dyDescent="0.2">
      <c r="B5" s="9"/>
      <c r="C5" s="9"/>
    </row>
    <row r="6" spans="2:3" ht="18" customHeight="1" x14ac:dyDescent="0.2">
      <c r="B6" s="52" t="s">
        <v>98</v>
      </c>
      <c r="C6" s="83"/>
    </row>
    <row r="7" spans="2:3" ht="16.5" customHeight="1" x14ac:dyDescent="0.2">
      <c r="B7" s="52"/>
      <c r="C7" s="83"/>
    </row>
    <row r="8" spans="2:3" ht="18" customHeight="1" x14ac:dyDescent="0.25">
      <c r="B8" s="102" t="s">
        <v>99</v>
      </c>
      <c r="C8" s="55" t="s">
        <v>100</v>
      </c>
    </row>
    <row r="9" spans="2:3" ht="18" customHeight="1" x14ac:dyDescent="0.2">
      <c r="B9" s="103" t="s">
        <v>101</v>
      </c>
      <c r="C9" s="57" t="s">
        <v>102</v>
      </c>
    </row>
    <row r="10" spans="2:3" ht="48" customHeight="1" x14ac:dyDescent="0.2">
      <c r="B10" s="104" t="s">
        <v>103</v>
      </c>
      <c r="C10" s="60" t="s">
        <v>104</v>
      </c>
    </row>
    <row r="11" spans="2:3" x14ac:dyDescent="0.2">
      <c r="B11" s="105"/>
      <c r="C11" s="53"/>
    </row>
    <row r="12" spans="2:3" ht="18" customHeight="1" x14ac:dyDescent="0.2">
      <c r="B12" s="82"/>
      <c r="C12" s="82"/>
    </row>
    <row r="13" spans="2:3" ht="18" customHeight="1" x14ac:dyDescent="0.2">
      <c r="B13" s="52" t="s">
        <v>43</v>
      </c>
      <c r="C13" s="82"/>
    </row>
    <row r="14" spans="2:3" ht="45" customHeight="1" x14ac:dyDescent="0.2">
      <c r="B14" s="92" t="s">
        <v>106</v>
      </c>
      <c r="C14" s="92"/>
    </row>
    <row r="15" spans="2:3" ht="15" x14ac:dyDescent="0.2">
      <c r="C15" s="6"/>
    </row>
    <row r="16" spans="2:3" ht="18.75" x14ac:dyDescent="0.2">
      <c r="B16" s="52" t="s">
        <v>24</v>
      </c>
      <c r="C16" s="6"/>
    </row>
    <row r="17" spans="1:3" ht="11.25" customHeight="1" x14ac:dyDescent="0.2">
      <c r="B17" s="52"/>
      <c r="C17" s="6"/>
    </row>
    <row r="18" spans="1:3" ht="15.75" x14ac:dyDescent="0.25">
      <c r="A18" s="53"/>
      <c r="B18" s="54" t="s">
        <v>25</v>
      </c>
      <c r="C18" s="55" t="s">
        <v>26</v>
      </c>
    </row>
    <row r="19" spans="1:3" ht="34.5" customHeight="1" x14ac:dyDescent="0.2">
      <c r="A19" s="53"/>
      <c r="B19" s="56" t="s">
        <v>76</v>
      </c>
      <c r="C19" s="57" t="s">
        <v>77</v>
      </c>
    </row>
    <row r="20" spans="1:3" ht="37.5" customHeight="1" x14ac:dyDescent="0.2">
      <c r="A20" s="53"/>
      <c r="B20" s="59" t="s">
        <v>105</v>
      </c>
      <c r="C20" s="81" t="s">
        <v>74</v>
      </c>
    </row>
    <row r="21" spans="1:3" ht="33.75" customHeight="1" x14ac:dyDescent="0.2">
      <c r="A21" s="53"/>
      <c r="B21" s="58" t="s">
        <v>27</v>
      </c>
      <c r="C21" s="89" t="s">
        <v>52</v>
      </c>
    </row>
    <row r="22" spans="1:3" ht="33.75" customHeight="1" x14ac:dyDescent="0.2">
      <c r="A22" s="53"/>
      <c r="B22" s="59" t="s">
        <v>28</v>
      </c>
      <c r="C22" s="93"/>
    </row>
    <row r="23" spans="1:3" ht="33.75" customHeight="1" x14ac:dyDescent="0.2">
      <c r="A23" s="53"/>
      <c r="B23" s="59" t="s">
        <v>29</v>
      </c>
      <c r="C23" s="90" t="s">
        <v>73</v>
      </c>
    </row>
    <row r="24" spans="1:3" ht="33.75" customHeight="1" x14ac:dyDescent="0.2">
      <c r="A24" s="53"/>
      <c r="B24" s="59" t="s">
        <v>30</v>
      </c>
      <c r="C24" s="90"/>
    </row>
    <row r="25" spans="1:3" ht="33.75" customHeight="1" x14ac:dyDescent="0.2">
      <c r="A25" s="53"/>
      <c r="B25" s="58" t="s">
        <v>31</v>
      </c>
      <c r="C25" s="89" t="s">
        <v>53</v>
      </c>
    </row>
    <row r="26" spans="1:3" ht="33.75" customHeight="1" x14ac:dyDescent="0.2">
      <c r="A26" s="53"/>
      <c r="B26" s="59" t="s">
        <v>32</v>
      </c>
      <c r="C26" s="90"/>
    </row>
    <row r="27" spans="1:3" ht="33.75" customHeight="1" x14ac:dyDescent="0.2">
      <c r="A27" s="53"/>
      <c r="B27" s="59" t="s">
        <v>33</v>
      </c>
      <c r="C27" s="60" t="s">
        <v>54</v>
      </c>
    </row>
  </sheetData>
  <mergeCells count="6">
    <mergeCell ref="C21:C22"/>
    <mergeCell ref="C23:C24"/>
    <mergeCell ref="C25:C26"/>
    <mergeCell ref="B3:C3"/>
    <mergeCell ref="B4:C4"/>
    <mergeCell ref="B14:C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24"/>
  <sheetViews>
    <sheetView zoomScale="90" zoomScaleNormal="90" workbookViewId="0"/>
  </sheetViews>
  <sheetFormatPr defaultRowHeight="14.25" x14ac:dyDescent="0.2"/>
  <cols>
    <col min="1" max="1" width="2.28515625" style="61" customWidth="1"/>
    <col min="2" max="2" width="3.5703125" style="61" customWidth="1"/>
    <col min="3" max="6" width="22.7109375" style="61" customWidth="1"/>
    <col min="7" max="9" width="2.140625" style="61" customWidth="1"/>
    <col min="10" max="13" width="22.7109375" style="61" customWidth="1"/>
    <col min="14" max="16" width="2.140625" style="61" customWidth="1"/>
    <col min="17" max="20" width="22.7109375" style="61" customWidth="1"/>
    <col min="21" max="21" width="2.5703125" style="61" customWidth="1"/>
    <col min="22" max="16384" width="9.140625" style="61"/>
  </cols>
  <sheetData>
    <row r="2" spans="2:20" x14ac:dyDescent="0.2">
      <c r="B2" s="65"/>
      <c r="C2" s="65"/>
      <c r="D2" s="65"/>
      <c r="E2" s="65"/>
      <c r="F2" s="65"/>
      <c r="G2" s="65"/>
      <c r="I2" s="65"/>
      <c r="J2" s="65"/>
      <c r="K2" s="65"/>
      <c r="L2" s="65"/>
      <c r="M2" s="65"/>
      <c r="N2" s="65"/>
    </row>
    <row r="3" spans="2:20" ht="18.75" customHeight="1" x14ac:dyDescent="0.25">
      <c r="B3" s="65"/>
      <c r="C3" s="67" t="s">
        <v>78</v>
      </c>
      <c r="D3" s="68"/>
      <c r="G3" s="65"/>
      <c r="I3" s="65"/>
      <c r="J3" s="67" t="s">
        <v>79</v>
      </c>
      <c r="K3" s="68"/>
      <c r="N3" s="65"/>
      <c r="Q3" s="67" t="s">
        <v>80</v>
      </c>
      <c r="R3" s="68"/>
    </row>
    <row r="4" spans="2:20" ht="26.25" x14ac:dyDescent="0.25">
      <c r="B4" s="65"/>
      <c r="C4" s="70"/>
      <c r="D4" s="71" t="s">
        <v>81</v>
      </c>
      <c r="E4" s="71" t="s">
        <v>82</v>
      </c>
      <c r="F4" s="72" t="s">
        <v>83</v>
      </c>
      <c r="G4" s="65"/>
      <c r="I4" s="65"/>
      <c r="J4" s="70"/>
      <c r="K4" s="71" t="s">
        <v>84</v>
      </c>
      <c r="L4" s="71" t="s">
        <v>85</v>
      </c>
      <c r="M4" s="72" t="s">
        <v>83</v>
      </c>
      <c r="N4" s="65"/>
      <c r="Q4" s="73"/>
      <c r="R4" s="71" t="s">
        <v>86</v>
      </c>
      <c r="S4" s="71" t="s">
        <v>87</v>
      </c>
      <c r="T4" s="72" t="s">
        <v>83</v>
      </c>
    </row>
    <row r="5" spans="2:20" ht="18.75" customHeight="1" x14ac:dyDescent="0.2">
      <c r="B5" s="65"/>
      <c r="C5" s="74" t="s">
        <v>47</v>
      </c>
      <c r="D5" s="75">
        <v>41916.916936302674</v>
      </c>
      <c r="E5" s="75">
        <v>39961.171508822546</v>
      </c>
      <c r="F5" s="75">
        <v>1955.7454274801275</v>
      </c>
      <c r="G5" s="65"/>
      <c r="I5" s="65"/>
      <c r="J5" s="74" t="s">
        <v>47</v>
      </c>
      <c r="K5" s="75">
        <v>43176.829879668308</v>
      </c>
      <c r="L5" s="75">
        <v>41738.953859835477</v>
      </c>
      <c r="M5" s="75">
        <v>1437.8760198328309</v>
      </c>
      <c r="N5" s="65"/>
      <c r="Q5" s="74" t="s">
        <v>47</v>
      </c>
      <c r="R5" s="75">
        <v>34757.909560715358</v>
      </c>
      <c r="S5" s="75">
        <v>32876.768527767286</v>
      </c>
      <c r="T5" s="75">
        <f>R5-S5</f>
        <v>1881.1410329480714</v>
      </c>
    </row>
    <row r="6" spans="2:20" ht="18.75" customHeight="1" x14ac:dyDescent="0.2">
      <c r="B6" s="65"/>
      <c r="C6" s="74" t="s">
        <v>48</v>
      </c>
      <c r="D6" s="75">
        <v>33920.684891933444</v>
      </c>
      <c r="E6" s="75">
        <v>33899.236952430125</v>
      </c>
      <c r="F6" s="75">
        <v>21.447939503319503</v>
      </c>
      <c r="G6" s="65"/>
      <c r="I6" s="65"/>
      <c r="J6" s="74" t="s">
        <v>48</v>
      </c>
      <c r="K6" s="75">
        <v>35760.208656527386</v>
      </c>
      <c r="L6" s="75">
        <v>35490.113604422251</v>
      </c>
      <c r="M6" s="75">
        <v>270.09505210513453</v>
      </c>
      <c r="N6" s="65"/>
      <c r="Q6" s="74" t="s">
        <v>48</v>
      </c>
      <c r="R6" s="75">
        <v>31879.247558175241</v>
      </c>
      <c r="S6" s="75">
        <v>31494.012745047821</v>
      </c>
      <c r="T6" s="75">
        <f t="shared" ref="T6:T10" si="0">R6-S6</f>
        <v>385.23481312741933</v>
      </c>
    </row>
    <row r="7" spans="2:20" ht="18.75" customHeight="1" x14ac:dyDescent="0.2">
      <c r="B7" s="65"/>
      <c r="C7" s="74" t="s">
        <v>49</v>
      </c>
      <c r="D7" s="75">
        <v>13647.120628245948</v>
      </c>
      <c r="E7" s="75">
        <v>13457.961111861057</v>
      </c>
      <c r="F7" s="75">
        <v>189.15951638489059</v>
      </c>
      <c r="G7" s="65"/>
      <c r="I7" s="65"/>
      <c r="J7" s="74" t="s">
        <v>49</v>
      </c>
      <c r="K7" s="75">
        <v>25498.004789199185</v>
      </c>
      <c r="L7" s="75">
        <v>24823.280490778085</v>
      </c>
      <c r="M7" s="75">
        <v>674.72429842110068</v>
      </c>
      <c r="N7" s="65"/>
      <c r="Q7" s="74" t="s">
        <v>49</v>
      </c>
      <c r="R7" s="75">
        <v>7469.9293274226138</v>
      </c>
      <c r="S7" s="75">
        <v>6813.3785094962204</v>
      </c>
      <c r="T7" s="75">
        <f t="shared" si="0"/>
        <v>656.55081792639339</v>
      </c>
    </row>
    <row r="8" spans="2:20" ht="18.75" customHeight="1" x14ac:dyDescent="0.2">
      <c r="B8" s="65"/>
      <c r="C8" s="74" t="s">
        <v>50</v>
      </c>
      <c r="D8" s="75">
        <v>482.37560886662567</v>
      </c>
      <c r="E8" s="75">
        <v>259.11852081983278</v>
      </c>
      <c r="F8" s="75">
        <v>223.25708804679289</v>
      </c>
      <c r="G8" s="65"/>
      <c r="I8" s="65"/>
      <c r="J8" s="74" t="s">
        <v>50</v>
      </c>
      <c r="K8" s="75">
        <v>1336.0438082055946</v>
      </c>
      <c r="L8" s="75">
        <v>1021.902430177951</v>
      </c>
      <c r="M8" s="75">
        <v>314.14137802764355</v>
      </c>
      <c r="N8" s="65"/>
      <c r="Q8" s="74" t="s">
        <v>50</v>
      </c>
      <c r="R8" s="75">
        <v>156.11488308195149</v>
      </c>
      <c r="S8" s="75">
        <v>103.68994256141953</v>
      </c>
      <c r="T8" s="75">
        <f t="shared" si="0"/>
        <v>52.424940520531962</v>
      </c>
    </row>
    <row r="9" spans="2:20" ht="18.75" customHeight="1" x14ac:dyDescent="0.2">
      <c r="B9" s="65"/>
      <c r="C9" s="74" t="s">
        <v>51</v>
      </c>
      <c r="D9" s="75">
        <v>0</v>
      </c>
      <c r="E9" s="75">
        <v>1198.0852865656811</v>
      </c>
      <c r="F9" s="75">
        <v>-1198.0852865656811</v>
      </c>
      <c r="G9" s="65"/>
      <c r="I9" s="65"/>
      <c r="J9" s="74" t="s">
        <v>51</v>
      </c>
      <c r="K9" s="75">
        <v>0</v>
      </c>
      <c r="L9" s="75">
        <v>1198.0852865656811</v>
      </c>
      <c r="M9" s="75">
        <v>-1198.0852865656811</v>
      </c>
      <c r="N9" s="65"/>
      <c r="Q9" s="74" t="s">
        <v>51</v>
      </c>
      <c r="R9" s="75">
        <v>0</v>
      </c>
      <c r="S9" s="75">
        <v>1198.0852865656811</v>
      </c>
      <c r="T9" s="75">
        <f t="shared" si="0"/>
        <v>-1198.0852865656811</v>
      </c>
    </row>
    <row r="10" spans="2:20" ht="18.75" customHeight="1" x14ac:dyDescent="0.2">
      <c r="B10" s="65"/>
      <c r="C10" s="76" t="s">
        <v>19</v>
      </c>
      <c r="D10" s="77">
        <v>90274.939204871393</v>
      </c>
      <c r="E10" s="77">
        <v>89083.41452002195</v>
      </c>
      <c r="F10" s="77">
        <v>1191.5246848494426</v>
      </c>
      <c r="G10" s="65"/>
      <c r="I10" s="65"/>
      <c r="J10" s="76" t="s">
        <v>19</v>
      </c>
      <c r="K10" s="77">
        <v>106146.24184886776</v>
      </c>
      <c r="L10" s="77">
        <v>104647.49038704675</v>
      </c>
      <c r="M10" s="77">
        <v>1498.7514618210116</v>
      </c>
      <c r="N10" s="65"/>
      <c r="Q10" s="76" t="s">
        <v>19</v>
      </c>
      <c r="R10" s="77">
        <v>74612.667719498902</v>
      </c>
      <c r="S10" s="77">
        <v>72835.401401542156</v>
      </c>
      <c r="T10" s="77">
        <f t="shared" si="0"/>
        <v>1777.2663179567462</v>
      </c>
    </row>
    <row r="11" spans="2:20" x14ac:dyDescent="0.2">
      <c r="B11" s="65"/>
      <c r="G11" s="65"/>
      <c r="I11" s="65"/>
      <c r="N11" s="65"/>
    </row>
    <row r="12" spans="2:20" ht="18.75" customHeight="1" x14ac:dyDescent="0.2">
      <c r="B12" s="65"/>
      <c r="C12" s="85" t="s">
        <v>88</v>
      </c>
      <c r="D12" s="84">
        <f>SUM(D7:D9)</f>
        <v>14129.496237112573</v>
      </c>
      <c r="E12" s="84">
        <f>SUM(E7:E9)</f>
        <v>14915.164919246572</v>
      </c>
      <c r="G12" s="65"/>
      <c r="I12" s="65"/>
      <c r="J12" s="85" t="s">
        <v>88</v>
      </c>
      <c r="K12" s="84">
        <f>SUM(K7:K9)</f>
        <v>26834.048597404781</v>
      </c>
      <c r="L12" s="84">
        <f>SUM(L7:L9)</f>
        <v>27043.268207521716</v>
      </c>
      <c r="N12" s="65"/>
      <c r="Q12" s="85" t="s">
        <v>88</v>
      </c>
      <c r="R12" s="84">
        <f>SUM(R7:R9)</f>
        <v>7626.0442105045649</v>
      </c>
      <c r="S12" s="84">
        <f>SUM(S7:S9)</f>
        <v>8115.1537386233213</v>
      </c>
    </row>
    <row r="13" spans="2:20" ht="18.75" customHeight="1" thickBot="1" x14ac:dyDescent="0.25">
      <c r="C13" s="74"/>
      <c r="D13" s="75"/>
      <c r="E13" s="75"/>
      <c r="F13" s="75"/>
      <c r="G13" s="65"/>
      <c r="I13" s="65"/>
      <c r="J13" s="74"/>
      <c r="K13" s="75"/>
      <c r="L13" s="75"/>
      <c r="N13" s="65"/>
      <c r="Q13" s="74"/>
      <c r="R13" s="75"/>
      <c r="S13" s="75"/>
    </row>
    <row r="14" spans="2:20" ht="18.75" customHeight="1" x14ac:dyDescent="0.2">
      <c r="B14" s="62"/>
      <c r="C14" s="63"/>
      <c r="D14" s="63"/>
      <c r="E14" s="63"/>
      <c r="F14" s="63"/>
      <c r="G14" s="64"/>
    </row>
    <row r="15" spans="2:20" ht="18.75" customHeight="1" x14ac:dyDescent="0.25">
      <c r="B15" s="66"/>
      <c r="C15" s="67" t="s">
        <v>89</v>
      </c>
      <c r="D15" s="68"/>
      <c r="E15" s="65"/>
      <c r="F15" s="65"/>
      <c r="G15" s="69"/>
      <c r="J15" s="67" t="s">
        <v>90</v>
      </c>
      <c r="K15" s="68"/>
      <c r="P15" s="67"/>
      <c r="Q15" s="67" t="s">
        <v>91</v>
      </c>
      <c r="T15" s="67"/>
    </row>
    <row r="16" spans="2:20" ht="39" x14ac:dyDescent="0.25">
      <c r="B16" s="66"/>
      <c r="C16" s="70"/>
      <c r="D16" s="71" t="s">
        <v>92</v>
      </c>
      <c r="E16" s="71" t="s">
        <v>93</v>
      </c>
      <c r="F16" s="72" t="s">
        <v>83</v>
      </c>
      <c r="G16" s="69"/>
      <c r="J16" s="70"/>
      <c r="K16" s="71" t="s">
        <v>94</v>
      </c>
      <c r="L16" s="71" t="s">
        <v>95</v>
      </c>
      <c r="M16" s="72" t="s">
        <v>83</v>
      </c>
      <c r="P16" s="70"/>
      <c r="Q16" s="71"/>
      <c r="R16" s="71" t="s">
        <v>96</v>
      </c>
      <c r="S16" s="71" t="s">
        <v>97</v>
      </c>
      <c r="T16" s="88" t="s">
        <v>83</v>
      </c>
    </row>
    <row r="17" spans="2:20" ht="18.75" customHeight="1" x14ac:dyDescent="0.2">
      <c r="B17" s="66"/>
      <c r="C17" s="74" t="s">
        <v>47</v>
      </c>
      <c r="D17" s="75">
        <v>41129.068367881271</v>
      </c>
      <c r="E17" s="75">
        <v>39483.692500440178</v>
      </c>
      <c r="F17" s="75">
        <v>1645.3758674410929</v>
      </c>
      <c r="G17" s="69"/>
      <c r="J17" s="74" t="s">
        <v>47</v>
      </c>
      <c r="K17" s="75">
        <v>42806.617149024001</v>
      </c>
      <c r="L17" s="75">
        <v>41899.658348325582</v>
      </c>
      <c r="M17" s="75">
        <v>906.95880069841951</v>
      </c>
      <c r="P17" s="74"/>
      <c r="Q17" s="75" t="s">
        <v>47</v>
      </c>
      <c r="R17" s="75">
        <v>40777.839190312872</v>
      </c>
      <c r="S17" s="75">
        <v>39142.285437276907</v>
      </c>
      <c r="T17" s="75">
        <v>1635.5537530359652</v>
      </c>
    </row>
    <row r="18" spans="2:20" ht="18.75" customHeight="1" x14ac:dyDescent="0.2">
      <c r="B18" s="66"/>
      <c r="C18" s="74" t="s">
        <v>48</v>
      </c>
      <c r="D18" s="75">
        <v>34069.113406172262</v>
      </c>
      <c r="E18" s="75">
        <v>33832.037733368037</v>
      </c>
      <c r="F18" s="75">
        <v>237.07567280422518</v>
      </c>
      <c r="G18" s="69"/>
      <c r="J18" s="74" t="s">
        <v>48</v>
      </c>
      <c r="K18" s="75">
        <v>32811.256896692023</v>
      </c>
      <c r="L18" s="75">
        <v>32478.794938746654</v>
      </c>
      <c r="M18" s="75">
        <v>332.46195794536834</v>
      </c>
      <c r="P18" s="74"/>
      <c r="Q18" s="75" t="s">
        <v>48</v>
      </c>
      <c r="R18" s="75">
        <v>33550.659467371901</v>
      </c>
      <c r="S18" s="75">
        <v>33156.007060544202</v>
      </c>
      <c r="T18" s="75">
        <v>394.65240682769945</v>
      </c>
    </row>
    <row r="19" spans="2:20" ht="18.75" customHeight="1" x14ac:dyDescent="0.2">
      <c r="B19" s="66"/>
      <c r="C19" s="74" t="s">
        <v>49</v>
      </c>
      <c r="D19" s="75">
        <v>14306.206083922347</v>
      </c>
      <c r="E19" s="75">
        <v>14009.286175294425</v>
      </c>
      <c r="F19" s="75">
        <v>296.91990862792227</v>
      </c>
      <c r="G19" s="69"/>
      <c r="J19" s="74" t="s">
        <v>49</v>
      </c>
      <c r="K19" s="75">
        <v>9724.3583089290314</v>
      </c>
      <c r="L19" s="75">
        <v>9236.0421884114585</v>
      </c>
      <c r="M19" s="75">
        <v>488.31612051757293</v>
      </c>
      <c r="P19" s="74"/>
      <c r="Q19" s="75" t="s">
        <v>49</v>
      </c>
      <c r="R19" s="75">
        <v>12085.4530990489</v>
      </c>
      <c r="S19" s="75">
        <v>11178.450977064695</v>
      </c>
      <c r="T19" s="75">
        <v>907.00212198420559</v>
      </c>
    </row>
    <row r="20" spans="2:20" ht="18.75" customHeight="1" x14ac:dyDescent="0.2">
      <c r="B20" s="66"/>
      <c r="C20" s="74" t="s">
        <v>50</v>
      </c>
      <c r="D20" s="75">
        <v>510.83656847194226</v>
      </c>
      <c r="E20" s="75">
        <v>243.14726214592395</v>
      </c>
      <c r="F20" s="75">
        <v>267.68930632601831</v>
      </c>
      <c r="G20" s="69"/>
      <c r="J20" s="74" t="s">
        <v>50</v>
      </c>
      <c r="K20" s="75">
        <v>162.52368768906334</v>
      </c>
      <c r="L20" s="75">
        <v>148.27811526915679</v>
      </c>
      <c r="M20" s="75">
        <v>14.245572419906551</v>
      </c>
      <c r="P20" s="74"/>
      <c r="Q20" s="75" t="s">
        <v>50</v>
      </c>
      <c r="R20" s="75">
        <v>417.09090399830336</v>
      </c>
      <c r="S20" s="75">
        <v>170.91702070329706</v>
      </c>
      <c r="T20" s="75">
        <v>246.17388329500631</v>
      </c>
    </row>
    <row r="21" spans="2:20" ht="18.75" customHeight="1" x14ac:dyDescent="0.2">
      <c r="B21" s="66"/>
      <c r="C21" s="74" t="s">
        <v>51</v>
      </c>
      <c r="D21" s="75">
        <v>0</v>
      </c>
      <c r="E21" s="75">
        <v>1198.0852865656811</v>
      </c>
      <c r="F21" s="75">
        <v>-1198.0852865656811</v>
      </c>
      <c r="G21" s="69"/>
      <c r="J21" s="74" t="s">
        <v>51</v>
      </c>
      <c r="K21" s="75">
        <v>0</v>
      </c>
      <c r="L21" s="75">
        <v>1198.0852865656811</v>
      </c>
      <c r="M21" s="75">
        <v>-1198.0852865656811</v>
      </c>
      <c r="P21" s="74"/>
      <c r="Q21" s="75" t="s">
        <v>51</v>
      </c>
      <c r="R21" s="75">
        <v>0</v>
      </c>
      <c r="S21" s="75">
        <v>1198.0852865656811</v>
      </c>
      <c r="T21" s="75">
        <v>-1198.0852865656811</v>
      </c>
    </row>
    <row r="22" spans="2:20" ht="18.75" customHeight="1" x14ac:dyDescent="0.2">
      <c r="B22" s="66"/>
      <c r="C22" s="76" t="s">
        <v>19</v>
      </c>
      <c r="D22" s="77">
        <v>90323.065565970523</v>
      </c>
      <c r="E22" s="77">
        <v>89074.090097336957</v>
      </c>
      <c r="F22" s="77">
        <v>1248.9754686335655</v>
      </c>
      <c r="G22" s="69"/>
      <c r="J22" s="76" t="s">
        <v>19</v>
      </c>
      <c r="K22" s="77">
        <v>85812.597181856821</v>
      </c>
      <c r="L22" s="77">
        <v>85268.700016841234</v>
      </c>
      <c r="M22" s="77">
        <v>543.89716501558723</v>
      </c>
      <c r="P22" s="76"/>
      <c r="Q22" s="77" t="s">
        <v>19</v>
      </c>
      <c r="R22" s="77">
        <v>87149.294998866375</v>
      </c>
      <c r="S22" s="77">
        <v>85163.998120289165</v>
      </c>
      <c r="T22" s="77">
        <v>1985.29687857721</v>
      </c>
    </row>
    <row r="23" spans="2:20" x14ac:dyDescent="0.2">
      <c r="B23" s="66"/>
      <c r="C23" s="65"/>
      <c r="D23" s="65"/>
      <c r="E23" s="65"/>
      <c r="F23" s="65"/>
      <c r="G23" s="69"/>
    </row>
    <row r="24" spans="2:20" ht="15" thickBot="1" x14ac:dyDescent="0.25">
      <c r="B24" s="78"/>
      <c r="C24" s="86" t="s">
        <v>88</v>
      </c>
      <c r="D24" s="87">
        <f>SUM(D19:D21)</f>
        <v>14817.04265239429</v>
      </c>
      <c r="E24" s="87">
        <f>SUM(E19:E21)</f>
        <v>15450.51872400603</v>
      </c>
      <c r="F24" s="80"/>
      <c r="G24" s="79"/>
      <c r="J24" s="85" t="s">
        <v>88</v>
      </c>
      <c r="K24" s="84">
        <f>SUM(K19:K21)</f>
        <v>9886.8819966180945</v>
      </c>
      <c r="L24" s="84">
        <f>SUM(L19:L21)</f>
        <v>10582.405590246297</v>
      </c>
      <c r="P24" s="74"/>
      <c r="Q24" s="84" t="s">
        <v>88</v>
      </c>
      <c r="R24" s="84">
        <f>SUM(R19:R21)</f>
        <v>12502.544003047204</v>
      </c>
      <c r="S24" s="84">
        <f>SUM(S19:S21)</f>
        <v>12547.453284333673</v>
      </c>
      <c r="T24" s="74"/>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C9"/>
  <sheetViews>
    <sheetView zoomScale="106" zoomScaleNormal="106" workbookViewId="0"/>
  </sheetViews>
  <sheetFormatPr defaultColWidth="9.140625" defaultRowHeight="16.5" customHeight="1" x14ac:dyDescent="0.2"/>
  <cols>
    <col min="1" max="1" width="34.42578125" style="4" customWidth="1"/>
    <col min="2" max="2" width="15.42578125" style="4" customWidth="1"/>
    <col min="3" max="16384" width="9.140625" style="4"/>
  </cols>
  <sheetData>
    <row r="1" spans="1:3" ht="16.5" customHeight="1" x14ac:dyDescent="0.25">
      <c r="A1" s="10" t="s">
        <v>107</v>
      </c>
      <c r="B1" s="42"/>
    </row>
    <row r="2" spans="1:3" ht="16.5" customHeight="1" x14ac:dyDescent="0.25">
      <c r="A2" s="43"/>
      <c r="B2" s="44" t="s">
        <v>46</v>
      </c>
      <c r="C2" s="45"/>
    </row>
    <row r="3" spans="1:3" ht="16.5" customHeight="1" x14ac:dyDescent="0.2">
      <c r="A3" s="46" t="s">
        <v>47</v>
      </c>
      <c r="B3" s="47">
        <v>1645.3758674410929</v>
      </c>
      <c r="C3" s="45"/>
    </row>
    <row r="4" spans="1:3" ht="16.5" customHeight="1" x14ac:dyDescent="0.2">
      <c r="A4" s="46" t="s">
        <v>48</v>
      </c>
      <c r="B4" s="47">
        <v>237.07567280422518</v>
      </c>
      <c r="C4" s="45"/>
    </row>
    <row r="5" spans="1:3" ht="16.5" customHeight="1" x14ac:dyDescent="0.2">
      <c r="A5" s="46" t="s">
        <v>49</v>
      </c>
      <c r="B5" s="47">
        <v>296.91990862792227</v>
      </c>
      <c r="C5" s="45"/>
    </row>
    <row r="6" spans="1:3" ht="16.5" customHeight="1" x14ac:dyDescent="0.2">
      <c r="A6" s="46" t="s">
        <v>50</v>
      </c>
      <c r="B6" s="47">
        <v>267.68930632601831</v>
      </c>
      <c r="C6" s="45"/>
    </row>
    <row r="7" spans="1:3" ht="16.5" customHeight="1" x14ac:dyDescent="0.2">
      <c r="A7" s="46" t="s">
        <v>51</v>
      </c>
      <c r="B7" s="47">
        <v>-1198.0852865656811</v>
      </c>
      <c r="C7" s="45"/>
    </row>
    <row r="8" spans="1:3" ht="16.5" customHeight="1" x14ac:dyDescent="0.2">
      <c r="A8" s="48" t="s">
        <v>19</v>
      </c>
      <c r="B8" s="49">
        <v>1248.9754686335655</v>
      </c>
      <c r="C8" s="45"/>
    </row>
    <row r="9" spans="1:3" ht="16.5" customHeight="1" x14ac:dyDescent="0.2">
      <c r="A9" s="45"/>
      <c r="B9" s="45"/>
      <c r="C9" s="4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R73"/>
  <sheetViews>
    <sheetView zoomScaleNormal="100" workbookViewId="0"/>
  </sheetViews>
  <sheetFormatPr defaultColWidth="9.140625" defaultRowHeight="16.5" customHeight="1" x14ac:dyDescent="0.2"/>
  <cols>
    <col min="1" max="1" width="24.28515625" style="14" customWidth="1"/>
    <col min="2" max="2" width="27.85546875" style="14" customWidth="1"/>
    <col min="3" max="24" width="10.42578125" style="14" customWidth="1"/>
    <col min="25" max="16384" width="9.140625" style="14"/>
  </cols>
  <sheetData>
    <row r="1" spans="1:44" s="33" customFormat="1" ht="16.5" customHeight="1" x14ac:dyDescent="0.25">
      <c r="A1" s="28" t="s">
        <v>22</v>
      </c>
      <c r="F1" s="34"/>
    </row>
    <row r="2" spans="1:44" ht="16.5" customHeight="1" x14ac:dyDescent="0.2">
      <c r="A2" s="30" t="s">
        <v>34</v>
      </c>
      <c r="B2" s="11" t="s">
        <v>20</v>
      </c>
      <c r="C2" s="35" t="s">
        <v>0</v>
      </c>
      <c r="D2" s="36" t="s">
        <v>1</v>
      </c>
      <c r="E2" s="35" t="s">
        <v>2</v>
      </c>
      <c r="F2" s="36" t="s">
        <v>3</v>
      </c>
      <c r="G2" s="35" t="s">
        <v>4</v>
      </c>
      <c r="H2" s="36" t="s">
        <v>5</v>
      </c>
      <c r="I2" s="35" t="s">
        <v>6</v>
      </c>
      <c r="J2" s="36" t="s">
        <v>7</v>
      </c>
      <c r="K2" s="35" t="s">
        <v>8</v>
      </c>
      <c r="L2" s="36" t="s">
        <v>9</v>
      </c>
      <c r="M2" s="35" t="s">
        <v>10</v>
      </c>
      <c r="N2" s="36" t="s">
        <v>11</v>
      </c>
      <c r="O2" s="35" t="s">
        <v>12</v>
      </c>
      <c r="P2" s="36" t="s">
        <v>13</v>
      </c>
      <c r="Q2" s="35" t="s">
        <v>14</v>
      </c>
      <c r="R2" s="36" t="s">
        <v>15</v>
      </c>
      <c r="S2" s="35" t="s">
        <v>16</v>
      </c>
      <c r="T2" s="36" t="s">
        <v>45</v>
      </c>
      <c r="U2" s="35" t="s">
        <v>62</v>
      </c>
      <c r="V2" s="36" t="s">
        <v>63</v>
      </c>
      <c r="W2" s="35" t="s">
        <v>64</v>
      </c>
      <c r="X2" s="36" t="s">
        <v>65</v>
      </c>
    </row>
    <row r="3" spans="1:44" s="37" customFormat="1" ht="16.5" customHeight="1" x14ac:dyDescent="0.2">
      <c r="A3" s="94" t="s">
        <v>42</v>
      </c>
      <c r="B3" s="15" t="s">
        <v>55</v>
      </c>
      <c r="C3" s="16">
        <v>18219</v>
      </c>
      <c r="D3" s="17">
        <v>18219</v>
      </c>
      <c r="E3" s="16">
        <v>18219</v>
      </c>
      <c r="F3" s="17">
        <v>18219</v>
      </c>
      <c r="G3" s="16">
        <v>16419</v>
      </c>
      <c r="H3" s="17">
        <v>16419</v>
      </c>
      <c r="I3" s="16">
        <v>16419</v>
      </c>
      <c r="J3" s="17">
        <v>16419</v>
      </c>
      <c r="K3" s="16">
        <v>16419</v>
      </c>
      <c r="L3" s="17">
        <v>16419</v>
      </c>
      <c r="M3" s="16">
        <v>15099</v>
      </c>
      <c r="N3" s="17">
        <v>13419</v>
      </c>
      <c r="O3" s="16">
        <v>13419</v>
      </c>
      <c r="P3" s="17">
        <v>13419</v>
      </c>
      <c r="Q3" s="16">
        <v>13419</v>
      </c>
      <c r="R3" s="17">
        <v>13419</v>
      </c>
      <c r="S3" s="16">
        <v>10539</v>
      </c>
      <c r="T3" s="17">
        <v>7899</v>
      </c>
      <c r="U3" s="16">
        <v>6499</v>
      </c>
      <c r="V3" s="17">
        <v>6499</v>
      </c>
      <c r="W3" s="16">
        <v>5799</v>
      </c>
      <c r="X3" s="17">
        <v>5799</v>
      </c>
    </row>
    <row r="4" spans="1:44" s="37" customFormat="1" ht="16.5" customHeight="1" x14ac:dyDescent="0.2">
      <c r="A4" s="94"/>
      <c r="B4" s="15" t="s">
        <v>56</v>
      </c>
      <c r="C4" s="16">
        <v>4808</v>
      </c>
      <c r="D4" s="17">
        <v>4808</v>
      </c>
      <c r="E4" s="16">
        <v>4808</v>
      </c>
      <c r="F4" s="17">
        <v>4808</v>
      </c>
      <c r="G4" s="16">
        <v>4808</v>
      </c>
      <c r="H4" s="17">
        <v>4808</v>
      </c>
      <c r="I4" s="16">
        <v>4808</v>
      </c>
      <c r="J4" s="17">
        <v>4808</v>
      </c>
      <c r="K4" s="16">
        <v>4808</v>
      </c>
      <c r="L4" s="17">
        <v>4808</v>
      </c>
      <c r="M4" s="16">
        <v>4808</v>
      </c>
      <c r="N4" s="17">
        <v>4808</v>
      </c>
      <c r="O4" s="16">
        <v>4808</v>
      </c>
      <c r="P4" s="17">
        <v>4808</v>
      </c>
      <c r="Q4" s="16">
        <v>3280</v>
      </c>
      <c r="R4" s="17">
        <v>3280</v>
      </c>
      <c r="S4" s="16">
        <v>3280</v>
      </c>
      <c r="T4" s="17">
        <v>3280</v>
      </c>
      <c r="U4" s="16">
        <v>3280</v>
      </c>
      <c r="V4" s="17">
        <v>3280</v>
      </c>
      <c r="W4" s="16">
        <v>3280</v>
      </c>
      <c r="X4" s="17">
        <v>3280</v>
      </c>
    </row>
    <row r="5" spans="1:44" s="37" customFormat="1" ht="16.5" customHeight="1" x14ac:dyDescent="0.2">
      <c r="A5" s="94"/>
      <c r="B5" s="15" t="s">
        <v>17</v>
      </c>
      <c r="C5" s="16">
        <v>5363.5</v>
      </c>
      <c r="D5" s="17">
        <v>5363.5</v>
      </c>
      <c r="E5" s="16">
        <v>5363.5</v>
      </c>
      <c r="F5" s="17">
        <v>5363.5</v>
      </c>
      <c r="G5" s="16">
        <v>5363.5</v>
      </c>
      <c r="H5" s="17">
        <v>5363.5</v>
      </c>
      <c r="I5" s="16">
        <v>5363.5</v>
      </c>
      <c r="J5" s="17">
        <v>5363.5</v>
      </c>
      <c r="K5" s="16">
        <v>5363.5</v>
      </c>
      <c r="L5" s="17">
        <v>5363.5</v>
      </c>
      <c r="M5" s="16">
        <v>5363.5</v>
      </c>
      <c r="N5" s="17">
        <v>5363.5</v>
      </c>
      <c r="O5" s="16">
        <v>5363.5</v>
      </c>
      <c r="P5" s="17">
        <v>5363.5</v>
      </c>
      <c r="Q5" s="16">
        <v>5363.5</v>
      </c>
      <c r="R5" s="17">
        <v>5363.5</v>
      </c>
      <c r="S5" s="16">
        <v>5363.5</v>
      </c>
      <c r="T5" s="17">
        <v>5363.5</v>
      </c>
      <c r="U5" s="16">
        <v>5363.5</v>
      </c>
      <c r="V5" s="17">
        <v>5363.5</v>
      </c>
      <c r="W5" s="16">
        <v>5363.5</v>
      </c>
      <c r="X5" s="17">
        <v>5363.5</v>
      </c>
    </row>
    <row r="6" spans="1:44" s="37" customFormat="1" ht="16.5" customHeight="1" x14ac:dyDescent="0.2">
      <c r="A6" s="94"/>
      <c r="B6" s="15" t="s">
        <v>44</v>
      </c>
      <c r="C6" s="16">
        <v>4111</v>
      </c>
      <c r="D6" s="17">
        <v>4111</v>
      </c>
      <c r="E6" s="16">
        <v>4111</v>
      </c>
      <c r="F6" s="17">
        <v>4111</v>
      </c>
      <c r="G6" s="16">
        <v>4111</v>
      </c>
      <c r="H6" s="17">
        <v>4111</v>
      </c>
      <c r="I6" s="16">
        <v>2649</v>
      </c>
      <c r="J6" s="17">
        <v>2649</v>
      </c>
      <c r="K6" s="16">
        <v>2649</v>
      </c>
      <c r="L6" s="17">
        <v>2649</v>
      </c>
      <c r="M6" s="16">
        <v>2649</v>
      </c>
      <c r="N6" s="17">
        <v>2649</v>
      </c>
      <c r="O6" s="16">
        <v>2649</v>
      </c>
      <c r="P6" s="17">
        <v>2139</v>
      </c>
      <c r="Q6" s="16">
        <v>2139</v>
      </c>
      <c r="R6" s="17">
        <v>2139</v>
      </c>
      <c r="S6" s="16">
        <v>2139</v>
      </c>
      <c r="T6" s="17">
        <v>2139</v>
      </c>
      <c r="U6" s="16">
        <v>2139</v>
      </c>
      <c r="V6" s="17">
        <v>2139</v>
      </c>
      <c r="W6" s="16">
        <v>2139</v>
      </c>
      <c r="X6" s="17">
        <v>2139</v>
      </c>
    </row>
    <row r="7" spans="1:44" s="37" customFormat="1" ht="16.5" customHeight="1" x14ac:dyDescent="0.2">
      <c r="A7" s="94"/>
      <c r="B7" s="15" t="s">
        <v>57</v>
      </c>
      <c r="C7" s="16">
        <v>6968</v>
      </c>
      <c r="D7" s="17">
        <v>6944</v>
      </c>
      <c r="E7" s="16">
        <v>6944</v>
      </c>
      <c r="F7" s="17">
        <v>6670</v>
      </c>
      <c r="G7" s="16">
        <v>6971</v>
      </c>
      <c r="H7" s="17">
        <v>6971</v>
      </c>
      <c r="I7" s="16">
        <v>7061</v>
      </c>
      <c r="J7" s="17">
        <v>7061</v>
      </c>
      <c r="K7" s="16">
        <v>7061</v>
      </c>
      <c r="L7" s="17">
        <v>7061</v>
      </c>
      <c r="M7" s="16">
        <v>7061</v>
      </c>
      <c r="N7" s="17">
        <v>7061</v>
      </c>
      <c r="O7" s="16">
        <v>7061</v>
      </c>
      <c r="P7" s="17">
        <v>7061</v>
      </c>
      <c r="Q7" s="16">
        <v>7061</v>
      </c>
      <c r="R7" s="17">
        <v>7061</v>
      </c>
      <c r="S7" s="16">
        <v>7061</v>
      </c>
      <c r="T7" s="17">
        <v>7061</v>
      </c>
      <c r="U7" s="16">
        <v>7061</v>
      </c>
      <c r="V7" s="17">
        <v>7061</v>
      </c>
      <c r="W7" s="16">
        <v>7061</v>
      </c>
      <c r="X7" s="17">
        <v>7061</v>
      </c>
    </row>
    <row r="8" spans="1:44" s="37" customFormat="1" ht="16.5" customHeight="1" x14ac:dyDescent="0.2">
      <c r="A8" s="94"/>
      <c r="B8" s="15" t="s">
        <v>18</v>
      </c>
      <c r="C8" s="16">
        <v>5824.2999999999993</v>
      </c>
      <c r="D8" s="17">
        <v>7718.3</v>
      </c>
      <c r="E8" s="16">
        <v>8118.3</v>
      </c>
      <c r="F8" s="17">
        <v>8518.2999999999993</v>
      </c>
      <c r="G8" s="16">
        <v>8918.2999999999993</v>
      </c>
      <c r="H8" s="17">
        <v>9811.2999999999993</v>
      </c>
      <c r="I8" s="16">
        <v>10211.299999999999</v>
      </c>
      <c r="J8" s="17">
        <v>10211.299999999999</v>
      </c>
      <c r="K8" s="16">
        <v>10301.787195910001</v>
      </c>
      <c r="L8" s="17">
        <v>10461.05180782</v>
      </c>
      <c r="M8" s="16">
        <v>10719.24109392</v>
      </c>
      <c r="N8" s="17">
        <v>10866.10361201</v>
      </c>
      <c r="O8" s="16">
        <v>10866.10361201</v>
      </c>
      <c r="P8" s="17">
        <v>10866.10361201</v>
      </c>
      <c r="Q8" s="16">
        <v>11214.18443888</v>
      </c>
      <c r="R8" s="17">
        <v>11330.096377710001</v>
      </c>
      <c r="S8" s="16">
        <v>12418.41252331</v>
      </c>
      <c r="T8" s="17">
        <v>13518.547842260001</v>
      </c>
      <c r="U8" s="16">
        <v>15481.055504460001</v>
      </c>
      <c r="V8" s="17">
        <v>15481.055504460001</v>
      </c>
      <c r="W8" s="16">
        <v>15935.33921154</v>
      </c>
      <c r="X8" s="17">
        <v>15952.045189190001</v>
      </c>
    </row>
    <row r="9" spans="1:44" s="37" customFormat="1" ht="16.5" customHeight="1" x14ac:dyDescent="0.2">
      <c r="A9" s="94"/>
      <c r="B9" s="15" t="s">
        <v>58</v>
      </c>
      <c r="C9" s="16">
        <v>2211.9</v>
      </c>
      <c r="D9" s="17">
        <v>2836.9606544900003</v>
      </c>
      <c r="E9" s="16">
        <v>2836.9606544900003</v>
      </c>
      <c r="F9" s="17">
        <v>2897.8224824100002</v>
      </c>
      <c r="G9" s="16">
        <v>3743.48250641</v>
      </c>
      <c r="H9" s="17">
        <v>4327.4825064100005</v>
      </c>
      <c r="I9" s="16">
        <v>4955.0903160300004</v>
      </c>
      <c r="J9" s="17">
        <v>5994.0609541699996</v>
      </c>
      <c r="K9" s="16">
        <v>6730.9551526999994</v>
      </c>
      <c r="L9" s="17">
        <v>7405.2703489099995</v>
      </c>
      <c r="M9" s="16">
        <v>8192.2791690900012</v>
      </c>
      <c r="N9" s="17">
        <v>9758.8422559200008</v>
      </c>
      <c r="O9" s="16">
        <v>9758.8422559200008</v>
      </c>
      <c r="P9" s="17">
        <v>10062.30698331</v>
      </c>
      <c r="Q9" s="16">
        <v>12888.920985280001</v>
      </c>
      <c r="R9" s="17">
        <v>13276.460501610001</v>
      </c>
      <c r="S9" s="16">
        <v>16454.09250201</v>
      </c>
      <c r="T9" s="17">
        <v>21352.694298990002</v>
      </c>
      <c r="U9" s="16">
        <v>24574.901108729999</v>
      </c>
      <c r="V9" s="17">
        <v>25475.605204709998</v>
      </c>
      <c r="W9" s="16">
        <v>26688.241579089998</v>
      </c>
      <c r="X9" s="17">
        <v>27337.76901697</v>
      </c>
    </row>
    <row r="10" spans="1:44" s="37" customFormat="1" ht="16.5" customHeight="1" x14ac:dyDescent="0.2">
      <c r="A10" s="94"/>
      <c r="B10" s="15" t="s">
        <v>59</v>
      </c>
      <c r="C10" s="16">
        <v>2681.4</v>
      </c>
      <c r="D10" s="17">
        <v>2701.4</v>
      </c>
      <c r="E10" s="16">
        <v>2801.4</v>
      </c>
      <c r="F10" s="17">
        <v>2801.4</v>
      </c>
      <c r="G10" s="16">
        <v>2801.4</v>
      </c>
      <c r="H10" s="17">
        <v>2801.4</v>
      </c>
      <c r="I10" s="16">
        <v>4921.8189089999996</v>
      </c>
      <c r="J10" s="17">
        <v>4921.8189089999996</v>
      </c>
      <c r="K10" s="16">
        <v>5035.7872650000008</v>
      </c>
      <c r="L10" s="17">
        <v>5035.7872650000008</v>
      </c>
      <c r="M10" s="16">
        <v>5035.7872650000008</v>
      </c>
      <c r="N10" s="17">
        <v>5366.5484720000004</v>
      </c>
      <c r="O10" s="16">
        <v>5366.5484720000004</v>
      </c>
      <c r="P10" s="17">
        <v>5474.936584</v>
      </c>
      <c r="Q10" s="16">
        <v>6974.9365839999991</v>
      </c>
      <c r="R10" s="17">
        <v>7050.2012340000001</v>
      </c>
      <c r="S10" s="16">
        <v>8993.5128089999998</v>
      </c>
      <c r="T10" s="17">
        <v>11985.018176</v>
      </c>
      <c r="U10" s="16">
        <v>14246.549755999999</v>
      </c>
      <c r="V10" s="17">
        <v>15065.056756999998</v>
      </c>
      <c r="W10" s="16">
        <v>16299.663470999998</v>
      </c>
      <c r="X10" s="17">
        <v>16802.843566999996</v>
      </c>
    </row>
    <row r="11" spans="1:44" s="37" customFormat="1" ht="16.5" customHeight="1" x14ac:dyDescent="0.2">
      <c r="A11" s="94"/>
      <c r="B11" s="15" t="s">
        <v>60</v>
      </c>
      <c r="C11" s="16">
        <v>0</v>
      </c>
      <c r="D11" s="17">
        <v>0</v>
      </c>
      <c r="E11" s="16">
        <v>0</v>
      </c>
      <c r="F11" s="17">
        <v>0</v>
      </c>
      <c r="G11" s="16">
        <v>0</v>
      </c>
      <c r="H11" s="17">
        <v>0</v>
      </c>
      <c r="I11" s="16">
        <v>0</v>
      </c>
      <c r="J11" s="17">
        <v>0</v>
      </c>
      <c r="K11" s="16">
        <v>0</v>
      </c>
      <c r="L11" s="17">
        <v>0</v>
      </c>
      <c r="M11" s="16">
        <v>0</v>
      </c>
      <c r="N11" s="17">
        <v>0</v>
      </c>
      <c r="O11" s="16">
        <v>0</v>
      </c>
      <c r="P11" s="17">
        <v>0</v>
      </c>
      <c r="Q11" s="16">
        <v>0</v>
      </c>
      <c r="R11" s="17">
        <v>0</v>
      </c>
      <c r="S11" s="16">
        <v>0</v>
      </c>
      <c r="T11" s="17">
        <v>0</v>
      </c>
      <c r="U11" s="16">
        <v>0</v>
      </c>
      <c r="V11" s="17">
        <v>0</v>
      </c>
      <c r="W11" s="16">
        <v>0</v>
      </c>
      <c r="X11" s="17">
        <v>0</v>
      </c>
    </row>
    <row r="12" spans="1:44" s="37" customFormat="1" ht="16.5" customHeight="1" x14ac:dyDescent="0.2">
      <c r="A12" s="94"/>
      <c r="B12" s="15" t="s">
        <v>61</v>
      </c>
      <c r="C12" s="16">
        <v>312.26</v>
      </c>
      <c r="D12" s="17">
        <v>601.14</v>
      </c>
      <c r="E12" s="16">
        <v>977.37</v>
      </c>
      <c r="F12" s="17">
        <v>1323.6</v>
      </c>
      <c r="G12" s="16">
        <v>1656.16</v>
      </c>
      <c r="H12" s="17">
        <v>1975.32</v>
      </c>
      <c r="I12" s="16">
        <v>2288.36</v>
      </c>
      <c r="J12" s="17">
        <v>2587.9499999999998</v>
      </c>
      <c r="K12" s="16">
        <v>2881.12</v>
      </c>
      <c r="L12" s="17">
        <v>3166.67</v>
      </c>
      <c r="M12" s="16">
        <v>3446.18</v>
      </c>
      <c r="N12" s="17">
        <v>3723.38</v>
      </c>
      <c r="O12" s="16">
        <v>3980.08</v>
      </c>
      <c r="P12" s="17">
        <v>4212.34</v>
      </c>
      <c r="Q12" s="16">
        <v>4435.8900000000003</v>
      </c>
      <c r="R12" s="17">
        <v>4651.38</v>
      </c>
      <c r="S12" s="16">
        <v>4860.53</v>
      </c>
      <c r="T12" s="17">
        <v>5065.55</v>
      </c>
      <c r="U12" s="16">
        <v>5261.95</v>
      </c>
      <c r="V12" s="17">
        <v>5452.1</v>
      </c>
      <c r="W12" s="16">
        <v>5592.66</v>
      </c>
      <c r="X12" s="17">
        <v>5774.18</v>
      </c>
    </row>
    <row r="13" spans="1:44" s="37" customFormat="1" ht="16.5" customHeight="1" x14ac:dyDescent="0.2">
      <c r="A13" s="94"/>
      <c r="B13" s="15" t="s">
        <v>41</v>
      </c>
      <c r="C13" s="16">
        <v>7324</v>
      </c>
      <c r="D13" s="17">
        <v>8264</v>
      </c>
      <c r="E13" s="16">
        <v>9186</v>
      </c>
      <c r="F13" s="17">
        <v>10082</v>
      </c>
      <c r="G13" s="16">
        <v>10958</v>
      </c>
      <c r="H13" s="17">
        <v>11817</v>
      </c>
      <c r="I13" s="16">
        <v>12651</v>
      </c>
      <c r="J13" s="17">
        <v>13459</v>
      </c>
      <c r="K13" s="16">
        <v>14248</v>
      </c>
      <c r="L13" s="17">
        <v>15010</v>
      </c>
      <c r="M13" s="16">
        <v>15739</v>
      </c>
      <c r="N13" s="17">
        <v>16439</v>
      </c>
      <c r="O13" s="16">
        <v>17092</v>
      </c>
      <c r="P13" s="17">
        <v>17701</v>
      </c>
      <c r="Q13" s="16">
        <v>18245</v>
      </c>
      <c r="R13" s="17">
        <v>18744</v>
      </c>
      <c r="S13" s="16">
        <v>19214</v>
      </c>
      <c r="T13" s="17">
        <v>19655</v>
      </c>
      <c r="U13" s="16">
        <v>20058</v>
      </c>
      <c r="V13" s="17">
        <v>20386</v>
      </c>
      <c r="W13" s="16">
        <v>20724</v>
      </c>
      <c r="X13" s="17">
        <v>21018</v>
      </c>
    </row>
    <row r="14" spans="1:44" s="37" customFormat="1" ht="16.5" customHeight="1" x14ac:dyDescent="0.2">
      <c r="A14" s="94"/>
      <c r="B14" s="23" t="s">
        <v>19</v>
      </c>
      <c r="C14" s="24">
        <f>SUM(C3:C13)</f>
        <v>57823.360000000008</v>
      </c>
      <c r="D14" s="25">
        <f t="shared" ref="D14:X14" si="0">SUM(D3:D13)</f>
        <v>61567.300654490005</v>
      </c>
      <c r="E14" s="24">
        <f t="shared" si="0"/>
        <v>63365.530654490009</v>
      </c>
      <c r="F14" s="25">
        <f t="shared" si="0"/>
        <v>64794.622482410006</v>
      </c>
      <c r="G14" s="24">
        <f t="shared" si="0"/>
        <v>65749.842506410001</v>
      </c>
      <c r="H14" s="25">
        <f t="shared" si="0"/>
        <v>68405.002506410005</v>
      </c>
      <c r="I14" s="24">
        <f t="shared" si="0"/>
        <v>71328.069225030005</v>
      </c>
      <c r="J14" s="25">
        <f t="shared" si="0"/>
        <v>73474.629863170005</v>
      </c>
      <c r="K14" s="24">
        <f t="shared" si="0"/>
        <v>75498.149613610003</v>
      </c>
      <c r="L14" s="25">
        <f t="shared" si="0"/>
        <v>77379.279421729996</v>
      </c>
      <c r="M14" s="24">
        <f t="shared" si="0"/>
        <v>78112.987528009995</v>
      </c>
      <c r="N14" s="25">
        <f t="shared" si="0"/>
        <v>79454.37433993</v>
      </c>
      <c r="O14" s="24">
        <f t="shared" si="0"/>
        <v>80364.074339929997</v>
      </c>
      <c r="P14" s="25">
        <f t="shared" si="0"/>
        <v>81107.187179320012</v>
      </c>
      <c r="Q14" s="24">
        <f t="shared" si="0"/>
        <v>85021.432008160002</v>
      </c>
      <c r="R14" s="25">
        <f t="shared" si="0"/>
        <v>86314.638113320005</v>
      </c>
      <c r="S14" s="24">
        <f t="shared" si="0"/>
        <v>90323.047834319994</v>
      </c>
      <c r="T14" s="25">
        <f t="shared" si="0"/>
        <v>97319.310317249998</v>
      </c>
      <c r="U14" s="24">
        <f t="shared" si="0"/>
        <v>103964.95636919</v>
      </c>
      <c r="V14" s="25">
        <f t="shared" si="0"/>
        <v>106202.31746617</v>
      </c>
      <c r="W14" s="24">
        <f t="shared" si="0"/>
        <v>108882.40426162998</v>
      </c>
      <c r="X14" s="25">
        <f t="shared" si="0"/>
        <v>110527.33777315999</v>
      </c>
    </row>
    <row r="15" spans="1:44" s="37" customFormat="1" ht="16.5" customHeight="1" x14ac:dyDescent="0.2">
      <c r="B15" s="38"/>
      <c r="C15" s="38"/>
      <c r="D15" s="38"/>
      <c r="E15" s="38"/>
      <c r="F15" s="38"/>
      <c r="G15" s="38"/>
      <c r="H15" s="38"/>
      <c r="I15" s="38"/>
      <c r="J15" s="38"/>
      <c r="K15" s="38"/>
      <c r="L15" s="38"/>
      <c r="M15" s="38"/>
      <c r="N15" s="38"/>
      <c r="O15" s="38"/>
      <c r="P15" s="38"/>
      <c r="Q15" s="38"/>
      <c r="R15" s="38"/>
      <c r="S15" s="38"/>
      <c r="T15" s="38"/>
      <c r="U15" s="38"/>
      <c r="AP15" s="38"/>
      <c r="AQ15" s="38"/>
      <c r="AR15" s="38"/>
    </row>
    <row r="16" spans="1:44" s="37" customFormat="1" ht="16.5" customHeight="1" x14ac:dyDescent="0.2">
      <c r="AP16" s="38"/>
      <c r="AQ16" s="38"/>
      <c r="AR16" s="38"/>
    </row>
    <row r="17" spans="1:44" ht="16.5" customHeight="1" x14ac:dyDescent="0.2">
      <c r="C17" s="39"/>
      <c r="D17" s="39"/>
      <c r="E17" s="39"/>
      <c r="F17" s="39"/>
      <c r="G17" s="39"/>
      <c r="H17" s="39"/>
      <c r="I17" s="39"/>
      <c r="J17" s="39"/>
      <c r="K17" s="39"/>
      <c r="L17" s="39"/>
      <c r="M17" s="39"/>
      <c r="N17" s="39"/>
      <c r="O17" s="39"/>
      <c r="P17" s="39"/>
      <c r="Q17" s="39"/>
      <c r="R17" s="39"/>
      <c r="S17" s="39"/>
      <c r="T17" s="39"/>
      <c r="U17" s="39"/>
      <c r="V17" s="39"/>
      <c r="W17" s="39"/>
      <c r="X17" s="39"/>
      <c r="AP17" s="39"/>
      <c r="AQ17" s="39"/>
      <c r="AR17" s="39"/>
    </row>
    <row r="18" spans="1:44" ht="16.5" customHeight="1" x14ac:dyDescent="0.2">
      <c r="A18" s="30" t="s">
        <v>34</v>
      </c>
      <c r="B18" s="11" t="s">
        <v>20</v>
      </c>
      <c r="C18" s="35" t="s">
        <v>0</v>
      </c>
      <c r="D18" s="36" t="s">
        <v>1</v>
      </c>
      <c r="E18" s="35" t="s">
        <v>2</v>
      </c>
      <c r="F18" s="36" t="s">
        <v>3</v>
      </c>
      <c r="G18" s="35" t="s">
        <v>4</v>
      </c>
      <c r="H18" s="36" t="s">
        <v>5</v>
      </c>
      <c r="I18" s="35" t="s">
        <v>6</v>
      </c>
      <c r="J18" s="36" t="s">
        <v>7</v>
      </c>
      <c r="K18" s="35" t="s">
        <v>8</v>
      </c>
      <c r="L18" s="36" t="s">
        <v>9</v>
      </c>
      <c r="M18" s="35" t="s">
        <v>10</v>
      </c>
      <c r="N18" s="36" t="s">
        <v>11</v>
      </c>
      <c r="O18" s="35" t="s">
        <v>12</v>
      </c>
      <c r="P18" s="36" t="s">
        <v>13</v>
      </c>
      <c r="Q18" s="35" t="s">
        <v>14</v>
      </c>
      <c r="R18" s="36" t="s">
        <v>15</v>
      </c>
      <c r="S18" s="35" t="s">
        <v>16</v>
      </c>
      <c r="T18" s="36" t="s">
        <v>45</v>
      </c>
      <c r="U18" s="35" t="s">
        <v>62</v>
      </c>
      <c r="V18" s="36" t="s">
        <v>63</v>
      </c>
      <c r="W18" s="35" t="s">
        <v>64</v>
      </c>
      <c r="X18" s="36" t="s">
        <v>65</v>
      </c>
    </row>
    <row r="19" spans="1:44" ht="16.5" customHeight="1" x14ac:dyDescent="0.2">
      <c r="A19" s="94" t="s">
        <v>35</v>
      </c>
      <c r="B19" s="15" t="s">
        <v>55</v>
      </c>
      <c r="C19" s="16">
        <v>10040</v>
      </c>
      <c r="D19" s="17">
        <v>10040</v>
      </c>
      <c r="E19" s="16">
        <v>10040</v>
      </c>
      <c r="F19" s="17">
        <v>10040</v>
      </c>
      <c r="G19" s="16">
        <v>8240</v>
      </c>
      <c r="H19" s="17">
        <v>8240</v>
      </c>
      <c r="I19" s="16">
        <v>8240</v>
      </c>
      <c r="J19" s="17">
        <v>8240</v>
      </c>
      <c r="K19" s="16">
        <v>8240</v>
      </c>
      <c r="L19" s="17">
        <v>8240</v>
      </c>
      <c r="M19" s="16">
        <v>6920</v>
      </c>
      <c r="N19" s="17">
        <v>6920</v>
      </c>
      <c r="O19" s="16">
        <v>6920</v>
      </c>
      <c r="P19" s="17">
        <v>6920</v>
      </c>
      <c r="Q19" s="16">
        <v>6920</v>
      </c>
      <c r="R19" s="17">
        <v>6920</v>
      </c>
      <c r="S19" s="16">
        <v>4040</v>
      </c>
      <c r="T19" s="17">
        <v>1400</v>
      </c>
      <c r="U19" s="16">
        <v>1400</v>
      </c>
      <c r="V19" s="17">
        <v>1400</v>
      </c>
      <c r="W19" s="16">
        <v>1400</v>
      </c>
      <c r="X19" s="17">
        <v>1400</v>
      </c>
    </row>
    <row r="20" spans="1:44" ht="16.5" customHeight="1" x14ac:dyDescent="0.2">
      <c r="A20" s="94"/>
      <c r="B20" s="15" t="s">
        <v>56</v>
      </c>
      <c r="C20" s="16">
        <v>0</v>
      </c>
      <c r="D20" s="17">
        <v>0</v>
      </c>
      <c r="E20" s="16">
        <v>0</v>
      </c>
      <c r="F20" s="17">
        <v>0</v>
      </c>
      <c r="G20" s="16">
        <v>0</v>
      </c>
      <c r="H20" s="17">
        <v>0</v>
      </c>
      <c r="I20" s="16">
        <v>0</v>
      </c>
      <c r="J20" s="17">
        <v>0</v>
      </c>
      <c r="K20" s="16">
        <v>0</v>
      </c>
      <c r="L20" s="17">
        <v>0</v>
      </c>
      <c r="M20" s="16">
        <v>0</v>
      </c>
      <c r="N20" s="17">
        <v>0</v>
      </c>
      <c r="O20" s="16">
        <v>0</v>
      </c>
      <c r="P20" s="17">
        <v>0</v>
      </c>
      <c r="Q20" s="16">
        <v>0</v>
      </c>
      <c r="R20" s="17">
        <v>0</v>
      </c>
      <c r="S20" s="16">
        <v>0</v>
      </c>
      <c r="T20" s="17">
        <v>0</v>
      </c>
      <c r="U20" s="16">
        <v>0</v>
      </c>
      <c r="V20" s="17">
        <v>0</v>
      </c>
      <c r="W20" s="16">
        <v>0</v>
      </c>
      <c r="X20" s="17">
        <v>0</v>
      </c>
    </row>
    <row r="21" spans="1:44" ht="16.5" customHeight="1" x14ac:dyDescent="0.2">
      <c r="A21" s="94"/>
      <c r="B21" s="15" t="s">
        <v>17</v>
      </c>
      <c r="C21" s="16">
        <v>822</v>
      </c>
      <c r="D21" s="17">
        <v>822</v>
      </c>
      <c r="E21" s="16">
        <v>822</v>
      </c>
      <c r="F21" s="17">
        <v>822</v>
      </c>
      <c r="G21" s="16">
        <v>822</v>
      </c>
      <c r="H21" s="17">
        <v>822</v>
      </c>
      <c r="I21" s="16">
        <v>822</v>
      </c>
      <c r="J21" s="17">
        <v>822</v>
      </c>
      <c r="K21" s="16">
        <v>822</v>
      </c>
      <c r="L21" s="17">
        <v>822</v>
      </c>
      <c r="M21" s="16">
        <v>822</v>
      </c>
      <c r="N21" s="17">
        <v>822</v>
      </c>
      <c r="O21" s="16">
        <v>822</v>
      </c>
      <c r="P21" s="17">
        <v>822</v>
      </c>
      <c r="Q21" s="16">
        <v>822</v>
      </c>
      <c r="R21" s="17">
        <v>822</v>
      </c>
      <c r="S21" s="16">
        <v>822</v>
      </c>
      <c r="T21" s="17">
        <v>822</v>
      </c>
      <c r="U21" s="16">
        <v>822</v>
      </c>
      <c r="V21" s="17">
        <v>822</v>
      </c>
      <c r="W21" s="16">
        <v>822</v>
      </c>
      <c r="X21" s="17">
        <v>822</v>
      </c>
    </row>
    <row r="22" spans="1:44" ht="16.5" customHeight="1" x14ac:dyDescent="0.2">
      <c r="A22" s="94"/>
      <c r="B22" s="15" t="s">
        <v>44</v>
      </c>
      <c r="C22" s="16">
        <v>618</v>
      </c>
      <c r="D22" s="17">
        <v>618</v>
      </c>
      <c r="E22" s="16">
        <v>618</v>
      </c>
      <c r="F22" s="17">
        <v>618</v>
      </c>
      <c r="G22" s="16">
        <v>618</v>
      </c>
      <c r="H22" s="17">
        <v>618</v>
      </c>
      <c r="I22" s="16">
        <v>618</v>
      </c>
      <c r="J22" s="17">
        <v>618</v>
      </c>
      <c r="K22" s="16">
        <v>618</v>
      </c>
      <c r="L22" s="17">
        <v>618</v>
      </c>
      <c r="M22" s="16">
        <v>618</v>
      </c>
      <c r="N22" s="17">
        <v>618</v>
      </c>
      <c r="O22" s="16">
        <v>618</v>
      </c>
      <c r="P22" s="17">
        <v>618</v>
      </c>
      <c r="Q22" s="16">
        <v>618</v>
      </c>
      <c r="R22" s="17">
        <v>618</v>
      </c>
      <c r="S22" s="16">
        <v>618</v>
      </c>
      <c r="T22" s="17">
        <v>618</v>
      </c>
      <c r="U22" s="16">
        <v>618</v>
      </c>
      <c r="V22" s="17">
        <v>618</v>
      </c>
      <c r="W22" s="16">
        <v>618</v>
      </c>
      <c r="X22" s="17">
        <v>618</v>
      </c>
    </row>
    <row r="23" spans="1:44" ht="16.5" customHeight="1" x14ac:dyDescent="0.2">
      <c r="A23" s="94"/>
      <c r="B23" s="15" t="s">
        <v>57</v>
      </c>
      <c r="C23" s="16">
        <v>1438</v>
      </c>
      <c r="D23" s="17">
        <v>1438</v>
      </c>
      <c r="E23" s="16">
        <v>1438</v>
      </c>
      <c r="F23" s="17">
        <v>1438</v>
      </c>
      <c r="G23" s="16">
        <v>1739.093572</v>
      </c>
      <c r="H23" s="17">
        <v>1739.093572</v>
      </c>
      <c r="I23" s="16">
        <v>1739.093572</v>
      </c>
      <c r="J23" s="17">
        <v>1739.093572</v>
      </c>
      <c r="K23" s="16">
        <v>1739.093572</v>
      </c>
      <c r="L23" s="17">
        <v>1739.093572</v>
      </c>
      <c r="M23" s="16">
        <v>1739.093572</v>
      </c>
      <c r="N23" s="17">
        <v>1739.093572</v>
      </c>
      <c r="O23" s="16">
        <v>1739.093572</v>
      </c>
      <c r="P23" s="17">
        <v>1739.093572</v>
      </c>
      <c r="Q23" s="16">
        <v>1739.093572</v>
      </c>
      <c r="R23" s="17">
        <v>1739.093572</v>
      </c>
      <c r="S23" s="16">
        <v>1739.093572</v>
      </c>
      <c r="T23" s="17">
        <v>1739.093572</v>
      </c>
      <c r="U23" s="16">
        <v>1739.093572</v>
      </c>
      <c r="V23" s="17">
        <v>1739.093572</v>
      </c>
      <c r="W23" s="16">
        <v>1739.093572</v>
      </c>
      <c r="X23" s="17">
        <v>1739.093572</v>
      </c>
    </row>
    <row r="24" spans="1:44" ht="16.5" customHeight="1" x14ac:dyDescent="0.2">
      <c r="A24" s="94"/>
      <c r="B24" s="15" t="s">
        <v>18</v>
      </c>
      <c r="C24" s="16">
        <v>1301.0999999999999</v>
      </c>
      <c r="D24" s="17">
        <v>1500.1</v>
      </c>
      <c r="E24" s="16">
        <v>1500.1</v>
      </c>
      <c r="F24" s="17">
        <v>1500.1</v>
      </c>
      <c r="G24" s="16">
        <v>1500.1</v>
      </c>
      <c r="H24" s="17">
        <v>1500.1</v>
      </c>
      <c r="I24" s="16">
        <v>1500.1</v>
      </c>
      <c r="J24" s="17">
        <v>1500.1</v>
      </c>
      <c r="K24" s="16">
        <v>1500.1</v>
      </c>
      <c r="L24" s="17">
        <v>1500.1</v>
      </c>
      <c r="M24" s="16">
        <v>1500.1</v>
      </c>
      <c r="N24" s="17">
        <v>1500.1</v>
      </c>
      <c r="O24" s="16">
        <v>1500.1</v>
      </c>
      <c r="P24" s="17">
        <v>1500.1</v>
      </c>
      <c r="Q24" s="16">
        <v>1500.1</v>
      </c>
      <c r="R24" s="17">
        <v>1500.1</v>
      </c>
      <c r="S24" s="16">
        <v>2075.1</v>
      </c>
      <c r="T24" s="17">
        <v>2940.1819898599997</v>
      </c>
      <c r="U24" s="16">
        <v>3810.1</v>
      </c>
      <c r="V24" s="17">
        <v>3810.1</v>
      </c>
      <c r="W24" s="16">
        <v>3810.1</v>
      </c>
      <c r="X24" s="17">
        <v>3810.1</v>
      </c>
    </row>
    <row r="25" spans="1:44" ht="16.5" customHeight="1" x14ac:dyDescent="0.2">
      <c r="A25" s="94"/>
      <c r="B25" s="15" t="s">
        <v>58</v>
      </c>
      <c r="C25" s="16">
        <v>345.9</v>
      </c>
      <c r="D25" s="17">
        <v>688.51982389</v>
      </c>
      <c r="E25" s="16">
        <v>688.51982389</v>
      </c>
      <c r="F25" s="17">
        <v>688.51982389</v>
      </c>
      <c r="G25" s="16">
        <v>1296.4107149399999</v>
      </c>
      <c r="H25" s="17">
        <v>1296.4107149399999</v>
      </c>
      <c r="I25" s="16">
        <v>1296.4107149399999</v>
      </c>
      <c r="J25" s="17">
        <v>1296.4107149399999</v>
      </c>
      <c r="K25" s="16">
        <v>1296.4107149399999</v>
      </c>
      <c r="L25" s="17">
        <v>1296.4107149399999</v>
      </c>
      <c r="M25" s="16">
        <v>1296.4107149399999</v>
      </c>
      <c r="N25" s="17">
        <v>2081.82952725</v>
      </c>
      <c r="O25" s="16">
        <v>2081.82952725</v>
      </c>
      <c r="P25" s="17">
        <v>2385.29425464</v>
      </c>
      <c r="Q25" s="16">
        <v>3995.9</v>
      </c>
      <c r="R25" s="17">
        <v>4362.3656634700001</v>
      </c>
      <c r="S25" s="16">
        <v>6334.4447256700005</v>
      </c>
      <c r="T25" s="17">
        <v>11089.354508169999</v>
      </c>
      <c r="U25" s="16">
        <v>11595.899999990001</v>
      </c>
      <c r="V25" s="17">
        <v>11595.899999990001</v>
      </c>
      <c r="W25" s="16">
        <v>12240.39352265</v>
      </c>
      <c r="X25" s="17">
        <v>12427.58816617</v>
      </c>
    </row>
    <row r="26" spans="1:44" ht="16.5" customHeight="1" x14ac:dyDescent="0.2">
      <c r="A26" s="94"/>
      <c r="B26" s="15" t="s">
        <v>59</v>
      </c>
      <c r="C26" s="16">
        <v>2040</v>
      </c>
      <c r="D26" s="17">
        <v>2040</v>
      </c>
      <c r="E26" s="16">
        <v>2040</v>
      </c>
      <c r="F26" s="17">
        <v>2040</v>
      </c>
      <c r="G26" s="16">
        <v>2040</v>
      </c>
      <c r="H26" s="17">
        <v>2040</v>
      </c>
      <c r="I26" s="16">
        <v>4040</v>
      </c>
      <c r="J26" s="17">
        <v>4040</v>
      </c>
      <c r="K26" s="16">
        <v>4040</v>
      </c>
      <c r="L26" s="17">
        <v>4040</v>
      </c>
      <c r="M26" s="16">
        <v>4040</v>
      </c>
      <c r="N26" s="17">
        <v>4040</v>
      </c>
      <c r="O26" s="16">
        <v>4040</v>
      </c>
      <c r="P26" s="17">
        <v>4040</v>
      </c>
      <c r="Q26" s="16">
        <v>4040</v>
      </c>
      <c r="R26" s="17">
        <v>4040</v>
      </c>
      <c r="S26" s="16">
        <v>4821.8760220000004</v>
      </c>
      <c r="T26" s="17">
        <v>7445.3910319999995</v>
      </c>
      <c r="U26" s="16">
        <v>7445.3910319999995</v>
      </c>
      <c r="V26" s="17">
        <v>7581.7821430000004</v>
      </c>
      <c r="W26" s="16">
        <v>8026.4178649999994</v>
      </c>
      <c r="X26" s="17">
        <v>8289.3600150000002</v>
      </c>
    </row>
    <row r="27" spans="1:44" ht="16.5" customHeight="1" x14ac:dyDescent="0.2">
      <c r="A27" s="94"/>
      <c r="B27" s="15" t="s">
        <v>60</v>
      </c>
      <c r="C27" s="16">
        <v>0</v>
      </c>
      <c r="D27" s="17">
        <v>0</v>
      </c>
      <c r="E27" s="16">
        <v>0</v>
      </c>
      <c r="F27" s="17">
        <v>0</v>
      </c>
      <c r="G27" s="16">
        <v>0</v>
      </c>
      <c r="H27" s="17">
        <v>0</v>
      </c>
      <c r="I27" s="16">
        <v>0</v>
      </c>
      <c r="J27" s="17">
        <v>0</v>
      </c>
      <c r="K27" s="16">
        <v>0</v>
      </c>
      <c r="L27" s="17">
        <v>0</v>
      </c>
      <c r="M27" s="16">
        <v>0</v>
      </c>
      <c r="N27" s="17">
        <v>0</v>
      </c>
      <c r="O27" s="16">
        <v>0</v>
      </c>
      <c r="P27" s="17">
        <v>0</v>
      </c>
      <c r="Q27" s="16">
        <v>0</v>
      </c>
      <c r="R27" s="17">
        <v>0</v>
      </c>
      <c r="S27" s="16">
        <v>0</v>
      </c>
      <c r="T27" s="17">
        <v>0</v>
      </c>
      <c r="U27" s="16">
        <v>0</v>
      </c>
      <c r="V27" s="17">
        <v>0</v>
      </c>
      <c r="W27" s="16">
        <v>0</v>
      </c>
      <c r="X27" s="17">
        <v>0</v>
      </c>
    </row>
    <row r="28" spans="1:44" ht="16.5" customHeight="1" x14ac:dyDescent="0.2">
      <c r="A28" s="94"/>
      <c r="B28" s="15" t="s">
        <v>61</v>
      </c>
      <c r="C28" s="16">
        <v>132.4</v>
      </c>
      <c r="D28" s="17">
        <v>251.09</v>
      </c>
      <c r="E28" s="16">
        <v>408.31</v>
      </c>
      <c r="F28" s="17">
        <v>564.98</v>
      </c>
      <c r="G28" s="16">
        <v>720.25</v>
      </c>
      <c r="H28" s="17">
        <v>876.43</v>
      </c>
      <c r="I28" s="16">
        <v>1030.74</v>
      </c>
      <c r="J28" s="17">
        <v>1179.27</v>
      </c>
      <c r="K28" s="16">
        <v>1324.4</v>
      </c>
      <c r="L28" s="17">
        <v>1465.4</v>
      </c>
      <c r="M28" s="16">
        <v>1602.21</v>
      </c>
      <c r="N28" s="17">
        <v>1736.65</v>
      </c>
      <c r="O28" s="16">
        <v>1851.52</v>
      </c>
      <c r="P28" s="17">
        <v>1943.84</v>
      </c>
      <c r="Q28" s="16">
        <v>2031.79</v>
      </c>
      <c r="R28" s="17">
        <v>2121.0100000000002</v>
      </c>
      <c r="S28" s="16">
        <v>2209.36</v>
      </c>
      <c r="T28" s="17">
        <v>2299.16</v>
      </c>
      <c r="U28" s="16">
        <v>2387.54</v>
      </c>
      <c r="V28" s="17">
        <v>2474.54</v>
      </c>
      <c r="W28" s="16">
        <v>2518.3200000000002</v>
      </c>
      <c r="X28" s="17">
        <v>2606.6</v>
      </c>
    </row>
    <row r="29" spans="1:44" ht="16.5" customHeight="1" x14ac:dyDescent="0.2">
      <c r="A29" s="94"/>
      <c r="B29" s="15" t="s">
        <v>41</v>
      </c>
      <c r="C29" s="16">
        <v>2129</v>
      </c>
      <c r="D29" s="17">
        <v>2488</v>
      </c>
      <c r="E29" s="16">
        <v>2848</v>
      </c>
      <c r="F29" s="17">
        <v>3206</v>
      </c>
      <c r="G29" s="16">
        <v>3567</v>
      </c>
      <c r="H29" s="17">
        <v>3923</v>
      </c>
      <c r="I29" s="16">
        <v>4267</v>
      </c>
      <c r="J29" s="17">
        <v>4603</v>
      </c>
      <c r="K29" s="16">
        <v>4936</v>
      </c>
      <c r="L29" s="17">
        <v>5263</v>
      </c>
      <c r="M29" s="16">
        <v>5577</v>
      </c>
      <c r="N29" s="17">
        <v>5872</v>
      </c>
      <c r="O29" s="16">
        <v>6142</v>
      </c>
      <c r="P29" s="17">
        <v>6401</v>
      </c>
      <c r="Q29" s="16">
        <v>6628</v>
      </c>
      <c r="R29" s="17">
        <v>6829</v>
      </c>
      <c r="S29" s="16">
        <v>7022</v>
      </c>
      <c r="T29" s="17">
        <v>7208</v>
      </c>
      <c r="U29" s="16">
        <v>7382</v>
      </c>
      <c r="V29" s="17">
        <v>7508</v>
      </c>
      <c r="W29" s="16">
        <v>7658</v>
      </c>
      <c r="X29" s="17">
        <v>7783</v>
      </c>
    </row>
    <row r="30" spans="1:44" ht="16.5" customHeight="1" x14ac:dyDescent="0.2">
      <c r="A30" s="95" t="s">
        <v>36</v>
      </c>
      <c r="B30" s="32" t="s">
        <v>55</v>
      </c>
      <c r="C30" s="40">
        <v>8179</v>
      </c>
      <c r="D30" s="41">
        <v>8179</v>
      </c>
      <c r="E30" s="40">
        <v>8179</v>
      </c>
      <c r="F30" s="41">
        <v>8179</v>
      </c>
      <c r="G30" s="40">
        <v>8179</v>
      </c>
      <c r="H30" s="41">
        <v>8179</v>
      </c>
      <c r="I30" s="40">
        <v>8179</v>
      </c>
      <c r="J30" s="41">
        <v>8179</v>
      </c>
      <c r="K30" s="40">
        <v>8179</v>
      </c>
      <c r="L30" s="41">
        <v>8179</v>
      </c>
      <c r="M30" s="40">
        <v>8179</v>
      </c>
      <c r="N30" s="41">
        <v>6499</v>
      </c>
      <c r="O30" s="40">
        <v>6499</v>
      </c>
      <c r="P30" s="41">
        <v>6499</v>
      </c>
      <c r="Q30" s="40">
        <v>6499</v>
      </c>
      <c r="R30" s="41">
        <v>6499</v>
      </c>
      <c r="S30" s="40">
        <v>6499</v>
      </c>
      <c r="T30" s="41">
        <v>6499</v>
      </c>
      <c r="U30" s="40">
        <v>5099</v>
      </c>
      <c r="V30" s="41">
        <v>5099</v>
      </c>
      <c r="W30" s="40">
        <v>4399</v>
      </c>
      <c r="X30" s="41">
        <v>4399</v>
      </c>
    </row>
    <row r="31" spans="1:44" ht="16.5" customHeight="1" x14ac:dyDescent="0.2">
      <c r="A31" s="95"/>
      <c r="B31" s="32" t="s">
        <v>56</v>
      </c>
      <c r="C31" s="40">
        <v>0</v>
      </c>
      <c r="D31" s="41">
        <v>0</v>
      </c>
      <c r="E31" s="40">
        <v>0</v>
      </c>
      <c r="F31" s="41">
        <v>0</v>
      </c>
      <c r="G31" s="40">
        <v>0</v>
      </c>
      <c r="H31" s="41">
        <v>0</v>
      </c>
      <c r="I31" s="40">
        <v>0</v>
      </c>
      <c r="J31" s="41">
        <v>0</v>
      </c>
      <c r="K31" s="40">
        <v>0</v>
      </c>
      <c r="L31" s="41">
        <v>0</v>
      </c>
      <c r="M31" s="40">
        <v>0</v>
      </c>
      <c r="N31" s="41">
        <v>0</v>
      </c>
      <c r="O31" s="40">
        <v>0</v>
      </c>
      <c r="P31" s="41">
        <v>0</v>
      </c>
      <c r="Q31" s="40">
        <v>0</v>
      </c>
      <c r="R31" s="41">
        <v>0</v>
      </c>
      <c r="S31" s="40">
        <v>0</v>
      </c>
      <c r="T31" s="41">
        <v>0</v>
      </c>
      <c r="U31" s="40">
        <v>0</v>
      </c>
      <c r="V31" s="41">
        <v>0</v>
      </c>
      <c r="W31" s="40">
        <v>0</v>
      </c>
      <c r="X31" s="41">
        <v>0</v>
      </c>
    </row>
    <row r="32" spans="1:44" ht="16.5" customHeight="1" x14ac:dyDescent="0.2">
      <c r="A32" s="95"/>
      <c r="B32" s="32" t="s">
        <v>17</v>
      </c>
      <c r="C32" s="40">
        <v>152.4</v>
      </c>
      <c r="D32" s="41">
        <v>152.4</v>
      </c>
      <c r="E32" s="40">
        <v>152.4</v>
      </c>
      <c r="F32" s="41">
        <v>152.4</v>
      </c>
      <c r="G32" s="40">
        <v>152.4</v>
      </c>
      <c r="H32" s="41">
        <v>152.4</v>
      </c>
      <c r="I32" s="40">
        <v>152.4</v>
      </c>
      <c r="J32" s="41">
        <v>152.4</v>
      </c>
      <c r="K32" s="40">
        <v>152.4</v>
      </c>
      <c r="L32" s="41">
        <v>152.4</v>
      </c>
      <c r="M32" s="40">
        <v>152.4</v>
      </c>
      <c r="N32" s="41">
        <v>152.4</v>
      </c>
      <c r="O32" s="40">
        <v>152.4</v>
      </c>
      <c r="P32" s="41">
        <v>152.4</v>
      </c>
      <c r="Q32" s="40">
        <v>152.4</v>
      </c>
      <c r="R32" s="41">
        <v>152.4</v>
      </c>
      <c r="S32" s="40">
        <v>152.4</v>
      </c>
      <c r="T32" s="41">
        <v>152.4</v>
      </c>
      <c r="U32" s="40">
        <v>152.4</v>
      </c>
      <c r="V32" s="41">
        <v>152.4</v>
      </c>
      <c r="W32" s="40">
        <v>152.4</v>
      </c>
      <c r="X32" s="41">
        <v>152.4</v>
      </c>
    </row>
    <row r="33" spans="1:24" ht="16.5" customHeight="1" x14ac:dyDescent="0.2">
      <c r="A33" s="95"/>
      <c r="B33" s="32" t="s">
        <v>44</v>
      </c>
      <c r="C33" s="40">
        <v>1521</v>
      </c>
      <c r="D33" s="41">
        <v>1521</v>
      </c>
      <c r="E33" s="40">
        <v>1521</v>
      </c>
      <c r="F33" s="41">
        <v>1521</v>
      </c>
      <c r="G33" s="40">
        <v>1521</v>
      </c>
      <c r="H33" s="41">
        <v>1521</v>
      </c>
      <c r="I33" s="40">
        <v>1521</v>
      </c>
      <c r="J33" s="41">
        <v>1521</v>
      </c>
      <c r="K33" s="40">
        <v>1521</v>
      </c>
      <c r="L33" s="41">
        <v>1521</v>
      </c>
      <c r="M33" s="40">
        <v>1521</v>
      </c>
      <c r="N33" s="41">
        <v>1521</v>
      </c>
      <c r="O33" s="40">
        <v>1521</v>
      </c>
      <c r="P33" s="41">
        <v>1521</v>
      </c>
      <c r="Q33" s="40">
        <v>1521</v>
      </c>
      <c r="R33" s="41">
        <v>1521</v>
      </c>
      <c r="S33" s="40">
        <v>1521</v>
      </c>
      <c r="T33" s="41">
        <v>1521</v>
      </c>
      <c r="U33" s="40">
        <v>1521</v>
      </c>
      <c r="V33" s="41">
        <v>1521</v>
      </c>
      <c r="W33" s="40">
        <v>1521</v>
      </c>
      <c r="X33" s="41">
        <v>1521</v>
      </c>
    </row>
    <row r="34" spans="1:24" ht="16.5" customHeight="1" x14ac:dyDescent="0.2">
      <c r="A34" s="95"/>
      <c r="B34" s="32" t="s">
        <v>57</v>
      </c>
      <c r="C34" s="40">
        <v>1931.5</v>
      </c>
      <c r="D34" s="41">
        <v>1931.5</v>
      </c>
      <c r="E34" s="40">
        <v>1931.5</v>
      </c>
      <c r="F34" s="41">
        <v>1897.5</v>
      </c>
      <c r="G34" s="40">
        <v>1897.5</v>
      </c>
      <c r="H34" s="41">
        <v>1897.5</v>
      </c>
      <c r="I34" s="40">
        <v>1897.5</v>
      </c>
      <c r="J34" s="41">
        <v>1897.5</v>
      </c>
      <c r="K34" s="40">
        <v>1897.5</v>
      </c>
      <c r="L34" s="41">
        <v>1897.5</v>
      </c>
      <c r="M34" s="40">
        <v>1897.5</v>
      </c>
      <c r="N34" s="41">
        <v>1897.5</v>
      </c>
      <c r="O34" s="40">
        <v>1897.5</v>
      </c>
      <c r="P34" s="41">
        <v>1897.5</v>
      </c>
      <c r="Q34" s="40">
        <v>1897.5</v>
      </c>
      <c r="R34" s="41">
        <v>1897.5</v>
      </c>
      <c r="S34" s="40">
        <v>1897.5</v>
      </c>
      <c r="T34" s="41">
        <v>1897.5</v>
      </c>
      <c r="U34" s="40">
        <v>1897.5</v>
      </c>
      <c r="V34" s="41">
        <v>1897.5</v>
      </c>
      <c r="W34" s="40">
        <v>1897.5</v>
      </c>
      <c r="X34" s="41">
        <v>1897.5</v>
      </c>
    </row>
    <row r="35" spans="1:24" ht="16.5" customHeight="1" x14ac:dyDescent="0.2">
      <c r="A35" s="95"/>
      <c r="B35" s="32" t="s">
        <v>18</v>
      </c>
      <c r="C35" s="40">
        <v>223</v>
      </c>
      <c r="D35" s="41">
        <v>676</v>
      </c>
      <c r="E35" s="40">
        <v>676</v>
      </c>
      <c r="F35" s="41">
        <v>676</v>
      </c>
      <c r="G35" s="40">
        <v>676</v>
      </c>
      <c r="H35" s="41">
        <v>676</v>
      </c>
      <c r="I35" s="40">
        <v>676</v>
      </c>
      <c r="J35" s="41">
        <v>676</v>
      </c>
      <c r="K35" s="40">
        <v>766.48719590999997</v>
      </c>
      <c r="L35" s="41">
        <v>925.75180782000007</v>
      </c>
      <c r="M35" s="40">
        <v>1160.30589839</v>
      </c>
      <c r="N35" s="41">
        <v>1253.1830803600001</v>
      </c>
      <c r="O35" s="40">
        <v>1253.1830803600001</v>
      </c>
      <c r="P35" s="41">
        <v>1253.1830803600001</v>
      </c>
      <c r="Q35" s="40">
        <v>1253.1830803600001</v>
      </c>
      <c r="R35" s="41">
        <v>1253.1830803600001</v>
      </c>
      <c r="S35" s="40">
        <v>1253.1830803600001</v>
      </c>
      <c r="T35" s="41">
        <v>1253.1830803600001</v>
      </c>
      <c r="U35" s="40">
        <v>1380.30589839</v>
      </c>
      <c r="V35" s="41">
        <v>1380.30589839</v>
      </c>
      <c r="W35" s="40">
        <v>1380.30589839</v>
      </c>
      <c r="X35" s="41">
        <v>1380.30589839</v>
      </c>
    </row>
    <row r="36" spans="1:24" ht="16.5" customHeight="1" x14ac:dyDescent="0.2">
      <c r="A36" s="95"/>
      <c r="B36" s="32" t="s">
        <v>58</v>
      </c>
      <c r="C36" s="40">
        <v>1222</v>
      </c>
      <c r="D36" s="41">
        <v>1222</v>
      </c>
      <c r="E36" s="40">
        <v>1222</v>
      </c>
      <c r="F36" s="41">
        <v>1222</v>
      </c>
      <c r="G36" s="40">
        <v>1222</v>
      </c>
      <c r="H36" s="41">
        <v>1222</v>
      </c>
      <c r="I36" s="40">
        <v>1689.6078096199999</v>
      </c>
      <c r="J36" s="41">
        <v>2728.57844776</v>
      </c>
      <c r="K36" s="40">
        <v>3465.4726462899998</v>
      </c>
      <c r="L36" s="41">
        <v>4139.7878424999999</v>
      </c>
      <c r="M36" s="40">
        <v>4926.7966626799998</v>
      </c>
      <c r="N36" s="41">
        <v>5659.6526941000002</v>
      </c>
      <c r="O36" s="40">
        <v>5659.6526941000002</v>
      </c>
      <c r="P36" s="41">
        <v>5659.6526941000002</v>
      </c>
      <c r="Q36" s="40">
        <v>5659.6526941000002</v>
      </c>
      <c r="R36" s="41">
        <v>5659.6526941000002</v>
      </c>
      <c r="S36" s="40">
        <v>5659.6526941000002</v>
      </c>
      <c r="T36" s="41">
        <v>5659.6526941000002</v>
      </c>
      <c r="U36" s="40">
        <v>7508.6494969100004</v>
      </c>
      <c r="V36" s="41">
        <v>8365.7052047199995</v>
      </c>
      <c r="W36" s="40">
        <v>8913.8371595099998</v>
      </c>
      <c r="X36" s="41">
        <v>9325.4048046200005</v>
      </c>
    </row>
    <row r="37" spans="1:24" ht="16.5" customHeight="1" x14ac:dyDescent="0.2">
      <c r="A37" s="95"/>
      <c r="B37" s="32" t="s">
        <v>59</v>
      </c>
      <c r="C37" s="40">
        <v>501.4</v>
      </c>
      <c r="D37" s="41">
        <v>501.4</v>
      </c>
      <c r="E37" s="40">
        <v>601.4</v>
      </c>
      <c r="F37" s="41">
        <v>601.4</v>
      </c>
      <c r="G37" s="40">
        <v>601.4</v>
      </c>
      <c r="H37" s="41">
        <v>601.4</v>
      </c>
      <c r="I37" s="40">
        <v>601.4</v>
      </c>
      <c r="J37" s="41">
        <v>601.4</v>
      </c>
      <c r="K37" s="40">
        <v>601.4</v>
      </c>
      <c r="L37" s="41">
        <v>601.4</v>
      </c>
      <c r="M37" s="40">
        <v>601.4</v>
      </c>
      <c r="N37" s="41">
        <v>932.16120699999999</v>
      </c>
      <c r="O37" s="40">
        <v>932.16120699999999</v>
      </c>
      <c r="P37" s="41">
        <v>932.16120699999999</v>
      </c>
      <c r="Q37" s="40">
        <v>932.16120699999999</v>
      </c>
      <c r="R37" s="41">
        <v>1007.425857</v>
      </c>
      <c r="S37" s="40">
        <v>1290.2689310000001</v>
      </c>
      <c r="T37" s="41">
        <v>1516.672622</v>
      </c>
      <c r="U37" s="40">
        <v>3688.2055770000002</v>
      </c>
      <c r="V37" s="41">
        <v>4282.8881999999994</v>
      </c>
      <c r="W37" s="40">
        <v>4906.2628759999998</v>
      </c>
      <c r="X37" s="41">
        <v>5130.9106919999995</v>
      </c>
    </row>
    <row r="38" spans="1:24" ht="16.5" customHeight="1" x14ac:dyDescent="0.2">
      <c r="A38" s="95"/>
      <c r="B38" s="32" t="s">
        <v>60</v>
      </c>
      <c r="C38" s="40">
        <v>0</v>
      </c>
      <c r="D38" s="41">
        <v>0</v>
      </c>
      <c r="E38" s="40">
        <v>0</v>
      </c>
      <c r="F38" s="41">
        <v>0</v>
      </c>
      <c r="G38" s="40">
        <v>0</v>
      </c>
      <c r="H38" s="41">
        <v>0</v>
      </c>
      <c r="I38" s="40">
        <v>0</v>
      </c>
      <c r="J38" s="41">
        <v>0</v>
      </c>
      <c r="K38" s="40">
        <v>0</v>
      </c>
      <c r="L38" s="41">
        <v>0</v>
      </c>
      <c r="M38" s="40">
        <v>0</v>
      </c>
      <c r="N38" s="41">
        <v>0</v>
      </c>
      <c r="O38" s="40">
        <v>0</v>
      </c>
      <c r="P38" s="41">
        <v>0</v>
      </c>
      <c r="Q38" s="40">
        <v>0</v>
      </c>
      <c r="R38" s="41">
        <v>0</v>
      </c>
      <c r="S38" s="40">
        <v>0</v>
      </c>
      <c r="T38" s="41">
        <v>0</v>
      </c>
      <c r="U38" s="40">
        <v>0</v>
      </c>
      <c r="V38" s="41">
        <v>0</v>
      </c>
      <c r="W38" s="40">
        <v>0</v>
      </c>
      <c r="X38" s="41">
        <v>0</v>
      </c>
    </row>
    <row r="39" spans="1:24" ht="16.5" customHeight="1" x14ac:dyDescent="0.2">
      <c r="A39" s="95"/>
      <c r="B39" s="32" t="s">
        <v>61</v>
      </c>
      <c r="C39" s="40">
        <v>71.2</v>
      </c>
      <c r="D39" s="41">
        <v>136.66</v>
      </c>
      <c r="E39" s="40">
        <v>225.27</v>
      </c>
      <c r="F39" s="41">
        <v>305.48</v>
      </c>
      <c r="G39" s="40">
        <v>380.04</v>
      </c>
      <c r="H39" s="41">
        <v>448.25</v>
      </c>
      <c r="I39" s="40">
        <v>512.38</v>
      </c>
      <c r="J39" s="41">
        <v>572.39</v>
      </c>
      <c r="K39" s="40">
        <v>630.85</v>
      </c>
      <c r="L39" s="41">
        <v>688.66</v>
      </c>
      <c r="M39" s="40">
        <v>745.92</v>
      </c>
      <c r="N39" s="41">
        <v>802.76</v>
      </c>
      <c r="O39" s="40">
        <v>859.3</v>
      </c>
      <c r="P39" s="41">
        <v>915.59</v>
      </c>
      <c r="Q39" s="40">
        <v>970.53</v>
      </c>
      <c r="R39" s="41">
        <v>1025.32</v>
      </c>
      <c r="S39" s="40">
        <v>1080.04</v>
      </c>
      <c r="T39" s="41">
        <v>1131.97</v>
      </c>
      <c r="U39" s="40">
        <v>1181.52</v>
      </c>
      <c r="V39" s="41">
        <v>1228.6400000000001</v>
      </c>
      <c r="W39" s="40">
        <v>1272.46</v>
      </c>
      <c r="X39" s="41">
        <v>1314.51</v>
      </c>
    </row>
    <row r="40" spans="1:24" ht="16.5" customHeight="1" x14ac:dyDescent="0.2">
      <c r="A40" s="95"/>
      <c r="B40" s="32" t="s">
        <v>41</v>
      </c>
      <c r="C40" s="40">
        <v>2454</v>
      </c>
      <c r="D40" s="41">
        <v>2706</v>
      </c>
      <c r="E40" s="40">
        <v>2951</v>
      </c>
      <c r="F40" s="41">
        <v>3185</v>
      </c>
      <c r="G40" s="40">
        <v>3408</v>
      </c>
      <c r="H40" s="41">
        <v>3626</v>
      </c>
      <c r="I40" s="40">
        <v>3837</v>
      </c>
      <c r="J40" s="41">
        <v>4041</v>
      </c>
      <c r="K40" s="40">
        <v>4243</v>
      </c>
      <c r="L40" s="41">
        <v>4442</v>
      </c>
      <c r="M40" s="40">
        <v>4638</v>
      </c>
      <c r="N40" s="41">
        <v>4829</v>
      </c>
      <c r="O40" s="40">
        <v>5007</v>
      </c>
      <c r="P40" s="41">
        <v>5171</v>
      </c>
      <c r="Q40" s="40">
        <v>5316</v>
      </c>
      <c r="R40" s="41">
        <v>5450</v>
      </c>
      <c r="S40" s="40">
        <v>5577</v>
      </c>
      <c r="T40" s="41">
        <v>5691</v>
      </c>
      <c r="U40" s="40">
        <v>5786</v>
      </c>
      <c r="V40" s="41">
        <v>5865</v>
      </c>
      <c r="W40" s="40">
        <v>5935</v>
      </c>
      <c r="X40" s="41">
        <v>5999</v>
      </c>
    </row>
    <row r="41" spans="1:24" ht="16.5" customHeight="1" x14ac:dyDescent="0.2">
      <c r="A41" s="94" t="s">
        <v>38</v>
      </c>
      <c r="B41" s="15" t="s">
        <v>55</v>
      </c>
      <c r="C41" s="16">
        <v>0</v>
      </c>
      <c r="D41" s="17">
        <v>0</v>
      </c>
      <c r="E41" s="16">
        <v>0</v>
      </c>
      <c r="F41" s="17">
        <v>0</v>
      </c>
      <c r="G41" s="16">
        <v>0</v>
      </c>
      <c r="H41" s="17">
        <v>0</v>
      </c>
      <c r="I41" s="16">
        <v>0</v>
      </c>
      <c r="J41" s="17">
        <v>0</v>
      </c>
      <c r="K41" s="16">
        <v>0</v>
      </c>
      <c r="L41" s="17">
        <v>0</v>
      </c>
      <c r="M41" s="16">
        <v>0</v>
      </c>
      <c r="N41" s="17">
        <v>0</v>
      </c>
      <c r="O41" s="16">
        <v>0</v>
      </c>
      <c r="P41" s="17">
        <v>0</v>
      </c>
      <c r="Q41" s="16">
        <v>0</v>
      </c>
      <c r="R41" s="17">
        <v>0</v>
      </c>
      <c r="S41" s="16">
        <v>0</v>
      </c>
      <c r="T41" s="17">
        <v>0</v>
      </c>
      <c r="U41" s="16">
        <v>0</v>
      </c>
      <c r="V41" s="17">
        <v>0</v>
      </c>
      <c r="W41" s="16">
        <v>0</v>
      </c>
      <c r="X41" s="17">
        <v>0</v>
      </c>
    </row>
    <row r="42" spans="1:24" ht="16.5" customHeight="1" x14ac:dyDescent="0.2">
      <c r="A42" s="94"/>
      <c r="B42" s="15" t="s">
        <v>56</v>
      </c>
      <c r="C42" s="16">
        <v>0</v>
      </c>
      <c r="D42" s="17">
        <v>0</v>
      </c>
      <c r="E42" s="16">
        <v>0</v>
      </c>
      <c r="F42" s="17">
        <v>0</v>
      </c>
      <c r="G42" s="16">
        <v>0</v>
      </c>
      <c r="H42" s="17">
        <v>0</v>
      </c>
      <c r="I42" s="16">
        <v>0</v>
      </c>
      <c r="J42" s="17">
        <v>0</v>
      </c>
      <c r="K42" s="16">
        <v>0</v>
      </c>
      <c r="L42" s="17">
        <v>0</v>
      </c>
      <c r="M42" s="16">
        <v>0</v>
      </c>
      <c r="N42" s="17">
        <v>0</v>
      </c>
      <c r="O42" s="16">
        <v>0</v>
      </c>
      <c r="P42" s="17">
        <v>0</v>
      </c>
      <c r="Q42" s="16">
        <v>0</v>
      </c>
      <c r="R42" s="17">
        <v>0</v>
      </c>
      <c r="S42" s="16">
        <v>0</v>
      </c>
      <c r="T42" s="17">
        <v>0</v>
      </c>
      <c r="U42" s="16">
        <v>0</v>
      </c>
      <c r="V42" s="17">
        <v>0</v>
      </c>
      <c r="W42" s="16">
        <v>0</v>
      </c>
      <c r="X42" s="17">
        <v>0</v>
      </c>
    </row>
    <row r="43" spans="1:24" ht="16.5" customHeight="1" x14ac:dyDescent="0.2">
      <c r="A43" s="94"/>
      <c r="B43" s="15" t="s">
        <v>17</v>
      </c>
      <c r="C43" s="16">
        <v>0</v>
      </c>
      <c r="D43" s="17">
        <v>0</v>
      </c>
      <c r="E43" s="16">
        <v>0</v>
      </c>
      <c r="F43" s="17">
        <v>0</v>
      </c>
      <c r="G43" s="16">
        <v>0</v>
      </c>
      <c r="H43" s="17">
        <v>0</v>
      </c>
      <c r="I43" s="16">
        <v>0</v>
      </c>
      <c r="J43" s="17">
        <v>0</v>
      </c>
      <c r="K43" s="16">
        <v>0</v>
      </c>
      <c r="L43" s="17">
        <v>0</v>
      </c>
      <c r="M43" s="16">
        <v>0</v>
      </c>
      <c r="N43" s="17">
        <v>0</v>
      </c>
      <c r="O43" s="16">
        <v>0</v>
      </c>
      <c r="P43" s="17">
        <v>0</v>
      </c>
      <c r="Q43" s="16">
        <v>0</v>
      </c>
      <c r="R43" s="17">
        <v>0</v>
      </c>
      <c r="S43" s="16">
        <v>0</v>
      </c>
      <c r="T43" s="17">
        <v>0</v>
      </c>
      <c r="U43" s="16">
        <v>0</v>
      </c>
      <c r="V43" s="17">
        <v>0</v>
      </c>
      <c r="W43" s="16">
        <v>0</v>
      </c>
      <c r="X43" s="17">
        <v>0</v>
      </c>
    </row>
    <row r="44" spans="1:24" ht="16.5" customHeight="1" x14ac:dyDescent="0.2">
      <c r="A44" s="94"/>
      <c r="B44" s="15" t="s">
        <v>44</v>
      </c>
      <c r="C44" s="16">
        <v>1462</v>
      </c>
      <c r="D44" s="17">
        <v>1462</v>
      </c>
      <c r="E44" s="16">
        <v>1462</v>
      </c>
      <c r="F44" s="17">
        <v>1462</v>
      </c>
      <c r="G44" s="16">
        <v>1462</v>
      </c>
      <c r="H44" s="17">
        <v>1462</v>
      </c>
      <c r="I44" s="16">
        <v>0</v>
      </c>
      <c r="J44" s="17">
        <v>0</v>
      </c>
      <c r="K44" s="16">
        <v>0</v>
      </c>
      <c r="L44" s="17">
        <v>0</v>
      </c>
      <c r="M44" s="16">
        <v>0</v>
      </c>
      <c r="N44" s="17">
        <v>0</v>
      </c>
      <c r="O44" s="16">
        <v>0</v>
      </c>
      <c r="P44" s="17">
        <v>0</v>
      </c>
      <c r="Q44" s="16">
        <v>0</v>
      </c>
      <c r="R44" s="17">
        <v>0</v>
      </c>
      <c r="S44" s="16">
        <v>0</v>
      </c>
      <c r="T44" s="17">
        <v>0</v>
      </c>
      <c r="U44" s="16">
        <v>0</v>
      </c>
      <c r="V44" s="17">
        <v>0</v>
      </c>
      <c r="W44" s="16">
        <v>0</v>
      </c>
      <c r="X44" s="17">
        <v>0</v>
      </c>
    </row>
    <row r="45" spans="1:24" ht="16.5" customHeight="1" x14ac:dyDescent="0.2">
      <c r="A45" s="94"/>
      <c r="B45" s="15" t="s">
        <v>57</v>
      </c>
      <c r="C45" s="16">
        <v>1527</v>
      </c>
      <c r="D45" s="17">
        <v>1503</v>
      </c>
      <c r="E45" s="16">
        <v>1503</v>
      </c>
      <c r="F45" s="17">
        <v>1263</v>
      </c>
      <c r="G45" s="16">
        <v>1263</v>
      </c>
      <c r="H45" s="17">
        <v>1263</v>
      </c>
      <c r="I45" s="16">
        <v>1263</v>
      </c>
      <c r="J45" s="17">
        <v>1263</v>
      </c>
      <c r="K45" s="16">
        <v>1263</v>
      </c>
      <c r="L45" s="17">
        <v>1263</v>
      </c>
      <c r="M45" s="16">
        <v>1263</v>
      </c>
      <c r="N45" s="17">
        <v>1263</v>
      </c>
      <c r="O45" s="16">
        <v>1263</v>
      </c>
      <c r="P45" s="17">
        <v>1263</v>
      </c>
      <c r="Q45" s="16">
        <v>1263</v>
      </c>
      <c r="R45" s="17">
        <v>1263</v>
      </c>
      <c r="S45" s="16">
        <v>1263</v>
      </c>
      <c r="T45" s="17">
        <v>1263</v>
      </c>
      <c r="U45" s="16">
        <v>1263</v>
      </c>
      <c r="V45" s="17">
        <v>1263</v>
      </c>
      <c r="W45" s="16">
        <v>1263</v>
      </c>
      <c r="X45" s="17">
        <v>1263</v>
      </c>
    </row>
    <row r="46" spans="1:24" ht="16.5" customHeight="1" x14ac:dyDescent="0.2">
      <c r="A46" s="94"/>
      <c r="B46" s="15" t="s">
        <v>18</v>
      </c>
      <c r="C46" s="16">
        <v>2051</v>
      </c>
      <c r="D46" s="17">
        <v>2051</v>
      </c>
      <c r="E46" s="16">
        <v>2051</v>
      </c>
      <c r="F46" s="17">
        <v>2051</v>
      </c>
      <c r="G46" s="16">
        <v>2051</v>
      </c>
      <c r="H46" s="17">
        <v>2051</v>
      </c>
      <c r="I46" s="16">
        <v>2051</v>
      </c>
      <c r="J46" s="17">
        <v>2051</v>
      </c>
      <c r="K46" s="16">
        <v>2051</v>
      </c>
      <c r="L46" s="17">
        <v>2051</v>
      </c>
      <c r="M46" s="16">
        <v>2051</v>
      </c>
      <c r="N46" s="17">
        <v>2051</v>
      </c>
      <c r="O46" s="16">
        <v>2051</v>
      </c>
      <c r="P46" s="17">
        <v>2051</v>
      </c>
      <c r="Q46" s="16">
        <v>2051</v>
      </c>
      <c r="R46" s="17">
        <v>2051</v>
      </c>
      <c r="S46" s="16">
        <v>2051</v>
      </c>
      <c r="T46" s="17">
        <v>2051</v>
      </c>
      <c r="U46" s="16">
        <v>2437.0005169900001</v>
      </c>
      <c r="V46" s="17">
        <v>2437.0005169900001</v>
      </c>
      <c r="W46" s="16">
        <v>2723.48582468</v>
      </c>
      <c r="X46" s="17">
        <v>2740.19180233</v>
      </c>
    </row>
    <row r="47" spans="1:24" ht="16.5" customHeight="1" x14ac:dyDescent="0.2">
      <c r="A47" s="94"/>
      <c r="B47" s="15" t="s">
        <v>58</v>
      </c>
      <c r="C47" s="16">
        <v>220</v>
      </c>
      <c r="D47" s="17">
        <v>467.30265852000002</v>
      </c>
      <c r="E47" s="16">
        <v>467.30265852000002</v>
      </c>
      <c r="F47" s="17">
        <v>467.30265852000002</v>
      </c>
      <c r="G47" s="16">
        <v>545.07179146999999</v>
      </c>
      <c r="H47" s="17">
        <v>545.07179146999999</v>
      </c>
      <c r="I47" s="16">
        <v>545.07179146999999</v>
      </c>
      <c r="J47" s="17">
        <v>545.07179146999999</v>
      </c>
      <c r="K47" s="16">
        <v>545.07179146999999</v>
      </c>
      <c r="L47" s="17">
        <v>545.07179146999999</v>
      </c>
      <c r="M47" s="16">
        <v>545.07179146999999</v>
      </c>
      <c r="N47" s="17">
        <v>593.36003456999993</v>
      </c>
      <c r="O47" s="16">
        <v>593.36003456999993</v>
      </c>
      <c r="P47" s="17">
        <v>593.36003456999993</v>
      </c>
      <c r="Q47" s="16">
        <v>1809.3682911800001</v>
      </c>
      <c r="R47" s="17">
        <v>1830.4421440400001</v>
      </c>
      <c r="S47" s="16">
        <v>2290</v>
      </c>
      <c r="T47" s="17">
        <v>2426.85755836</v>
      </c>
      <c r="U47" s="16">
        <v>2746.3516118299999</v>
      </c>
      <c r="V47" s="17">
        <v>2790</v>
      </c>
      <c r="W47" s="16">
        <v>2810.0108969299999</v>
      </c>
      <c r="X47" s="17">
        <v>2860.7760461799999</v>
      </c>
    </row>
    <row r="48" spans="1:24" ht="16.5" customHeight="1" x14ac:dyDescent="0.2">
      <c r="A48" s="94"/>
      <c r="B48" s="15" t="s">
        <v>59</v>
      </c>
      <c r="C48" s="16">
        <v>100</v>
      </c>
      <c r="D48" s="17">
        <v>100</v>
      </c>
      <c r="E48" s="16">
        <v>100</v>
      </c>
      <c r="F48" s="17">
        <v>100</v>
      </c>
      <c r="G48" s="16">
        <v>100</v>
      </c>
      <c r="H48" s="17">
        <v>100</v>
      </c>
      <c r="I48" s="16">
        <v>220.41890899999999</v>
      </c>
      <c r="J48" s="17">
        <v>220.41890899999999</v>
      </c>
      <c r="K48" s="16">
        <v>334.38726500000001</v>
      </c>
      <c r="L48" s="17">
        <v>334.38726500000001</v>
      </c>
      <c r="M48" s="16">
        <v>334.38726500000001</v>
      </c>
      <c r="N48" s="17">
        <v>334.38726500000001</v>
      </c>
      <c r="O48" s="16">
        <v>334.38726500000001</v>
      </c>
      <c r="P48" s="17">
        <v>442.77537699999999</v>
      </c>
      <c r="Q48" s="16">
        <v>442.77537699999999</v>
      </c>
      <c r="R48" s="17">
        <v>442.77537699999999</v>
      </c>
      <c r="S48" s="16">
        <v>1321.3678560000001</v>
      </c>
      <c r="T48" s="17">
        <v>1462.954522</v>
      </c>
      <c r="U48" s="16">
        <v>1462.954522</v>
      </c>
      <c r="V48" s="17">
        <v>1476.4201479999999</v>
      </c>
      <c r="W48" s="16">
        <v>1476.4201479999999</v>
      </c>
      <c r="X48" s="17">
        <v>1476.4201479999999</v>
      </c>
    </row>
    <row r="49" spans="1:24" ht="16.5" customHeight="1" x14ac:dyDescent="0.2">
      <c r="A49" s="94"/>
      <c r="B49" s="15" t="s">
        <v>60</v>
      </c>
      <c r="C49" s="16">
        <v>0</v>
      </c>
      <c r="D49" s="17">
        <v>0</v>
      </c>
      <c r="E49" s="16">
        <v>0</v>
      </c>
      <c r="F49" s="17">
        <v>0</v>
      </c>
      <c r="G49" s="16">
        <v>0</v>
      </c>
      <c r="H49" s="17">
        <v>0</v>
      </c>
      <c r="I49" s="16">
        <v>0</v>
      </c>
      <c r="J49" s="17">
        <v>0</v>
      </c>
      <c r="K49" s="16">
        <v>0</v>
      </c>
      <c r="L49" s="17">
        <v>0</v>
      </c>
      <c r="M49" s="16">
        <v>0</v>
      </c>
      <c r="N49" s="17">
        <v>0</v>
      </c>
      <c r="O49" s="16">
        <v>0</v>
      </c>
      <c r="P49" s="17">
        <v>0</v>
      </c>
      <c r="Q49" s="16">
        <v>0</v>
      </c>
      <c r="R49" s="17">
        <v>0</v>
      </c>
      <c r="S49" s="16">
        <v>0</v>
      </c>
      <c r="T49" s="17">
        <v>0</v>
      </c>
      <c r="U49" s="16">
        <v>0</v>
      </c>
      <c r="V49" s="17">
        <v>0</v>
      </c>
      <c r="W49" s="16">
        <v>0</v>
      </c>
      <c r="X49" s="17">
        <v>0</v>
      </c>
    </row>
    <row r="50" spans="1:24" ht="16.5" customHeight="1" x14ac:dyDescent="0.2">
      <c r="A50" s="94"/>
      <c r="B50" s="15" t="s">
        <v>61</v>
      </c>
      <c r="C50" s="16">
        <v>24.23</v>
      </c>
      <c r="D50" s="17">
        <v>46.9</v>
      </c>
      <c r="E50" s="16">
        <v>77.290000000000006</v>
      </c>
      <c r="F50" s="17">
        <v>107.66</v>
      </c>
      <c r="G50" s="16">
        <v>137.99</v>
      </c>
      <c r="H50" s="17">
        <v>168.29</v>
      </c>
      <c r="I50" s="16">
        <v>199.68</v>
      </c>
      <c r="J50" s="17">
        <v>231.03</v>
      </c>
      <c r="K50" s="16">
        <v>262.33999999999997</v>
      </c>
      <c r="L50" s="17">
        <v>293.61</v>
      </c>
      <c r="M50" s="16">
        <v>324.91000000000003</v>
      </c>
      <c r="N50" s="17">
        <v>356.26</v>
      </c>
      <c r="O50" s="16">
        <v>386.57</v>
      </c>
      <c r="P50" s="17">
        <v>414.76</v>
      </c>
      <c r="Q50" s="16">
        <v>440.84</v>
      </c>
      <c r="R50" s="17">
        <v>461.52</v>
      </c>
      <c r="S50" s="16">
        <v>480.12</v>
      </c>
      <c r="T50" s="17">
        <v>498.84</v>
      </c>
      <c r="U50" s="16">
        <v>516.02</v>
      </c>
      <c r="V50" s="17">
        <v>533.27</v>
      </c>
      <c r="W50" s="16">
        <v>550.45000000000005</v>
      </c>
      <c r="X50" s="17">
        <v>567.74</v>
      </c>
    </row>
    <row r="51" spans="1:24" ht="16.5" customHeight="1" x14ac:dyDescent="0.2">
      <c r="A51" s="94"/>
      <c r="B51" s="15" t="s">
        <v>41</v>
      </c>
      <c r="C51" s="16">
        <v>965</v>
      </c>
      <c r="D51" s="17">
        <v>1037</v>
      </c>
      <c r="E51" s="16">
        <v>1110</v>
      </c>
      <c r="F51" s="17">
        <v>1183</v>
      </c>
      <c r="G51" s="16">
        <v>1255</v>
      </c>
      <c r="H51" s="17">
        <v>1330</v>
      </c>
      <c r="I51" s="16">
        <v>1404</v>
      </c>
      <c r="J51" s="17">
        <v>1477</v>
      </c>
      <c r="K51" s="16">
        <v>1551</v>
      </c>
      <c r="L51" s="17">
        <v>1624</v>
      </c>
      <c r="M51" s="16">
        <v>1697</v>
      </c>
      <c r="N51" s="17">
        <v>1769</v>
      </c>
      <c r="O51" s="16">
        <v>1839</v>
      </c>
      <c r="P51" s="17">
        <v>1906</v>
      </c>
      <c r="Q51" s="16">
        <v>1969</v>
      </c>
      <c r="R51" s="17">
        <v>2029</v>
      </c>
      <c r="S51" s="16">
        <v>2086</v>
      </c>
      <c r="T51" s="17">
        <v>2140</v>
      </c>
      <c r="U51" s="16">
        <v>2193</v>
      </c>
      <c r="V51" s="17">
        <v>2242</v>
      </c>
      <c r="W51" s="16">
        <v>2289</v>
      </c>
      <c r="X51" s="17">
        <v>2329</v>
      </c>
    </row>
    <row r="52" spans="1:24" ht="16.5" customHeight="1" x14ac:dyDescent="0.2">
      <c r="A52" s="95" t="s">
        <v>37</v>
      </c>
      <c r="B52" s="32" t="s">
        <v>55</v>
      </c>
      <c r="C52" s="40">
        <v>0</v>
      </c>
      <c r="D52" s="41">
        <v>0</v>
      </c>
      <c r="E52" s="40">
        <v>0</v>
      </c>
      <c r="F52" s="41">
        <v>0</v>
      </c>
      <c r="G52" s="40">
        <v>0</v>
      </c>
      <c r="H52" s="41">
        <v>0</v>
      </c>
      <c r="I52" s="40">
        <v>0</v>
      </c>
      <c r="J52" s="41">
        <v>0</v>
      </c>
      <c r="K52" s="40">
        <v>0</v>
      </c>
      <c r="L52" s="41">
        <v>0</v>
      </c>
      <c r="M52" s="40">
        <v>0</v>
      </c>
      <c r="N52" s="41">
        <v>0</v>
      </c>
      <c r="O52" s="40">
        <v>0</v>
      </c>
      <c r="P52" s="41">
        <v>0</v>
      </c>
      <c r="Q52" s="40">
        <v>0</v>
      </c>
      <c r="R52" s="41">
        <v>0</v>
      </c>
      <c r="S52" s="40">
        <v>0</v>
      </c>
      <c r="T52" s="41">
        <v>0</v>
      </c>
      <c r="U52" s="40">
        <v>0</v>
      </c>
      <c r="V52" s="41">
        <v>0</v>
      </c>
      <c r="W52" s="40">
        <v>0</v>
      </c>
      <c r="X52" s="41">
        <v>0</v>
      </c>
    </row>
    <row r="53" spans="1:24" ht="16.5" customHeight="1" x14ac:dyDescent="0.2">
      <c r="A53" s="95"/>
      <c r="B53" s="32" t="s">
        <v>56</v>
      </c>
      <c r="C53" s="40">
        <v>4808</v>
      </c>
      <c r="D53" s="41">
        <v>4808</v>
      </c>
      <c r="E53" s="40">
        <v>4808</v>
      </c>
      <c r="F53" s="41">
        <v>4808</v>
      </c>
      <c r="G53" s="40">
        <v>4808</v>
      </c>
      <c r="H53" s="41">
        <v>4808</v>
      </c>
      <c r="I53" s="40">
        <v>4808</v>
      </c>
      <c r="J53" s="41">
        <v>4808</v>
      </c>
      <c r="K53" s="40">
        <v>4808</v>
      </c>
      <c r="L53" s="41">
        <v>4808</v>
      </c>
      <c r="M53" s="40">
        <v>4808</v>
      </c>
      <c r="N53" s="41">
        <v>4808</v>
      </c>
      <c r="O53" s="40">
        <v>4808</v>
      </c>
      <c r="P53" s="41">
        <v>4808</v>
      </c>
      <c r="Q53" s="40">
        <v>3280</v>
      </c>
      <c r="R53" s="41">
        <v>3280</v>
      </c>
      <c r="S53" s="40">
        <v>3280</v>
      </c>
      <c r="T53" s="41">
        <v>3280</v>
      </c>
      <c r="U53" s="40">
        <v>3280</v>
      </c>
      <c r="V53" s="41">
        <v>3280</v>
      </c>
      <c r="W53" s="40">
        <v>3280</v>
      </c>
      <c r="X53" s="41">
        <v>3280</v>
      </c>
    </row>
    <row r="54" spans="1:24" ht="16.5" customHeight="1" x14ac:dyDescent="0.2">
      <c r="A54" s="95"/>
      <c r="B54" s="32" t="s">
        <v>17</v>
      </c>
      <c r="C54" s="40">
        <v>2219</v>
      </c>
      <c r="D54" s="41">
        <v>2219</v>
      </c>
      <c r="E54" s="40">
        <v>2219</v>
      </c>
      <c r="F54" s="41">
        <v>2219</v>
      </c>
      <c r="G54" s="40">
        <v>2219</v>
      </c>
      <c r="H54" s="41">
        <v>2219</v>
      </c>
      <c r="I54" s="40">
        <v>2219</v>
      </c>
      <c r="J54" s="41">
        <v>2219</v>
      </c>
      <c r="K54" s="40">
        <v>2219</v>
      </c>
      <c r="L54" s="41">
        <v>2219</v>
      </c>
      <c r="M54" s="40">
        <v>2219</v>
      </c>
      <c r="N54" s="41">
        <v>2219</v>
      </c>
      <c r="O54" s="40">
        <v>2219</v>
      </c>
      <c r="P54" s="41">
        <v>2219</v>
      </c>
      <c r="Q54" s="40">
        <v>2219</v>
      </c>
      <c r="R54" s="41">
        <v>2219</v>
      </c>
      <c r="S54" s="40">
        <v>2219</v>
      </c>
      <c r="T54" s="41">
        <v>2219</v>
      </c>
      <c r="U54" s="40">
        <v>2219</v>
      </c>
      <c r="V54" s="41">
        <v>2219</v>
      </c>
      <c r="W54" s="40">
        <v>2219</v>
      </c>
      <c r="X54" s="41">
        <v>2219</v>
      </c>
    </row>
    <row r="55" spans="1:24" ht="16.5" customHeight="1" x14ac:dyDescent="0.2">
      <c r="A55" s="95"/>
      <c r="B55" s="32" t="s">
        <v>44</v>
      </c>
      <c r="C55" s="40">
        <v>510</v>
      </c>
      <c r="D55" s="41">
        <v>510</v>
      </c>
      <c r="E55" s="40">
        <v>510</v>
      </c>
      <c r="F55" s="41">
        <v>510</v>
      </c>
      <c r="G55" s="40">
        <v>510</v>
      </c>
      <c r="H55" s="41">
        <v>510</v>
      </c>
      <c r="I55" s="40">
        <v>510</v>
      </c>
      <c r="J55" s="41">
        <v>510</v>
      </c>
      <c r="K55" s="40">
        <v>510</v>
      </c>
      <c r="L55" s="41">
        <v>510</v>
      </c>
      <c r="M55" s="40">
        <v>510</v>
      </c>
      <c r="N55" s="41">
        <v>510</v>
      </c>
      <c r="O55" s="40">
        <v>510</v>
      </c>
      <c r="P55" s="41">
        <v>0</v>
      </c>
      <c r="Q55" s="40">
        <v>0</v>
      </c>
      <c r="R55" s="41">
        <v>0</v>
      </c>
      <c r="S55" s="40">
        <v>0</v>
      </c>
      <c r="T55" s="41">
        <v>0</v>
      </c>
      <c r="U55" s="40">
        <v>0</v>
      </c>
      <c r="V55" s="41">
        <v>0</v>
      </c>
      <c r="W55" s="40">
        <v>0</v>
      </c>
      <c r="X55" s="41">
        <v>0</v>
      </c>
    </row>
    <row r="56" spans="1:24" ht="16.5" customHeight="1" x14ac:dyDescent="0.2">
      <c r="A56" s="95"/>
      <c r="B56" s="32" t="s">
        <v>57</v>
      </c>
      <c r="C56" s="40">
        <v>1908</v>
      </c>
      <c r="D56" s="41">
        <v>1908</v>
      </c>
      <c r="E56" s="40">
        <v>1908</v>
      </c>
      <c r="F56" s="41">
        <v>1908</v>
      </c>
      <c r="G56" s="40">
        <v>1908</v>
      </c>
      <c r="H56" s="41">
        <v>1908</v>
      </c>
      <c r="I56" s="40">
        <v>1998.3924300000001</v>
      </c>
      <c r="J56" s="41">
        <v>1998.3924300000001</v>
      </c>
      <c r="K56" s="40">
        <v>1998.3924300000001</v>
      </c>
      <c r="L56" s="41">
        <v>1998.3924300000001</v>
      </c>
      <c r="M56" s="40">
        <v>1998.3924300000001</v>
      </c>
      <c r="N56" s="41">
        <v>1998.3924300000001</v>
      </c>
      <c r="O56" s="40">
        <v>1998.3924300000001</v>
      </c>
      <c r="P56" s="41">
        <v>1998.3924300000001</v>
      </c>
      <c r="Q56" s="40">
        <v>1998.3924300000001</v>
      </c>
      <c r="R56" s="41">
        <v>1998.3924300000001</v>
      </c>
      <c r="S56" s="40">
        <v>1998.3924300000001</v>
      </c>
      <c r="T56" s="41">
        <v>1998.3924300000001</v>
      </c>
      <c r="U56" s="40">
        <v>1998.3924300000001</v>
      </c>
      <c r="V56" s="41">
        <v>1998.3924300000001</v>
      </c>
      <c r="W56" s="40">
        <v>1998.3924300000001</v>
      </c>
      <c r="X56" s="41">
        <v>1998.3924300000001</v>
      </c>
    </row>
    <row r="57" spans="1:24" ht="16.5" customHeight="1" x14ac:dyDescent="0.2">
      <c r="A57" s="95"/>
      <c r="B57" s="32" t="s">
        <v>18</v>
      </c>
      <c r="C57" s="40">
        <v>1941.2</v>
      </c>
      <c r="D57" s="41">
        <v>3183.2</v>
      </c>
      <c r="E57" s="40">
        <v>3583.2</v>
      </c>
      <c r="F57" s="41">
        <v>3983.2</v>
      </c>
      <c r="G57" s="40">
        <v>4383.2</v>
      </c>
      <c r="H57" s="41">
        <v>5276.2</v>
      </c>
      <c r="I57" s="40">
        <v>5676.2</v>
      </c>
      <c r="J57" s="41">
        <v>5676.2</v>
      </c>
      <c r="K57" s="40">
        <v>5676.2</v>
      </c>
      <c r="L57" s="41">
        <v>5676.2</v>
      </c>
      <c r="M57" s="40">
        <v>5676.2</v>
      </c>
      <c r="N57" s="41">
        <v>5676.2</v>
      </c>
      <c r="O57" s="40">
        <v>5676.2</v>
      </c>
      <c r="P57" s="41">
        <v>5676.2</v>
      </c>
      <c r="Q57" s="40">
        <v>5676.2</v>
      </c>
      <c r="R57" s="41">
        <v>5676.2</v>
      </c>
      <c r="S57" s="40">
        <v>5676.2</v>
      </c>
      <c r="T57" s="41">
        <v>5676.2</v>
      </c>
      <c r="U57" s="40">
        <v>5901.2</v>
      </c>
      <c r="V57" s="41">
        <v>5901.2</v>
      </c>
      <c r="W57" s="40">
        <v>5901.2</v>
      </c>
      <c r="X57" s="41">
        <v>5901.2</v>
      </c>
    </row>
    <row r="58" spans="1:24" ht="16.5" customHeight="1" x14ac:dyDescent="0.2">
      <c r="A58" s="95"/>
      <c r="B58" s="32" t="s">
        <v>58</v>
      </c>
      <c r="C58" s="40">
        <v>424</v>
      </c>
      <c r="D58" s="41">
        <v>459.13817208</v>
      </c>
      <c r="E58" s="40">
        <v>459.13817208</v>
      </c>
      <c r="F58" s="41">
        <v>520</v>
      </c>
      <c r="G58" s="40">
        <v>680</v>
      </c>
      <c r="H58" s="41">
        <v>1264</v>
      </c>
      <c r="I58" s="40">
        <v>1424</v>
      </c>
      <c r="J58" s="41">
        <v>1424</v>
      </c>
      <c r="K58" s="40">
        <v>1424</v>
      </c>
      <c r="L58" s="41">
        <v>1424</v>
      </c>
      <c r="M58" s="40">
        <v>1424</v>
      </c>
      <c r="N58" s="41">
        <v>1424</v>
      </c>
      <c r="O58" s="40">
        <v>1424</v>
      </c>
      <c r="P58" s="41">
        <v>1424</v>
      </c>
      <c r="Q58" s="40">
        <v>1424</v>
      </c>
      <c r="R58" s="41">
        <v>1424</v>
      </c>
      <c r="S58" s="40">
        <v>2169.9950822400001</v>
      </c>
      <c r="T58" s="41">
        <v>2176.8295383599998</v>
      </c>
      <c r="U58" s="40">
        <v>2724</v>
      </c>
      <c r="V58" s="41">
        <v>2724</v>
      </c>
      <c r="W58" s="40">
        <v>2724</v>
      </c>
      <c r="X58" s="41">
        <v>2724</v>
      </c>
    </row>
    <row r="59" spans="1:24" ht="16.5" customHeight="1" x14ac:dyDescent="0.2">
      <c r="A59" s="95"/>
      <c r="B59" s="32" t="s">
        <v>59</v>
      </c>
      <c r="C59" s="40">
        <v>40</v>
      </c>
      <c r="D59" s="41">
        <v>60</v>
      </c>
      <c r="E59" s="40">
        <v>60</v>
      </c>
      <c r="F59" s="41">
        <v>60</v>
      </c>
      <c r="G59" s="40">
        <v>60</v>
      </c>
      <c r="H59" s="41">
        <v>60</v>
      </c>
      <c r="I59" s="40">
        <v>60</v>
      </c>
      <c r="J59" s="41">
        <v>60</v>
      </c>
      <c r="K59" s="40">
        <v>60</v>
      </c>
      <c r="L59" s="41">
        <v>60</v>
      </c>
      <c r="M59" s="40">
        <v>60</v>
      </c>
      <c r="N59" s="41">
        <v>60</v>
      </c>
      <c r="O59" s="40">
        <v>60</v>
      </c>
      <c r="P59" s="41">
        <v>60</v>
      </c>
      <c r="Q59" s="40">
        <v>60</v>
      </c>
      <c r="R59" s="41">
        <v>60</v>
      </c>
      <c r="S59" s="40">
        <v>60</v>
      </c>
      <c r="T59" s="41">
        <v>60</v>
      </c>
      <c r="U59" s="40">
        <v>149.998625</v>
      </c>
      <c r="V59" s="41">
        <v>223.96626599999999</v>
      </c>
      <c r="W59" s="40">
        <v>390.56258200000002</v>
      </c>
      <c r="X59" s="41">
        <v>406.15271200000001</v>
      </c>
    </row>
    <row r="60" spans="1:24" ht="16.5" customHeight="1" x14ac:dyDescent="0.2">
      <c r="A60" s="95"/>
      <c r="B60" s="32" t="s">
        <v>60</v>
      </c>
      <c r="C60" s="40">
        <v>0</v>
      </c>
      <c r="D60" s="41">
        <v>0</v>
      </c>
      <c r="E60" s="40">
        <v>0</v>
      </c>
      <c r="F60" s="41">
        <v>0</v>
      </c>
      <c r="G60" s="40">
        <v>0</v>
      </c>
      <c r="H60" s="41">
        <v>0</v>
      </c>
      <c r="I60" s="40">
        <v>0</v>
      </c>
      <c r="J60" s="41">
        <v>0</v>
      </c>
      <c r="K60" s="40">
        <v>0</v>
      </c>
      <c r="L60" s="41">
        <v>0</v>
      </c>
      <c r="M60" s="40">
        <v>0</v>
      </c>
      <c r="N60" s="41">
        <v>0</v>
      </c>
      <c r="O60" s="40">
        <v>0</v>
      </c>
      <c r="P60" s="41">
        <v>0</v>
      </c>
      <c r="Q60" s="40">
        <v>0</v>
      </c>
      <c r="R60" s="41">
        <v>0</v>
      </c>
      <c r="S60" s="40">
        <v>0</v>
      </c>
      <c r="T60" s="41">
        <v>0</v>
      </c>
      <c r="U60" s="40">
        <v>0</v>
      </c>
      <c r="V60" s="41">
        <v>0</v>
      </c>
      <c r="W60" s="40">
        <v>0</v>
      </c>
      <c r="X60" s="41">
        <v>0</v>
      </c>
    </row>
    <row r="61" spans="1:24" ht="16.5" customHeight="1" x14ac:dyDescent="0.2">
      <c r="A61" s="95"/>
      <c r="B61" s="32" t="s">
        <v>61</v>
      </c>
      <c r="C61" s="40">
        <v>78.650000000000006</v>
      </c>
      <c r="D61" s="41">
        <v>155.44</v>
      </c>
      <c r="E61" s="40">
        <v>249</v>
      </c>
      <c r="F61" s="41">
        <v>322.11</v>
      </c>
      <c r="G61" s="40">
        <v>388.15</v>
      </c>
      <c r="H61" s="41">
        <v>449.18</v>
      </c>
      <c r="I61" s="40">
        <v>510.13</v>
      </c>
      <c r="J61" s="41">
        <v>568.84</v>
      </c>
      <c r="K61" s="40">
        <v>626.16</v>
      </c>
      <c r="L61" s="41">
        <v>680.88</v>
      </c>
      <c r="M61" s="40">
        <v>734.48</v>
      </c>
      <c r="N61" s="41">
        <v>788.43</v>
      </c>
      <c r="O61" s="40">
        <v>842.78</v>
      </c>
      <c r="P61" s="41">
        <v>897.59</v>
      </c>
      <c r="Q61" s="40">
        <v>951.52</v>
      </c>
      <c r="R61" s="41">
        <v>1001.65</v>
      </c>
      <c r="S61" s="40">
        <v>1048.46</v>
      </c>
      <c r="T61" s="41">
        <v>1092.3599999999999</v>
      </c>
      <c r="U61" s="40">
        <v>1132.96</v>
      </c>
      <c r="V61" s="41">
        <v>1171.04</v>
      </c>
      <c r="W61" s="40">
        <v>1206.1600000000001</v>
      </c>
      <c r="X61" s="41">
        <v>1239.3800000000001</v>
      </c>
    </row>
    <row r="62" spans="1:24" ht="16.5" customHeight="1" x14ac:dyDescent="0.2">
      <c r="A62" s="95"/>
      <c r="B62" s="32" t="s">
        <v>41</v>
      </c>
      <c r="C62" s="40">
        <v>1626</v>
      </c>
      <c r="D62" s="41">
        <v>1864</v>
      </c>
      <c r="E62" s="40">
        <v>2090</v>
      </c>
      <c r="F62" s="41">
        <v>2307</v>
      </c>
      <c r="G62" s="40">
        <v>2517</v>
      </c>
      <c r="H62" s="41">
        <v>2724</v>
      </c>
      <c r="I62" s="40">
        <v>2928</v>
      </c>
      <c r="J62" s="41">
        <v>3120</v>
      </c>
      <c r="K62" s="40">
        <v>3300</v>
      </c>
      <c r="L62" s="41">
        <v>3462</v>
      </c>
      <c r="M62" s="40">
        <v>3606</v>
      </c>
      <c r="N62" s="41">
        <v>3747</v>
      </c>
      <c r="O62" s="40">
        <v>3881</v>
      </c>
      <c r="P62" s="41">
        <v>3998</v>
      </c>
      <c r="Q62" s="40">
        <v>4106</v>
      </c>
      <c r="R62" s="41">
        <v>4207</v>
      </c>
      <c r="S62" s="40">
        <v>4300</v>
      </c>
      <c r="T62" s="41">
        <v>4386</v>
      </c>
      <c r="U62" s="40">
        <v>4465</v>
      </c>
      <c r="V62" s="41">
        <v>4537</v>
      </c>
      <c r="W62" s="40">
        <v>4606</v>
      </c>
      <c r="X62" s="41">
        <v>4671</v>
      </c>
    </row>
    <row r="63" spans="1:24" ht="16.5" customHeight="1" x14ac:dyDescent="0.2">
      <c r="A63" s="94" t="s">
        <v>39</v>
      </c>
      <c r="B63" s="15" t="s">
        <v>55</v>
      </c>
      <c r="C63" s="16">
        <v>0</v>
      </c>
      <c r="D63" s="17">
        <v>0</v>
      </c>
      <c r="E63" s="16">
        <v>0</v>
      </c>
      <c r="F63" s="17">
        <v>0</v>
      </c>
      <c r="G63" s="16">
        <v>0</v>
      </c>
      <c r="H63" s="17">
        <v>0</v>
      </c>
      <c r="I63" s="16">
        <v>0</v>
      </c>
      <c r="J63" s="17">
        <v>0</v>
      </c>
      <c r="K63" s="16">
        <v>0</v>
      </c>
      <c r="L63" s="17">
        <v>0</v>
      </c>
      <c r="M63" s="16">
        <v>0</v>
      </c>
      <c r="N63" s="17">
        <v>0</v>
      </c>
      <c r="O63" s="16">
        <v>0</v>
      </c>
      <c r="P63" s="17">
        <v>0</v>
      </c>
      <c r="Q63" s="16">
        <v>0</v>
      </c>
      <c r="R63" s="17">
        <v>0</v>
      </c>
      <c r="S63" s="16">
        <v>0</v>
      </c>
      <c r="T63" s="17">
        <v>0</v>
      </c>
      <c r="U63" s="16">
        <v>0</v>
      </c>
      <c r="V63" s="17">
        <v>0</v>
      </c>
      <c r="W63" s="16">
        <v>0</v>
      </c>
      <c r="X63" s="17">
        <v>0</v>
      </c>
    </row>
    <row r="64" spans="1:24" ht="16.5" customHeight="1" x14ac:dyDescent="0.2">
      <c r="A64" s="94"/>
      <c r="B64" s="15" t="s">
        <v>56</v>
      </c>
      <c r="C64" s="16">
        <v>0</v>
      </c>
      <c r="D64" s="17">
        <v>0</v>
      </c>
      <c r="E64" s="16">
        <v>0</v>
      </c>
      <c r="F64" s="17">
        <v>0</v>
      </c>
      <c r="G64" s="16">
        <v>0</v>
      </c>
      <c r="H64" s="17">
        <v>0</v>
      </c>
      <c r="I64" s="16">
        <v>0</v>
      </c>
      <c r="J64" s="17">
        <v>0</v>
      </c>
      <c r="K64" s="16">
        <v>0</v>
      </c>
      <c r="L64" s="17">
        <v>0</v>
      </c>
      <c r="M64" s="16">
        <v>0</v>
      </c>
      <c r="N64" s="17">
        <v>0</v>
      </c>
      <c r="O64" s="16">
        <v>0</v>
      </c>
      <c r="P64" s="17">
        <v>0</v>
      </c>
      <c r="Q64" s="16">
        <v>0</v>
      </c>
      <c r="R64" s="17">
        <v>0</v>
      </c>
      <c r="S64" s="16">
        <v>0</v>
      </c>
      <c r="T64" s="17">
        <v>0</v>
      </c>
      <c r="U64" s="16">
        <v>0</v>
      </c>
      <c r="V64" s="17">
        <v>0</v>
      </c>
      <c r="W64" s="16">
        <v>0</v>
      </c>
      <c r="X64" s="17">
        <v>0</v>
      </c>
    </row>
    <row r="65" spans="1:24" ht="16.5" customHeight="1" x14ac:dyDescent="0.2">
      <c r="A65" s="94"/>
      <c r="B65" s="15" t="s">
        <v>17</v>
      </c>
      <c r="C65" s="16">
        <v>2170.1</v>
      </c>
      <c r="D65" s="17">
        <v>2170.1</v>
      </c>
      <c r="E65" s="16">
        <v>2170.1</v>
      </c>
      <c r="F65" s="17">
        <v>2170.1</v>
      </c>
      <c r="G65" s="16">
        <v>2170.1</v>
      </c>
      <c r="H65" s="17">
        <v>2170.1</v>
      </c>
      <c r="I65" s="16">
        <v>2170.1</v>
      </c>
      <c r="J65" s="17">
        <v>2170.1</v>
      </c>
      <c r="K65" s="16">
        <v>2170.1</v>
      </c>
      <c r="L65" s="17">
        <v>2170.1</v>
      </c>
      <c r="M65" s="16">
        <v>2170.1</v>
      </c>
      <c r="N65" s="17">
        <v>2170.1</v>
      </c>
      <c r="O65" s="16">
        <v>2170.1</v>
      </c>
      <c r="P65" s="17">
        <v>2170.1</v>
      </c>
      <c r="Q65" s="16">
        <v>2170.1</v>
      </c>
      <c r="R65" s="17">
        <v>2170.1</v>
      </c>
      <c r="S65" s="16">
        <v>2170.1</v>
      </c>
      <c r="T65" s="17">
        <v>2170.1</v>
      </c>
      <c r="U65" s="16">
        <v>2170.1</v>
      </c>
      <c r="V65" s="17">
        <v>2170.1</v>
      </c>
      <c r="W65" s="16">
        <v>2170.1</v>
      </c>
      <c r="X65" s="17">
        <v>2170.1</v>
      </c>
    </row>
    <row r="66" spans="1:24" ht="16.5" customHeight="1" x14ac:dyDescent="0.2">
      <c r="A66" s="94"/>
      <c r="B66" s="15" t="s">
        <v>44</v>
      </c>
      <c r="C66" s="16">
        <v>0</v>
      </c>
      <c r="D66" s="17">
        <v>0</v>
      </c>
      <c r="E66" s="16">
        <v>0</v>
      </c>
      <c r="F66" s="17">
        <v>0</v>
      </c>
      <c r="G66" s="16">
        <v>0</v>
      </c>
      <c r="H66" s="17">
        <v>0</v>
      </c>
      <c r="I66" s="16">
        <v>0</v>
      </c>
      <c r="J66" s="17">
        <v>0</v>
      </c>
      <c r="K66" s="16">
        <v>0</v>
      </c>
      <c r="L66" s="17">
        <v>0</v>
      </c>
      <c r="M66" s="16">
        <v>0</v>
      </c>
      <c r="N66" s="17">
        <v>0</v>
      </c>
      <c r="O66" s="16">
        <v>0</v>
      </c>
      <c r="P66" s="17">
        <v>0</v>
      </c>
      <c r="Q66" s="16">
        <v>0</v>
      </c>
      <c r="R66" s="17">
        <v>0</v>
      </c>
      <c r="S66" s="16">
        <v>0</v>
      </c>
      <c r="T66" s="17">
        <v>0</v>
      </c>
      <c r="U66" s="16">
        <v>0</v>
      </c>
      <c r="V66" s="17">
        <v>0</v>
      </c>
      <c r="W66" s="16">
        <v>0</v>
      </c>
      <c r="X66" s="17">
        <v>0</v>
      </c>
    </row>
    <row r="67" spans="1:24" ht="16.5" customHeight="1" x14ac:dyDescent="0.2">
      <c r="A67" s="94"/>
      <c r="B67" s="15" t="s">
        <v>57</v>
      </c>
      <c r="C67" s="16">
        <v>163</v>
      </c>
      <c r="D67" s="17">
        <v>163</v>
      </c>
      <c r="E67" s="16">
        <v>163</v>
      </c>
      <c r="F67" s="17">
        <v>163</v>
      </c>
      <c r="G67" s="16">
        <v>163</v>
      </c>
      <c r="H67" s="17">
        <v>163</v>
      </c>
      <c r="I67" s="16">
        <v>163</v>
      </c>
      <c r="J67" s="17">
        <v>163</v>
      </c>
      <c r="K67" s="16">
        <v>163</v>
      </c>
      <c r="L67" s="17">
        <v>163</v>
      </c>
      <c r="M67" s="16">
        <v>163</v>
      </c>
      <c r="N67" s="17">
        <v>163</v>
      </c>
      <c r="O67" s="16">
        <v>163</v>
      </c>
      <c r="P67" s="17">
        <v>163</v>
      </c>
      <c r="Q67" s="16">
        <v>163</v>
      </c>
      <c r="R67" s="17">
        <v>163</v>
      </c>
      <c r="S67" s="16">
        <v>163</v>
      </c>
      <c r="T67" s="17">
        <v>163</v>
      </c>
      <c r="U67" s="16">
        <v>163</v>
      </c>
      <c r="V67" s="17">
        <v>163</v>
      </c>
      <c r="W67" s="16">
        <v>163</v>
      </c>
      <c r="X67" s="17">
        <v>163</v>
      </c>
    </row>
    <row r="68" spans="1:24" ht="16.5" customHeight="1" x14ac:dyDescent="0.2">
      <c r="A68" s="94"/>
      <c r="B68" s="15" t="s">
        <v>18</v>
      </c>
      <c r="C68" s="16">
        <v>308</v>
      </c>
      <c r="D68" s="17">
        <v>308</v>
      </c>
      <c r="E68" s="16">
        <v>308</v>
      </c>
      <c r="F68" s="17">
        <v>308</v>
      </c>
      <c r="G68" s="16">
        <v>308</v>
      </c>
      <c r="H68" s="17">
        <v>308</v>
      </c>
      <c r="I68" s="16">
        <v>308</v>
      </c>
      <c r="J68" s="17">
        <v>308</v>
      </c>
      <c r="K68" s="16">
        <v>308</v>
      </c>
      <c r="L68" s="17">
        <v>308</v>
      </c>
      <c r="M68" s="16">
        <v>331.63519552999998</v>
      </c>
      <c r="N68" s="17">
        <v>385.62053164999998</v>
      </c>
      <c r="O68" s="16">
        <v>385.62053164999998</v>
      </c>
      <c r="P68" s="17">
        <v>385.62053164999998</v>
      </c>
      <c r="Q68" s="16">
        <v>733.70135851999999</v>
      </c>
      <c r="R68" s="17">
        <v>849.61329735000004</v>
      </c>
      <c r="S68" s="16">
        <v>1362.9294429500001</v>
      </c>
      <c r="T68" s="17">
        <v>1597.9827720399999</v>
      </c>
      <c r="U68" s="16">
        <v>1952.44908908</v>
      </c>
      <c r="V68" s="17">
        <v>1952.44908908</v>
      </c>
      <c r="W68" s="16">
        <v>2120.24748847</v>
      </c>
      <c r="X68" s="17">
        <v>2120.24748847</v>
      </c>
    </row>
    <row r="69" spans="1:24" ht="16.5" customHeight="1" x14ac:dyDescent="0.2">
      <c r="A69" s="94"/>
      <c r="B69" s="15" t="s">
        <v>58</v>
      </c>
      <c r="C69" s="16">
        <v>0</v>
      </c>
      <c r="D69" s="17">
        <v>0</v>
      </c>
      <c r="E69" s="16">
        <v>0</v>
      </c>
      <c r="F69" s="17">
        <v>0</v>
      </c>
      <c r="G69" s="16">
        <v>0</v>
      </c>
      <c r="H69" s="17">
        <v>0</v>
      </c>
      <c r="I69" s="16">
        <v>0</v>
      </c>
      <c r="J69" s="17">
        <v>0</v>
      </c>
      <c r="K69" s="16">
        <v>0</v>
      </c>
      <c r="L69" s="17">
        <v>0</v>
      </c>
      <c r="M69" s="16">
        <v>0</v>
      </c>
      <c r="N69" s="17">
        <v>0</v>
      </c>
      <c r="O69" s="16">
        <v>0</v>
      </c>
      <c r="P69" s="17">
        <v>0</v>
      </c>
      <c r="Q69" s="16">
        <v>0</v>
      </c>
      <c r="R69" s="17">
        <v>0</v>
      </c>
      <c r="S69" s="16">
        <v>0</v>
      </c>
      <c r="T69" s="17">
        <v>0</v>
      </c>
      <c r="U69" s="16">
        <v>0</v>
      </c>
      <c r="V69" s="17">
        <v>0</v>
      </c>
      <c r="W69" s="16">
        <v>0</v>
      </c>
      <c r="X69" s="17">
        <v>0</v>
      </c>
    </row>
    <row r="70" spans="1:24" ht="16.5" customHeight="1" x14ac:dyDescent="0.2">
      <c r="A70" s="94"/>
      <c r="B70" s="15" t="s">
        <v>59</v>
      </c>
      <c r="C70" s="16">
        <v>0</v>
      </c>
      <c r="D70" s="17">
        <v>0</v>
      </c>
      <c r="E70" s="16">
        <v>0</v>
      </c>
      <c r="F70" s="17">
        <v>0</v>
      </c>
      <c r="G70" s="16">
        <v>0</v>
      </c>
      <c r="H70" s="17">
        <v>0</v>
      </c>
      <c r="I70" s="16">
        <v>0</v>
      </c>
      <c r="J70" s="17">
        <v>0</v>
      </c>
      <c r="K70" s="16">
        <v>0</v>
      </c>
      <c r="L70" s="17">
        <v>0</v>
      </c>
      <c r="M70" s="16">
        <v>0</v>
      </c>
      <c r="N70" s="17">
        <v>0</v>
      </c>
      <c r="O70" s="16">
        <v>0</v>
      </c>
      <c r="P70" s="17">
        <v>0</v>
      </c>
      <c r="Q70" s="16">
        <v>1500</v>
      </c>
      <c r="R70" s="17">
        <v>1500</v>
      </c>
      <c r="S70" s="16">
        <v>1500</v>
      </c>
      <c r="T70" s="17">
        <v>1500</v>
      </c>
      <c r="U70" s="16">
        <v>1500</v>
      </c>
      <c r="V70" s="17">
        <v>1500</v>
      </c>
      <c r="W70" s="16">
        <v>1500</v>
      </c>
      <c r="X70" s="17">
        <v>1500</v>
      </c>
    </row>
    <row r="71" spans="1:24" ht="16.5" customHeight="1" x14ac:dyDescent="0.2">
      <c r="A71" s="94"/>
      <c r="B71" s="15" t="s">
        <v>60</v>
      </c>
      <c r="C71" s="16">
        <v>0</v>
      </c>
      <c r="D71" s="17">
        <v>0</v>
      </c>
      <c r="E71" s="16">
        <v>0</v>
      </c>
      <c r="F71" s="17">
        <v>0</v>
      </c>
      <c r="G71" s="16">
        <v>0</v>
      </c>
      <c r="H71" s="17">
        <v>0</v>
      </c>
      <c r="I71" s="16">
        <v>0</v>
      </c>
      <c r="J71" s="17">
        <v>0</v>
      </c>
      <c r="K71" s="16">
        <v>0</v>
      </c>
      <c r="L71" s="17">
        <v>0</v>
      </c>
      <c r="M71" s="16">
        <v>0</v>
      </c>
      <c r="N71" s="17">
        <v>0</v>
      </c>
      <c r="O71" s="16">
        <v>0</v>
      </c>
      <c r="P71" s="17">
        <v>0</v>
      </c>
      <c r="Q71" s="16">
        <v>0</v>
      </c>
      <c r="R71" s="17">
        <v>0</v>
      </c>
      <c r="S71" s="16">
        <v>0</v>
      </c>
      <c r="T71" s="17">
        <v>0</v>
      </c>
      <c r="U71" s="16">
        <v>0</v>
      </c>
      <c r="V71" s="17">
        <v>0</v>
      </c>
      <c r="W71" s="16">
        <v>0</v>
      </c>
      <c r="X71" s="17">
        <v>0</v>
      </c>
    </row>
    <row r="72" spans="1:24" ht="16.5" customHeight="1" x14ac:dyDescent="0.2">
      <c r="A72" s="94"/>
      <c r="B72" s="15" t="s">
        <v>61</v>
      </c>
      <c r="C72" s="16">
        <v>5.78</v>
      </c>
      <c r="D72" s="17">
        <v>11.05</v>
      </c>
      <c r="E72" s="16">
        <v>17.489999999999998</v>
      </c>
      <c r="F72" s="17">
        <v>23.36</v>
      </c>
      <c r="G72" s="16">
        <v>29.72</v>
      </c>
      <c r="H72" s="17">
        <v>33.159999999999997</v>
      </c>
      <c r="I72" s="16">
        <v>35.43</v>
      </c>
      <c r="J72" s="17">
        <v>36.409999999999997</v>
      </c>
      <c r="K72" s="16">
        <v>37.369999999999997</v>
      </c>
      <c r="L72" s="17">
        <v>38.119999999999997</v>
      </c>
      <c r="M72" s="16">
        <v>38.659999999999997</v>
      </c>
      <c r="N72" s="17">
        <v>39.270000000000003</v>
      </c>
      <c r="O72" s="16">
        <v>39.909999999999997</v>
      </c>
      <c r="P72" s="17">
        <v>40.549999999999997</v>
      </c>
      <c r="Q72" s="16">
        <v>41.21</v>
      </c>
      <c r="R72" s="17">
        <v>41.88</v>
      </c>
      <c r="S72" s="16">
        <v>42.55</v>
      </c>
      <c r="T72" s="17">
        <v>43.23</v>
      </c>
      <c r="U72" s="16">
        <v>43.91</v>
      </c>
      <c r="V72" s="17">
        <v>44.59</v>
      </c>
      <c r="W72" s="16">
        <v>45.27</v>
      </c>
      <c r="X72" s="17">
        <v>45.95</v>
      </c>
    </row>
    <row r="73" spans="1:24" ht="16.5" customHeight="1" x14ac:dyDescent="0.2">
      <c r="A73" s="94"/>
      <c r="B73" s="15" t="s">
        <v>41</v>
      </c>
      <c r="C73" s="16">
        <v>150</v>
      </c>
      <c r="D73" s="17">
        <v>169</v>
      </c>
      <c r="E73" s="16">
        <v>187</v>
      </c>
      <c r="F73" s="17">
        <v>201</v>
      </c>
      <c r="G73" s="16">
        <v>210</v>
      </c>
      <c r="H73" s="17">
        <v>214</v>
      </c>
      <c r="I73" s="16">
        <v>216</v>
      </c>
      <c r="J73" s="17">
        <v>218</v>
      </c>
      <c r="K73" s="16">
        <v>219</v>
      </c>
      <c r="L73" s="17">
        <v>220</v>
      </c>
      <c r="M73" s="16">
        <v>222</v>
      </c>
      <c r="N73" s="17">
        <v>223</v>
      </c>
      <c r="O73" s="16">
        <v>224</v>
      </c>
      <c r="P73" s="17">
        <v>225</v>
      </c>
      <c r="Q73" s="16">
        <v>227</v>
      </c>
      <c r="R73" s="17">
        <v>228</v>
      </c>
      <c r="S73" s="16">
        <v>229</v>
      </c>
      <c r="T73" s="17">
        <v>231</v>
      </c>
      <c r="U73" s="16">
        <v>232</v>
      </c>
      <c r="V73" s="17">
        <v>233</v>
      </c>
      <c r="W73" s="16">
        <v>235</v>
      </c>
      <c r="X73" s="17">
        <v>236</v>
      </c>
    </row>
  </sheetData>
  <mergeCells count="6">
    <mergeCell ref="A63:A73"/>
    <mergeCell ref="A3:A14"/>
    <mergeCell ref="A19:A29"/>
    <mergeCell ref="A30:A40"/>
    <mergeCell ref="A41:A51"/>
    <mergeCell ref="A52:A6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X85"/>
  <sheetViews>
    <sheetView zoomScaleNormal="100" workbookViewId="0"/>
  </sheetViews>
  <sheetFormatPr defaultColWidth="9.140625" defaultRowHeight="16.5" customHeight="1" x14ac:dyDescent="0.2"/>
  <cols>
    <col min="1" max="1" width="24.28515625" style="4" customWidth="1"/>
    <col min="2" max="2" width="19.5703125" style="4" customWidth="1"/>
    <col min="3" max="24" width="10.42578125" style="29" customWidth="1"/>
    <col min="25" max="16384" width="9.140625" style="4"/>
  </cols>
  <sheetData>
    <row r="1" spans="1:24" ht="16.5" customHeight="1" x14ac:dyDescent="0.25">
      <c r="A1" s="28" t="s">
        <v>70</v>
      </c>
    </row>
    <row r="2" spans="1:24" s="14" customFormat="1" ht="16.5" customHeight="1" x14ac:dyDescent="0.2">
      <c r="A2" s="30" t="s">
        <v>34</v>
      </c>
      <c r="B2" s="11" t="s">
        <v>20</v>
      </c>
      <c r="C2" s="12" t="s">
        <v>0</v>
      </c>
      <c r="D2" s="13" t="s">
        <v>1</v>
      </c>
      <c r="E2" s="12" t="s">
        <v>2</v>
      </c>
      <c r="F2" s="13" t="s">
        <v>3</v>
      </c>
      <c r="G2" s="12" t="s">
        <v>4</v>
      </c>
      <c r="H2" s="13" t="s">
        <v>5</v>
      </c>
      <c r="I2" s="12" t="s">
        <v>6</v>
      </c>
      <c r="J2" s="13" t="s">
        <v>7</v>
      </c>
      <c r="K2" s="12" t="s">
        <v>8</v>
      </c>
      <c r="L2" s="13" t="s">
        <v>9</v>
      </c>
      <c r="M2" s="12" t="s">
        <v>10</v>
      </c>
      <c r="N2" s="13" t="s">
        <v>11</v>
      </c>
      <c r="O2" s="12" t="s">
        <v>12</v>
      </c>
      <c r="P2" s="13" t="s">
        <v>13</v>
      </c>
      <c r="Q2" s="12" t="s">
        <v>14</v>
      </c>
      <c r="R2" s="13" t="s">
        <v>15</v>
      </c>
      <c r="S2" s="12" t="s">
        <v>16</v>
      </c>
      <c r="T2" s="13" t="s">
        <v>45</v>
      </c>
      <c r="U2" s="12" t="s">
        <v>62</v>
      </c>
      <c r="V2" s="13" t="s">
        <v>63</v>
      </c>
      <c r="W2" s="12" t="s">
        <v>64</v>
      </c>
      <c r="X2" s="13" t="s">
        <v>65</v>
      </c>
    </row>
    <row r="3" spans="1:24" ht="16.5" customHeight="1" x14ac:dyDescent="0.2">
      <c r="A3" s="96" t="s">
        <v>42</v>
      </c>
      <c r="B3" s="15" t="s">
        <v>55</v>
      </c>
      <c r="C3" s="16">
        <v>105738.38944472403</v>
      </c>
      <c r="D3" s="17">
        <v>101611.75272675593</v>
      </c>
      <c r="E3" s="16">
        <v>98983.908562801196</v>
      </c>
      <c r="F3" s="17">
        <v>101540.15604110336</v>
      </c>
      <c r="G3" s="16">
        <v>96177.429835056275</v>
      </c>
      <c r="H3" s="17">
        <v>94936.204978096881</v>
      </c>
      <c r="I3" s="16">
        <v>94710.411584562302</v>
      </c>
      <c r="J3" s="17">
        <v>91801.820983754602</v>
      </c>
      <c r="K3" s="16">
        <v>91031.321412592559</v>
      </c>
      <c r="L3" s="17">
        <v>88375.841418387863</v>
      </c>
      <c r="M3" s="16">
        <v>84948.455070455297</v>
      </c>
      <c r="N3" s="17">
        <v>77059.528082719291</v>
      </c>
      <c r="O3" s="16">
        <v>76785.842988192526</v>
      </c>
      <c r="P3" s="17">
        <v>74109.629880960085</v>
      </c>
      <c r="Q3" s="16">
        <v>73146.720900723682</v>
      </c>
      <c r="R3" s="17">
        <v>70467.983648463938</v>
      </c>
      <c r="S3" s="16">
        <v>60603.635529453648</v>
      </c>
      <c r="T3" s="17">
        <v>46164.65083713382</v>
      </c>
      <c r="U3" s="16">
        <v>36497.005086834542</v>
      </c>
      <c r="V3" s="17">
        <v>34159.2608368902</v>
      </c>
      <c r="W3" s="16">
        <v>34324.871871044561</v>
      </c>
      <c r="X3" s="17">
        <v>34375.81173369474</v>
      </c>
    </row>
    <row r="4" spans="1:24" ht="16.5" customHeight="1" x14ac:dyDescent="0.2">
      <c r="A4" s="97"/>
      <c r="B4" s="15" t="s">
        <v>56</v>
      </c>
      <c r="C4" s="16">
        <v>32184.499307837919</v>
      </c>
      <c r="D4" s="17">
        <v>32195.312432196897</v>
      </c>
      <c r="E4" s="16">
        <v>32260.471748695039</v>
      </c>
      <c r="F4" s="17">
        <v>32543.419389839517</v>
      </c>
      <c r="G4" s="16">
        <v>30095.133473787915</v>
      </c>
      <c r="H4" s="17">
        <v>29985.812608765729</v>
      </c>
      <c r="I4" s="16">
        <v>32552.121793967948</v>
      </c>
      <c r="J4" s="17">
        <v>32532.838987534131</v>
      </c>
      <c r="K4" s="16">
        <v>28786.054501286693</v>
      </c>
      <c r="L4" s="17">
        <v>32564.19156855801</v>
      </c>
      <c r="M4" s="16">
        <v>28821.622973900412</v>
      </c>
      <c r="N4" s="17">
        <v>28700.709472782539</v>
      </c>
      <c r="O4" s="16">
        <v>32148.113119162943</v>
      </c>
      <c r="P4" s="17">
        <v>32201.764155513691</v>
      </c>
      <c r="Q4" s="16">
        <v>22359.669706297682</v>
      </c>
      <c r="R4" s="17">
        <v>22333.254269409041</v>
      </c>
      <c r="S4" s="16">
        <v>22140.758527194517</v>
      </c>
      <c r="T4" s="17">
        <v>22057.17885778605</v>
      </c>
      <c r="U4" s="16">
        <v>18294.98135154961</v>
      </c>
      <c r="V4" s="17">
        <v>21956.130087324429</v>
      </c>
      <c r="W4" s="16">
        <v>18327.560539817092</v>
      </c>
      <c r="X4" s="17">
        <v>18296.666723879531</v>
      </c>
    </row>
    <row r="5" spans="1:24" ht="16.5" customHeight="1" x14ac:dyDescent="0.2">
      <c r="A5" s="97"/>
      <c r="B5" s="15" t="s">
        <v>17</v>
      </c>
      <c r="C5" s="16">
        <v>15797.150798449071</v>
      </c>
      <c r="D5" s="17">
        <v>15840.430663650441</v>
      </c>
      <c r="E5" s="16">
        <v>15797.150798448811</v>
      </c>
      <c r="F5" s="17">
        <v>15797.150798448951</v>
      </c>
      <c r="G5" s="16">
        <v>15797.150798448842</v>
      </c>
      <c r="H5" s="17">
        <v>15840.430663650321</v>
      </c>
      <c r="I5" s="16">
        <v>15729.268557402973</v>
      </c>
      <c r="J5" s="17">
        <v>15797.150798448953</v>
      </c>
      <c r="K5" s="16">
        <v>15797.150798449071</v>
      </c>
      <c r="L5" s="17">
        <v>15840.430663650102</v>
      </c>
      <c r="M5" s="16">
        <v>15797.150798449002</v>
      </c>
      <c r="N5" s="17">
        <v>15797.150798448878</v>
      </c>
      <c r="O5" s="16">
        <v>15797.150798449071</v>
      </c>
      <c r="P5" s="17">
        <v>15840.430663650201</v>
      </c>
      <c r="Q5" s="16">
        <v>15797.15079844908</v>
      </c>
      <c r="R5" s="17">
        <v>15797.150798448942</v>
      </c>
      <c r="S5" s="16">
        <v>15797.150798448831</v>
      </c>
      <c r="T5" s="17">
        <v>15840.430663650219</v>
      </c>
      <c r="U5" s="16">
        <v>15797.150798448929</v>
      </c>
      <c r="V5" s="17">
        <v>15797.150798449031</v>
      </c>
      <c r="W5" s="16">
        <v>15797.150798448962</v>
      </c>
      <c r="X5" s="17">
        <v>15840.43066365017</v>
      </c>
    </row>
    <row r="6" spans="1:24" ht="16.5" customHeight="1" x14ac:dyDescent="0.2">
      <c r="A6" s="97"/>
      <c r="B6" s="15" t="s">
        <v>44</v>
      </c>
      <c r="C6" s="16">
        <v>13814</v>
      </c>
      <c r="D6" s="17">
        <v>11151</v>
      </c>
      <c r="E6" s="16">
        <v>11040</v>
      </c>
      <c r="F6" s="17">
        <v>6836</v>
      </c>
      <c r="G6" s="16">
        <v>9514</v>
      </c>
      <c r="H6" s="17">
        <v>8185</v>
      </c>
      <c r="I6" s="16">
        <v>2500</v>
      </c>
      <c r="J6" s="17">
        <v>3926</v>
      </c>
      <c r="K6" s="16">
        <v>5320</v>
      </c>
      <c r="L6" s="17">
        <v>2396</v>
      </c>
      <c r="M6" s="16">
        <v>4388</v>
      </c>
      <c r="N6" s="17">
        <v>7034</v>
      </c>
      <c r="O6" s="16">
        <v>5063</v>
      </c>
      <c r="P6" s="17">
        <v>7121</v>
      </c>
      <c r="Q6" s="16">
        <v>7149</v>
      </c>
      <c r="R6" s="17">
        <v>7904</v>
      </c>
      <c r="S6" s="16">
        <v>8641</v>
      </c>
      <c r="T6" s="17">
        <v>8566</v>
      </c>
      <c r="U6" s="16">
        <v>10041</v>
      </c>
      <c r="V6" s="17">
        <v>9596</v>
      </c>
      <c r="W6" s="16">
        <v>9661</v>
      </c>
      <c r="X6" s="17">
        <v>9487</v>
      </c>
    </row>
    <row r="7" spans="1:24" ht="16.5" customHeight="1" x14ac:dyDescent="0.2">
      <c r="A7" s="97"/>
      <c r="B7" s="15" t="s">
        <v>57</v>
      </c>
      <c r="C7" s="16">
        <v>1540</v>
      </c>
      <c r="D7" s="17">
        <v>550</v>
      </c>
      <c r="E7" s="16">
        <v>481</v>
      </c>
      <c r="F7" s="17">
        <v>158</v>
      </c>
      <c r="G7" s="16">
        <v>374</v>
      </c>
      <c r="H7" s="17">
        <v>307</v>
      </c>
      <c r="I7" s="16">
        <v>134</v>
      </c>
      <c r="J7" s="17">
        <v>184</v>
      </c>
      <c r="K7" s="16">
        <v>281</v>
      </c>
      <c r="L7" s="17">
        <v>131</v>
      </c>
      <c r="M7" s="16">
        <v>223</v>
      </c>
      <c r="N7" s="17">
        <v>733</v>
      </c>
      <c r="O7" s="16">
        <v>348</v>
      </c>
      <c r="P7" s="17">
        <v>712</v>
      </c>
      <c r="Q7" s="16">
        <v>1096</v>
      </c>
      <c r="R7" s="17">
        <v>1521</v>
      </c>
      <c r="S7" s="16">
        <v>1899</v>
      </c>
      <c r="T7" s="17">
        <v>1950</v>
      </c>
      <c r="U7" s="16">
        <v>2952</v>
      </c>
      <c r="V7" s="17">
        <v>2474</v>
      </c>
      <c r="W7" s="16">
        <v>3023</v>
      </c>
      <c r="X7" s="17">
        <v>2730</v>
      </c>
    </row>
    <row r="8" spans="1:24" ht="16.5" customHeight="1" x14ac:dyDescent="0.2">
      <c r="A8" s="97"/>
      <c r="B8" s="15" t="s">
        <v>18</v>
      </c>
      <c r="C8" s="16">
        <v>18209.462649832865</v>
      </c>
      <c r="D8" s="17">
        <v>24360.333479954519</v>
      </c>
      <c r="E8" s="16">
        <v>26242.128582003214</v>
      </c>
      <c r="F8" s="17">
        <v>27350.138523132035</v>
      </c>
      <c r="G8" s="16">
        <v>28867.335136364734</v>
      </c>
      <c r="H8" s="17">
        <v>30805.985829146008</v>
      </c>
      <c r="I8" s="16">
        <v>32733.840562223457</v>
      </c>
      <c r="J8" s="17">
        <v>32680.206745328942</v>
      </c>
      <c r="K8" s="16">
        <v>33830.941899422192</v>
      </c>
      <c r="L8" s="17">
        <v>33925.494139954579</v>
      </c>
      <c r="M8" s="16">
        <v>35494.89809593156</v>
      </c>
      <c r="N8" s="17">
        <v>35823.071425975344</v>
      </c>
      <c r="O8" s="16">
        <v>34557.897406818207</v>
      </c>
      <c r="P8" s="17">
        <v>34741.228889723163</v>
      </c>
      <c r="Q8" s="16">
        <v>36902.43126665039</v>
      </c>
      <c r="R8" s="17">
        <v>37690.337233444196</v>
      </c>
      <c r="S8" s="16">
        <v>41499.270193614422</v>
      </c>
      <c r="T8" s="17">
        <v>44458.248491895101</v>
      </c>
      <c r="U8" s="16">
        <v>50308.144497968147</v>
      </c>
      <c r="V8" s="17">
        <v>49788.70842581465</v>
      </c>
      <c r="W8" s="16">
        <v>51974.393161351167</v>
      </c>
      <c r="X8" s="17">
        <v>52895.000309940151</v>
      </c>
    </row>
    <row r="9" spans="1:24" ht="16.5" customHeight="1" x14ac:dyDescent="0.2">
      <c r="A9" s="97"/>
      <c r="B9" s="15" t="s">
        <v>58</v>
      </c>
      <c r="C9" s="16">
        <v>4830.3847271585701</v>
      </c>
      <c r="D9" s="17">
        <v>7338.4040847759497</v>
      </c>
      <c r="E9" s="16">
        <v>7310.2699783266908</v>
      </c>
      <c r="F9" s="17">
        <v>7463.9121260854108</v>
      </c>
      <c r="G9" s="16">
        <v>9707.9978117372302</v>
      </c>
      <c r="H9" s="17">
        <v>11174.518223422672</v>
      </c>
      <c r="I9" s="16">
        <v>12885.44036121819</v>
      </c>
      <c r="J9" s="17">
        <v>15784.533769985021</v>
      </c>
      <c r="K9" s="16">
        <v>17871.974746597698</v>
      </c>
      <c r="L9" s="17">
        <v>19833.082425322093</v>
      </c>
      <c r="M9" s="16">
        <v>21758.409097139891</v>
      </c>
      <c r="N9" s="17">
        <v>25956.571257201696</v>
      </c>
      <c r="O9" s="16">
        <v>25732.865642017096</v>
      </c>
      <c r="P9" s="17">
        <v>26584.163489021215</v>
      </c>
      <c r="Q9" s="16">
        <v>33847.248514564533</v>
      </c>
      <c r="R9" s="17">
        <v>34863.954791768658</v>
      </c>
      <c r="S9" s="16">
        <v>43260.456467190415</v>
      </c>
      <c r="T9" s="17">
        <v>56012.807359381855</v>
      </c>
      <c r="U9" s="16">
        <v>64217.75156106583</v>
      </c>
      <c r="V9" s="17">
        <v>66655.614867663782</v>
      </c>
      <c r="W9" s="16">
        <v>69769.678068386434</v>
      </c>
      <c r="X9" s="17">
        <v>71458.160523337618</v>
      </c>
    </row>
    <row r="10" spans="1:24" ht="16.5" customHeight="1" x14ac:dyDescent="0.2">
      <c r="A10" s="97"/>
      <c r="B10" s="15" t="s">
        <v>66</v>
      </c>
      <c r="C10" s="16">
        <v>-129.03595429414443</v>
      </c>
      <c r="D10" s="17">
        <v>-256.80849357333324</v>
      </c>
      <c r="E10" s="16">
        <v>-369.47443644251103</v>
      </c>
      <c r="F10" s="17">
        <v>-552.65066500784451</v>
      </c>
      <c r="G10" s="16">
        <v>-827.16801425951064</v>
      </c>
      <c r="H10" s="17">
        <v>-1015.9965492528772</v>
      </c>
      <c r="I10" s="16">
        <v>-1155.8213002800317</v>
      </c>
      <c r="J10" s="17">
        <v>-1311.7664113429355</v>
      </c>
      <c r="K10" s="16">
        <v>-1447.8651761196897</v>
      </c>
      <c r="L10" s="17">
        <v>-1665.4406477032201</v>
      </c>
      <c r="M10" s="16">
        <v>-1862.0257911357912</v>
      </c>
      <c r="N10" s="17">
        <v>-2035.5818281384679</v>
      </c>
      <c r="O10" s="16">
        <v>-2121.6178281775096</v>
      </c>
      <c r="P10" s="17">
        <v>-2269.5189384394675</v>
      </c>
      <c r="Q10" s="16">
        <v>-2401.8003445837767</v>
      </c>
      <c r="R10" s="17">
        <v>-2540.8623010894567</v>
      </c>
      <c r="S10" s="16">
        <v>-2676.2992164410548</v>
      </c>
      <c r="T10" s="17">
        <v>-2815.8045768482989</v>
      </c>
      <c r="U10" s="16">
        <v>-2936.0178757843109</v>
      </c>
      <c r="V10" s="17">
        <v>-3057.2490241642522</v>
      </c>
      <c r="W10" s="16">
        <v>-3149.9072323491218</v>
      </c>
      <c r="X10" s="17">
        <v>-3271.3995643253011</v>
      </c>
    </row>
    <row r="11" spans="1:24" ht="16.5" customHeight="1" x14ac:dyDescent="0.2">
      <c r="A11" s="97"/>
      <c r="B11" s="15" t="s">
        <v>67</v>
      </c>
      <c r="C11" s="16">
        <v>1078.8252603609103</v>
      </c>
      <c r="D11" s="17">
        <v>115.15664210207997</v>
      </c>
      <c r="E11" s="16">
        <v>82.21307748660999</v>
      </c>
      <c r="F11" s="17">
        <v>169.62592915976995</v>
      </c>
      <c r="G11" s="16">
        <v>631.56128939071095</v>
      </c>
      <c r="H11" s="17">
        <v>662.34729998294097</v>
      </c>
      <c r="I11" s="16">
        <v>2210.7596149980504</v>
      </c>
      <c r="J11" s="17">
        <v>3663.8869616352504</v>
      </c>
      <c r="K11" s="16">
        <v>4886.1961753662908</v>
      </c>
      <c r="L11" s="17">
        <v>3217.8506443890301</v>
      </c>
      <c r="M11" s="16">
        <v>4666.8131748513815</v>
      </c>
      <c r="N11" s="17">
        <v>6215.2877199327877</v>
      </c>
      <c r="O11" s="16">
        <v>5971.1219733837779</v>
      </c>
      <c r="P11" s="17">
        <v>6540.9240343984875</v>
      </c>
      <c r="Q11" s="16">
        <v>8316.9762697176684</v>
      </c>
      <c r="R11" s="17">
        <v>8702.7061260952742</v>
      </c>
      <c r="S11" s="16">
        <v>12876.330655486259</v>
      </c>
      <c r="T11" s="17">
        <v>18952.162687053518</v>
      </c>
      <c r="U11" s="16">
        <v>24712.120603230309</v>
      </c>
      <c r="V11" s="17">
        <v>26476.789283770417</v>
      </c>
      <c r="W11" s="16">
        <v>28905.747161008941</v>
      </c>
      <c r="X11" s="17">
        <v>30274.838114959071</v>
      </c>
    </row>
    <row r="12" spans="1:24" ht="16.5" customHeight="1" x14ac:dyDescent="0.2">
      <c r="A12" s="97"/>
      <c r="B12" s="15" t="s">
        <v>60</v>
      </c>
      <c r="C12" s="16">
        <v>0</v>
      </c>
      <c r="D12" s="17">
        <v>0</v>
      </c>
      <c r="E12" s="16">
        <v>0</v>
      </c>
      <c r="F12" s="17">
        <v>0</v>
      </c>
      <c r="G12" s="16">
        <v>0</v>
      </c>
      <c r="H12" s="17">
        <v>0</v>
      </c>
      <c r="I12" s="16">
        <v>0</v>
      </c>
      <c r="J12" s="17">
        <v>0</v>
      </c>
      <c r="K12" s="16">
        <v>0</v>
      </c>
      <c r="L12" s="17">
        <v>0</v>
      </c>
      <c r="M12" s="16">
        <v>0</v>
      </c>
      <c r="N12" s="17">
        <v>0</v>
      </c>
      <c r="O12" s="16">
        <v>0</v>
      </c>
      <c r="P12" s="17">
        <v>0</v>
      </c>
      <c r="Q12" s="16">
        <v>0</v>
      </c>
      <c r="R12" s="17">
        <v>0</v>
      </c>
      <c r="S12" s="16">
        <v>0</v>
      </c>
      <c r="T12" s="17">
        <v>0</v>
      </c>
      <c r="U12" s="16">
        <v>0</v>
      </c>
      <c r="V12" s="17">
        <v>0</v>
      </c>
      <c r="W12" s="16">
        <v>0</v>
      </c>
      <c r="X12" s="17">
        <v>0</v>
      </c>
    </row>
    <row r="13" spans="1:24" ht="16.5" customHeight="1" x14ac:dyDescent="0.2">
      <c r="A13" s="97"/>
      <c r="B13" s="15" t="s">
        <v>68</v>
      </c>
      <c r="C13" s="16">
        <v>-1348.5315754511378</v>
      </c>
      <c r="D13" s="17">
        <v>-143.94580262759996</v>
      </c>
      <c r="E13" s="16">
        <v>-102.76634685826248</v>
      </c>
      <c r="F13" s="17">
        <v>-212.03241144971244</v>
      </c>
      <c r="G13" s="16">
        <v>-789.45161173838869</v>
      </c>
      <c r="H13" s="17">
        <v>-827.93412497867621</v>
      </c>
      <c r="I13" s="16">
        <v>-2763.4495187475627</v>
      </c>
      <c r="J13" s="17">
        <v>-4579.8587020440627</v>
      </c>
      <c r="K13" s="16">
        <v>-6107.7452192078636</v>
      </c>
      <c r="L13" s="17">
        <v>-4022.3133054862874</v>
      </c>
      <c r="M13" s="16">
        <v>-5833.5164685642267</v>
      </c>
      <c r="N13" s="17">
        <v>-7769.1096499159839</v>
      </c>
      <c r="O13" s="16">
        <v>-7463.9024667297217</v>
      </c>
      <c r="P13" s="17">
        <v>-8176.1550429981089</v>
      </c>
      <c r="Q13" s="16">
        <v>-10396.220337147084</v>
      </c>
      <c r="R13" s="17">
        <v>-10878.382657619091</v>
      </c>
      <c r="S13" s="16">
        <v>-16095.413319357824</v>
      </c>
      <c r="T13" s="17">
        <v>-23690.203358816896</v>
      </c>
      <c r="U13" s="16">
        <v>-30890.150754037884</v>
      </c>
      <c r="V13" s="17">
        <v>-33095.98660471302</v>
      </c>
      <c r="W13" s="16">
        <v>-36132.183951261177</v>
      </c>
      <c r="X13" s="17">
        <v>-37843.547643698839</v>
      </c>
    </row>
    <row r="14" spans="1:24" ht="16.5" customHeight="1" x14ac:dyDescent="0.2">
      <c r="A14" s="97"/>
      <c r="B14" s="15" t="s">
        <v>69</v>
      </c>
      <c r="C14" s="16">
        <v>116.13235886472998</v>
      </c>
      <c r="D14" s="17">
        <v>231.12764421599991</v>
      </c>
      <c r="E14" s="16">
        <v>332.52699279825993</v>
      </c>
      <c r="F14" s="17">
        <v>497.38559850706008</v>
      </c>
      <c r="G14" s="16">
        <v>744.45121283355957</v>
      </c>
      <c r="H14" s="17">
        <v>914.39689432758951</v>
      </c>
      <c r="I14" s="16">
        <v>1040.2391702520285</v>
      </c>
      <c r="J14" s="17">
        <v>1180.589770208642</v>
      </c>
      <c r="K14" s="16">
        <v>1303.0786585077208</v>
      </c>
      <c r="L14" s="17">
        <v>1498.8965829328981</v>
      </c>
      <c r="M14" s="16">
        <v>1675.8232120222121</v>
      </c>
      <c r="N14" s="17">
        <v>1832.0236453246212</v>
      </c>
      <c r="O14" s="16">
        <v>1909.4560453597587</v>
      </c>
      <c r="P14" s="17">
        <v>2042.5670445955207</v>
      </c>
      <c r="Q14" s="16">
        <v>2161.6203101253991</v>
      </c>
      <c r="R14" s="17">
        <v>2286.7760709805111</v>
      </c>
      <c r="S14" s="16">
        <v>2408.6692947969495</v>
      </c>
      <c r="T14" s="17">
        <v>2534.2241191634689</v>
      </c>
      <c r="U14" s="16">
        <v>2642.41608820588</v>
      </c>
      <c r="V14" s="17">
        <v>2751.5241217478269</v>
      </c>
      <c r="W14" s="16">
        <v>2834.9165091142099</v>
      </c>
      <c r="X14" s="17">
        <v>2944.2596078927709</v>
      </c>
    </row>
    <row r="15" spans="1:24" s="2" customFormat="1" ht="16.5" customHeight="1" x14ac:dyDescent="0.2">
      <c r="A15" s="97"/>
      <c r="B15" s="15" t="s">
        <v>41</v>
      </c>
      <c r="C15" s="16">
        <v>9475</v>
      </c>
      <c r="D15" s="17">
        <v>10796</v>
      </c>
      <c r="E15" s="16">
        <v>12167</v>
      </c>
      <c r="F15" s="17">
        <v>13376</v>
      </c>
      <c r="G15" s="16">
        <v>14355</v>
      </c>
      <c r="H15" s="17">
        <v>16163</v>
      </c>
      <c r="I15" s="16">
        <v>17452</v>
      </c>
      <c r="J15" s="17">
        <v>18649</v>
      </c>
      <c r="K15" s="16">
        <v>19832</v>
      </c>
      <c r="L15" s="17">
        <v>21164</v>
      </c>
      <c r="M15" s="16">
        <v>22247</v>
      </c>
      <c r="N15" s="17">
        <v>23373</v>
      </c>
      <c r="O15" s="16">
        <v>24371</v>
      </c>
      <c r="P15" s="17">
        <v>25416</v>
      </c>
      <c r="Q15" s="16">
        <v>26359</v>
      </c>
      <c r="R15" s="17">
        <v>27143</v>
      </c>
      <c r="S15" s="16">
        <v>27900</v>
      </c>
      <c r="T15" s="17">
        <v>28674</v>
      </c>
      <c r="U15" s="16">
        <v>29301</v>
      </c>
      <c r="V15" s="17">
        <v>29864</v>
      </c>
      <c r="W15" s="16">
        <v>30469</v>
      </c>
      <c r="X15" s="17">
        <v>31010</v>
      </c>
    </row>
    <row r="16" spans="1:24" ht="16.5" customHeight="1" x14ac:dyDescent="0.2">
      <c r="A16" s="97"/>
      <c r="B16" s="23" t="s">
        <v>40</v>
      </c>
      <c r="C16" s="24">
        <f>SUM(C3:C15)</f>
        <v>201306.27701748279</v>
      </c>
      <c r="D16" s="25">
        <f>SUM(D3:D15)</f>
        <v>203788.7633774509</v>
      </c>
      <c r="E16" s="24">
        <f t="shared" ref="E16:X16" si="0">SUM(E3:E15)</f>
        <v>204224.42895725902</v>
      </c>
      <c r="F16" s="25">
        <f t="shared" si="0"/>
        <v>204967.10532981856</v>
      </c>
      <c r="G16" s="24">
        <f t="shared" si="0"/>
        <v>204647.4399316214</v>
      </c>
      <c r="H16" s="25">
        <f t="shared" si="0"/>
        <v>207130.76582316059</v>
      </c>
      <c r="I16" s="24">
        <f t="shared" si="0"/>
        <v>208028.81082559732</v>
      </c>
      <c r="J16" s="25">
        <f t="shared" si="0"/>
        <v>210308.40290350851</v>
      </c>
      <c r="K16" s="24">
        <f t="shared" si="0"/>
        <v>211384.10779689468</v>
      </c>
      <c r="L16" s="25">
        <f t="shared" si="0"/>
        <v>213259.03349000507</v>
      </c>
      <c r="M16" s="24">
        <f t="shared" si="0"/>
        <v>212325.63016304976</v>
      </c>
      <c r="N16" s="25">
        <f t="shared" si="0"/>
        <v>212719.65092433072</v>
      </c>
      <c r="O16" s="24">
        <f t="shared" si="0"/>
        <v>213098.92767847612</v>
      </c>
      <c r="P16" s="25">
        <f t="shared" si="0"/>
        <v>214864.03417642479</v>
      </c>
      <c r="Q16" s="24">
        <f t="shared" si="0"/>
        <v>214337.79708479758</v>
      </c>
      <c r="R16" s="25">
        <f t="shared" si="0"/>
        <v>215290.91797990198</v>
      </c>
      <c r="S16" s="24">
        <f t="shared" si="0"/>
        <v>218254.55893038615</v>
      </c>
      <c r="T16" s="25">
        <f t="shared" si="0"/>
        <v>218703.69508039887</v>
      </c>
      <c r="U16" s="24">
        <f t="shared" si="0"/>
        <v>220937.40135748102</v>
      </c>
      <c r="V16" s="25">
        <f t="shared" si="0"/>
        <v>223365.94279278305</v>
      </c>
      <c r="W16" s="24">
        <f t="shared" si="0"/>
        <v>225805.22692556103</v>
      </c>
      <c r="X16" s="25">
        <f t="shared" si="0"/>
        <v>228197.22046932991</v>
      </c>
    </row>
    <row r="19" spans="1:24" ht="16.5" customHeight="1" x14ac:dyDescent="0.2">
      <c r="C19" s="31"/>
      <c r="D19" s="31"/>
      <c r="E19" s="31"/>
      <c r="F19" s="31"/>
      <c r="G19" s="31"/>
      <c r="H19" s="31"/>
      <c r="I19" s="31"/>
      <c r="J19" s="31"/>
      <c r="K19" s="31"/>
      <c r="L19" s="31"/>
      <c r="M19" s="31"/>
      <c r="N19" s="31"/>
      <c r="O19" s="31"/>
      <c r="P19" s="31"/>
      <c r="Q19" s="31"/>
      <c r="R19" s="31"/>
      <c r="S19" s="31"/>
      <c r="T19" s="31"/>
      <c r="U19" s="31"/>
      <c r="V19" s="31"/>
      <c r="W19" s="31"/>
      <c r="X19" s="31"/>
    </row>
    <row r="20" spans="1:24" s="14" customFormat="1" ht="16.5" customHeight="1" x14ac:dyDescent="0.2">
      <c r="A20" s="30" t="s">
        <v>34</v>
      </c>
      <c r="B20" s="11" t="s">
        <v>20</v>
      </c>
      <c r="C20" s="12" t="s">
        <v>0</v>
      </c>
      <c r="D20" s="13" t="s">
        <v>1</v>
      </c>
      <c r="E20" s="12" t="s">
        <v>2</v>
      </c>
      <c r="F20" s="13" t="s">
        <v>3</v>
      </c>
      <c r="G20" s="12" t="s">
        <v>4</v>
      </c>
      <c r="H20" s="13" t="s">
        <v>5</v>
      </c>
      <c r="I20" s="12" t="s">
        <v>6</v>
      </c>
      <c r="J20" s="13" t="s">
        <v>7</v>
      </c>
      <c r="K20" s="12" t="s">
        <v>8</v>
      </c>
      <c r="L20" s="13" t="s">
        <v>9</v>
      </c>
      <c r="M20" s="12" t="s">
        <v>10</v>
      </c>
      <c r="N20" s="13" t="s">
        <v>11</v>
      </c>
      <c r="O20" s="12" t="s">
        <v>12</v>
      </c>
      <c r="P20" s="13" t="s">
        <v>13</v>
      </c>
      <c r="Q20" s="12" t="s">
        <v>14</v>
      </c>
      <c r="R20" s="13" t="s">
        <v>15</v>
      </c>
      <c r="S20" s="12" t="s">
        <v>16</v>
      </c>
      <c r="T20" s="13" t="s">
        <v>45</v>
      </c>
      <c r="U20" s="12" t="s">
        <v>62</v>
      </c>
      <c r="V20" s="13" t="s">
        <v>63</v>
      </c>
      <c r="W20" s="12" t="s">
        <v>64</v>
      </c>
      <c r="X20" s="13" t="s">
        <v>65</v>
      </c>
    </row>
    <row r="21" spans="1:24" ht="16.5" customHeight="1" x14ac:dyDescent="0.2">
      <c r="A21" s="96" t="s">
        <v>35</v>
      </c>
      <c r="B21" s="15" t="s">
        <v>55</v>
      </c>
      <c r="C21" s="16">
        <v>51414.416415848464</v>
      </c>
      <c r="D21" s="17">
        <v>51248.510409134426</v>
      </c>
      <c r="E21" s="16">
        <v>53923.01217131102</v>
      </c>
      <c r="F21" s="17">
        <v>53609.03411804678</v>
      </c>
      <c r="G21" s="16">
        <v>42755.040291828635</v>
      </c>
      <c r="H21" s="17">
        <v>42212.049222673224</v>
      </c>
      <c r="I21" s="16">
        <v>41881.339363057406</v>
      </c>
      <c r="J21" s="17">
        <v>38946.21205050977</v>
      </c>
      <c r="K21" s="16">
        <v>42702.373220946647</v>
      </c>
      <c r="L21" s="17">
        <v>43329.580389821596</v>
      </c>
      <c r="M21" s="16">
        <v>38787.696048791331</v>
      </c>
      <c r="N21" s="17">
        <v>37855.177474398071</v>
      </c>
      <c r="O21" s="16">
        <v>37325.957831787375</v>
      </c>
      <c r="P21" s="17">
        <v>37073.290182556389</v>
      </c>
      <c r="Q21" s="16">
        <v>36303.153709412429</v>
      </c>
      <c r="R21" s="17">
        <v>32618.670509011768</v>
      </c>
      <c r="S21" s="16">
        <v>21602.84117553824</v>
      </c>
      <c r="T21" s="17">
        <v>7123.8505158503594</v>
      </c>
      <c r="U21" s="16">
        <v>7007.7360091308292</v>
      </c>
      <c r="V21" s="17">
        <v>6980.1305370633199</v>
      </c>
      <c r="W21" s="16">
        <v>7015.8082791612906</v>
      </c>
      <c r="X21" s="17">
        <v>7040.4622007047901</v>
      </c>
    </row>
    <row r="22" spans="1:24" ht="16.5" customHeight="1" x14ac:dyDescent="0.2">
      <c r="A22" s="97"/>
      <c r="B22" s="15" t="s">
        <v>56</v>
      </c>
      <c r="C22" s="16">
        <v>0</v>
      </c>
      <c r="D22" s="17">
        <v>0</v>
      </c>
      <c r="E22" s="16">
        <v>0</v>
      </c>
      <c r="F22" s="17">
        <v>0</v>
      </c>
      <c r="G22" s="16">
        <v>0</v>
      </c>
      <c r="H22" s="17">
        <v>0</v>
      </c>
      <c r="I22" s="16">
        <v>0</v>
      </c>
      <c r="J22" s="17">
        <v>0</v>
      </c>
      <c r="K22" s="16">
        <v>0</v>
      </c>
      <c r="L22" s="17">
        <v>0</v>
      </c>
      <c r="M22" s="16">
        <v>0</v>
      </c>
      <c r="N22" s="17">
        <v>0</v>
      </c>
      <c r="O22" s="16">
        <v>0</v>
      </c>
      <c r="P22" s="17">
        <v>0</v>
      </c>
      <c r="Q22" s="16">
        <v>0</v>
      </c>
      <c r="R22" s="17">
        <v>0</v>
      </c>
      <c r="S22" s="16">
        <v>0</v>
      </c>
      <c r="T22" s="17">
        <v>0</v>
      </c>
      <c r="U22" s="16">
        <v>0</v>
      </c>
      <c r="V22" s="17">
        <v>0</v>
      </c>
      <c r="W22" s="16">
        <v>0</v>
      </c>
      <c r="X22" s="17">
        <v>0</v>
      </c>
    </row>
    <row r="23" spans="1:24" ht="16.5" customHeight="1" x14ac:dyDescent="0.2">
      <c r="A23" s="97"/>
      <c r="B23" s="15" t="s">
        <v>17</v>
      </c>
      <c r="C23" s="16">
        <v>3054.1423269568108</v>
      </c>
      <c r="D23" s="17">
        <v>3062.5098401814012</v>
      </c>
      <c r="E23" s="16">
        <v>3054.1423269568309</v>
      </c>
      <c r="F23" s="17">
        <v>3054.1423269567508</v>
      </c>
      <c r="G23" s="16">
        <v>3054.1423269569004</v>
      </c>
      <c r="H23" s="17">
        <v>3062.5098401814407</v>
      </c>
      <c r="I23" s="16">
        <v>3054.1423269568804</v>
      </c>
      <c r="J23" s="17">
        <v>3054.1423269568504</v>
      </c>
      <c r="K23" s="16">
        <v>3054.1423269568609</v>
      </c>
      <c r="L23" s="17">
        <v>3062.5098401813007</v>
      </c>
      <c r="M23" s="16">
        <v>3054.1423269569004</v>
      </c>
      <c r="N23" s="17">
        <v>3054.1423269569004</v>
      </c>
      <c r="O23" s="16">
        <v>3054.1423269569004</v>
      </c>
      <c r="P23" s="17">
        <v>3062.5098401813902</v>
      </c>
      <c r="Q23" s="16">
        <v>3054.1423269567704</v>
      </c>
      <c r="R23" s="17">
        <v>3054.1423269568104</v>
      </c>
      <c r="S23" s="16">
        <v>3054.1423269568704</v>
      </c>
      <c r="T23" s="17">
        <v>3062.5098401814103</v>
      </c>
      <c r="U23" s="16">
        <v>3054.1423269568404</v>
      </c>
      <c r="V23" s="17">
        <v>3054.1423269568604</v>
      </c>
      <c r="W23" s="16">
        <v>3054.1423269568304</v>
      </c>
      <c r="X23" s="17">
        <v>3062.5098401814003</v>
      </c>
    </row>
    <row r="24" spans="1:24" ht="16.5" customHeight="1" x14ac:dyDescent="0.2">
      <c r="A24" s="97"/>
      <c r="B24" s="15" t="s">
        <v>44</v>
      </c>
      <c r="C24" s="16">
        <v>2083.7727340664701</v>
      </c>
      <c r="D24" s="17">
        <v>1557.1631514768799</v>
      </c>
      <c r="E24" s="16">
        <v>1545.06580682307</v>
      </c>
      <c r="F24" s="17">
        <v>36.575016854579999</v>
      </c>
      <c r="G24" s="16">
        <v>400.58822308654999</v>
      </c>
      <c r="H24" s="17">
        <v>358.47708539871996</v>
      </c>
      <c r="I24" s="16">
        <v>32.687914723779997</v>
      </c>
      <c r="J24" s="17">
        <v>43.16172979569</v>
      </c>
      <c r="K24" s="16">
        <v>53.903463701900002</v>
      </c>
      <c r="L24" s="17">
        <v>28.448123577820002</v>
      </c>
      <c r="M24" s="16">
        <v>103.11387756356001</v>
      </c>
      <c r="N24" s="17">
        <v>701.513867503131</v>
      </c>
      <c r="O24" s="16">
        <v>49.317643720379998</v>
      </c>
      <c r="P24" s="17">
        <v>94.294536950240001</v>
      </c>
      <c r="Q24" s="16">
        <v>253.07354003045998</v>
      </c>
      <c r="R24" s="17">
        <v>547.92539434231003</v>
      </c>
      <c r="S24" s="16">
        <v>1518.4860150956199</v>
      </c>
      <c r="T24" s="17">
        <v>1446.0983706985801</v>
      </c>
      <c r="U24" s="16">
        <v>2081.0618290033899</v>
      </c>
      <c r="V24" s="17">
        <v>1728.0038983609099</v>
      </c>
      <c r="W24" s="16">
        <v>1771.99734767574</v>
      </c>
      <c r="X24" s="17">
        <v>1690.08746095883</v>
      </c>
    </row>
    <row r="25" spans="1:24" ht="16.5" customHeight="1" x14ac:dyDescent="0.2">
      <c r="A25" s="97"/>
      <c r="B25" s="15" t="s">
        <v>57</v>
      </c>
      <c r="C25" s="16">
        <v>102.85686436502</v>
      </c>
      <c r="D25" s="17">
        <v>46.121553921269999</v>
      </c>
      <c r="E25" s="16">
        <v>26.693789226060002</v>
      </c>
      <c r="F25" s="17">
        <v>24.895055245549997</v>
      </c>
      <c r="G25" s="16">
        <v>100.97237769359</v>
      </c>
      <c r="H25" s="17">
        <v>100.03581402575999</v>
      </c>
      <c r="I25" s="16">
        <v>18.696615265779997</v>
      </c>
      <c r="J25" s="17">
        <v>25.583641763799999</v>
      </c>
      <c r="K25" s="16">
        <v>28.02342534133</v>
      </c>
      <c r="L25" s="17">
        <v>12.49007507662</v>
      </c>
      <c r="M25" s="16">
        <v>31.792760894399997</v>
      </c>
      <c r="N25" s="17">
        <v>40.670768597340007</v>
      </c>
      <c r="O25" s="16">
        <v>25.500098822599998</v>
      </c>
      <c r="P25" s="17">
        <v>34.402230947210001</v>
      </c>
      <c r="Q25" s="16">
        <v>35.221754599</v>
      </c>
      <c r="R25" s="17">
        <v>44.876129919260009</v>
      </c>
      <c r="S25" s="16">
        <v>67.105858768429997</v>
      </c>
      <c r="T25" s="17">
        <v>69.888445111780001</v>
      </c>
      <c r="U25" s="16">
        <v>81.815213872769988</v>
      </c>
      <c r="V25" s="17">
        <v>62.302465144430002</v>
      </c>
      <c r="W25" s="16">
        <v>335.18354716532002</v>
      </c>
      <c r="X25" s="17">
        <v>64.15352350597</v>
      </c>
    </row>
    <row r="26" spans="1:24" ht="16.5" customHeight="1" x14ac:dyDescent="0.2">
      <c r="A26" s="97"/>
      <c r="B26" s="15" t="s">
        <v>18</v>
      </c>
      <c r="C26" s="16">
        <v>4176.731809135752</v>
      </c>
      <c r="D26" s="17">
        <v>4971.4348292069199</v>
      </c>
      <c r="E26" s="16">
        <v>4927.9427225464806</v>
      </c>
      <c r="F26" s="17">
        <v>4975.6300255969809</v>
      </c>
      <c r="G26" s="16">
        <v>4963.8828276588092</v>
      </c>
      <c r="H26" s="17">
        <v>5038.4792586140111</v>
      </c>
      <c r="I26" s="16">
        <v>4961.4317169020196</v>
      </c>
      <c r="J26" s="17">
        <v>4933.2277846596407</v>
      </c>
      <c r="K26" s="16">
        <v>4962.0872798015607</v>
      </c>
      <c r="L26" s="17">
        <v>4993.7927119299311</v>
      </c>
      <c r="M26" s="16">
        <v>4997.2392888623108</v>
      </c>
      <c r="N26" s="17">
        <v>4957.8032661111411</v>
      </c>
      <c r="O26" s="16">
        <v>4927.6378428961607</v>
      </c>
      <c r="P26" s="17">
        <v>4909.2961783148603</v>
      </c>
      <c r="Q26" s="16">
        <v>4811.4653254920622</v>
      </c>
      <c r="R26" s="17">
        <v>4770.2303555120297</v>
      </c>
      <c r="S26" s="16">
        <v>6806.4674402459204</v>
      </c>
      <c r="T26" s="17">
        <v>9503.8064512484088</v>
      </c>
      <c r="U26" s="16">
        <v>12160.62282109698</v>
      </c>
      <c r="V26" s="17">
        <v>12004.271140566132</v>
      </c>
      <c r="W26" s="16">
        <v>12308.369687408143</v>
      </c>
      <c r="X26" s="17">
        <v>12395.164437956522</v>
      </c>
    </row>
    <row r="27" spans="1:24" ht="16.5" customHeight="1" x14ac:dyDescent="0.2">
      <c r="A27" s="97"/>
      <c r="B27" s="15" t="s">
        <v>58</v>
      </c>
      <c r="C27" s="16">
        <v>825.51372106015003</v>
      </c>
      <c r="D27" s="17">
        <v>1763.4897432094299</v>
      </c>
      <c r="E27" s="16">
        <v>1762.8595849513999</v>
      </c>
      <c r="F27" s="17">
        <v>1757.4351820162701</v>
      </c>
      <c r="G27" s="16">
        <v>3394.7903339204399</v>
      </c>
      <c r="H27" s="17">
        <v>3391.0812141011102</v>
      </c>
      <c r="I27" s="16">
        <v>3387.7549917331294</v>
      </c>
      <c r="J27" s="17">
        <v>3390.4543450322781</v>
      </c>
      <c r="K27" s="16">
        <v>3387.6325645235693</v>
      </c>
      <c r="L27" s="17">
        <v>3389.1169421158706</v>
      </c>
      <c r="M27" s="16">
        <v>3390.5397352761388</v>
      </c>
      <c r="N27" s="17">
        <v>5420.0045415310187</v>
      </c>
      <c r="O27" s="16">
        <v>5430.5530327883207</v>
      </c>
      <c r="P27" s="17">
        <v>6209.5361177562891</v>
      </c>
      <c r="Q27" s="16">
        <v>10202.83902169154</v>
      </c>
      <c r="R27" s="17">
        <v>11236.721802290671</v>
      </c>
      <c r="S27" s="16">
        <v>16534.664178052652</v>
      </c>
      <c r="T27" s="17">
        <v>28824.818187614437</v>
      </c>
      <c r="U27" s="16">
        <v>30196.559149000328</v>
      </c>
      <c r="V27" s="17">
        <v>30231.973786013405</v>
      </c>
      <c r="W27" s="16">
        <v>31827.667816774912</v>
      </c>
      <c r="X27" s="17">
        <v>32397.371000895724</v>
      </c>
    </row>
    <row r="28" spans="1:24" ht="16.5" customHeight="1" x14ac:dyDescent="0.2">
      <c r="A28" s="97"/>
      <c r="B28" s="15" t="s">
        <v>66</v>
      </c>
      <c r="C28" s="16">
        <v>-54.179649681774976</v>
      </c>
      <c r="D28" s="17">
        <v>-106.56315620535939</v>
      </c>
      <c r="E28" s="16">
        <v>-145.6244018780373</v>
      </c>
      <c r="F28" s="17">
        <v>-227.16157626839995</v>
      </c>
      <c r="G28" s="16">
        <v>-361.83371020565397</v>
      </c>
      <c r="H28" s="17">
        <v>-451.31386838282907</v>
      </c>
      <c r="I28" s="16">
        <v>-517.03299818977712</v>
      </c>
      <c r="J28" s="17">
        <v>-593.56568693921065</v>
      </c>
      <c r="K28" s="16">
        <v>-654.01320651988442</v>
      </c>
      <c r="L28" s="17">
        <v>-758.34372633856992</v>
      </c>
      <c r="M28" s="16">
        <v>-817.70567145648602</v>
      </c>
      <c r="N28" s="17">
        <v>-886.42356456299353</v>
      </c>
      <c r="O28" s="16">
        <v>-976.00656321291956</v>
      </c>
      <c r="P28" s="17">
        <v>-1038.2067357737781</v>
      </c>
      <c r="Q28" s="16">
        <v>-1090.8016680356673</v>
      </c>
      <c r="R28" s="17">
        <v>-1149.2385146900206</v>
      </c>
      <c r="S28" s="16">
        <v>-1204.7974175354825</v>
      </c>
      <c r="T28" s="17">
        <v>-1267.3637444163132</v>
      </c>
      <c r="U28" s="16">
        <v>-1320.7141143065842</v>
      </c>
      <c r="V28" s="17">
        <v>-1376.0674302583113</v>
      </c>
      <c r="W28" s="16">
        <v>-1406.7026244521155</v>
      </c>
      <c r="X28" s="17">
        <v>-1464.3709005267522</v>
      </c>
    </row>
    <row r="29" spans="1:24" ht="16.5" customHeight="1" x14ac:dyDescent="0.2">
      <c r="A29" s="97"/>
      <c r="B29" s="15" t="s">
        <v>67</v>
      </c>
      <c r="C29" s="16">
        <v>310.70407082388033</v>
      </c>
      <c r="D29" s="17">
        <v>28.516813344230002</v>
      </c>
      <c r="E29" s="16">
        <v>20.29335752435</v>
      </c>
      <c r="F29" s="17">
        <v>31.438081344419999</v>
      </c>
      <c r="G29" s="16">
        <v>201.18657943274042</v>
      </c>
      <c r="H29" s="17">
        <v>237.04674510023051</v>
      </c>
      <c r="I29" s="16">
        <v>1775.9276651218299</v>
      </c>
      <c r="J29" s="17">
        <v>2922.8988810845099</v>
      </c>
      <c r="K29" s="16">
        <v>3697.47427890579</v>
      </c>
      <c r="L29" s="17">
        <v>2111.5678147122098</v>
      </c>
      <c r="M29" s="16">
        <v>3378.1378428048406</v>
      </c>
      <c r="N29" s="17">
        <v>4109.6960755441005</v>
      </c>
      <c r="O29" s="16">
        <v>3908.6369014183601</v>
      </c>
      <c r="P29" s="17">
        <v>4283.3679836006304</v>
      </c>
      <c r="Q29" s="16">
        <v>4629.5946209851099</v>
      </c>
      <c r="R29" s="17">
        <v>4662.2787493876904</v>
      </c>
      <c r="S29" s="16">
        <v>6009.0829441926608</v>
      </c>
      <c r="T29" s="17">
        <v>11270.262092360699</v>
      </c>
      <c r="U29" s="16">
        <v>12035.790111430259</v>
      </c>
      <c r="V29" s="17">
        <v>12320.366511809971</v>
      </c>
      <c r="W29" s="16">
        <v>13136.667405299871</v>
      </c>
      <c r="X29" s="17">
        <v>13877.662028693081</v>
      </c>
    </row>
    <row r="30" spans="1:24" ht="16.5" customHeight="1" x14ac:dyDescent="0.2">
      <c r="A30" s="97"/>
      <c r="B30" s="15" t="s">
        <v>60</v>
      </c>
      <c r="C30" s="16">
        <v>0</v>
      </c>
      <c r="D30" s="17">
        <v>0</v>
      </c>
      <c r="E30" s="16">
        <v>0</v>
      </c>
      <c r="F30" s="17">
        <v>0</v>
      </c>
      <c r="G30" s="16">
        <v>0</v>
      </c>
      <c r="H30" s="17">
        <v>0</v>
      </c>
      <c r="I30" s="16">
        <v>0</v>
      </c>
      <c r="J30" s="17">
        <v>0</v>
      </c>
      <c r="K30" s="16">
        <v>0</v>
      </c>
      <c r="L30" s="17">
        <v>0</v>
      </c>
      <c r="M30" s="16">
        <v>0</v>
      </c>
      <c r="N30" s="17">
        <v>0</v>
      </c>
      <c r="O30" s="16">
        <v>0</v>
      </c>
      <c r="P30" s="17">
        <v>0</v>
      </c>
      <c r="Q30" s="16">
        <v>0</v>
      </c>
      <c r="R30" s="17">
        <v>0</v>
      </c>
      <c r="S30" s="16">
        <v>0</v>
      </c>
      <c r="T30" s="17">
        <v>0</v>
      </c>
      <c r="U30" s="16">
        <v>0</v>
      </c>
      <c r="V30" s="17">
        <v>0</v>
      </c>
      <c r="W30" s="16">
        <v>0</v>
      </c>
      <c r="X30" s="17">
        <v>0</v>
      </c>
    </row>
    <row r="31" spans="1:24" ht="16.5" customHeight="1" x14ac:dyDescent="0.2">
      <c r="A31" s="97"/>
      <c r="B31" s="15" t="s">
        <v>68</v>
      </c>
      <c r="C31" s="16">
        <v>-388.38008852985041</v>
      </c>
      <c r="D31" s="17">
        <v>-35.646016680287502</v>
      </c>
      <c r="E31" s="16">
        <v>-25.3666969054375</v>
      </c>
      <c r="F31" s="17">
        <v>-39.297601680524998</v>
      </c>
      <c r="G31" s="16">
        <v>-251.48322429092551</v>
      </c>
      <c r="H31" s="17">
        <v>-296.30843137528814</v>
      </c>
      <c r="I31" s="16">
        <v>-2219.9095814022871</v>
      </c>
      <c r="J31" s="17">
        <v>-3653.6236013556372</v>
      </c>
      <c r="K31" s="16">
        <v>-4621.8428486322373</v>
      </c>
      <c r="L31" s="17">
        <v>-2639.4597683902621</v>
      </c>
      <c r="M31" s="16">
        <v>-4222.6723035060504</v>
      </c>
      <c r="N31" s="17">
        <v>-5137.1200944301254</v>
      </c>
      <c r="O31" s="16">
        <v>-4885.7961267729497</v>
      </c>
      <c r="P31" s="17">
        <v>-5354.209979500788</v>
      </c>
      <c r="Q31" s="16">
        <v>-5786.9932762313874</v>
      </c>
      <c r="R31" s="17">
        <v>-5827.8484367346127</v>
      </c>
      <c r="S31" s="16">
        <v>-7511.3536802408253</v>
      </c>
      <c r="T31" s="17">
        <v>-14087.827615450873</v>
      </c>
      <c r="U31" s="16">
        <v>-15044.737639287823</v>
      </c>
      <c r="V31" s="17">
        <v>-15400.458139762462</v>
      </c>
      <c r="W31" s="16">
        <v>-16420.834256624839</v>
      </c>
      <c r="X31" s="17">
        <v>-17347.077535866349</v>
      </c>
    </row>
    <row r="32" spans="1:24" ht="16.5" customHeight="1" x14ac:dyDescent="0.2">
      <c r="A32" s="97"/>
      <c r="B32" s="15" t="s">
        <v>69</v>
      </c>
      <c r="C32" s="16">
        <v>48.761684713597482</v>
      </c>
      <c r="D32" s="17">
        <v>95.906840584823456</v>
      </c>
      <c r="E32" s="16">
        <v>131.06196169023357</v>
      </c>
      <c r="F32" s="17">
        <v>204.44541864155997</v>
      </c>
      <c r="G32" s="16">
        <v>325.65033918508857</v>
      </c>
      <c r="H32" s="17">
        <v>406.18248154454619</v>
      </c>
      <c r="I32" s="16">
        <v>465.32969837079946</v>
      </c>
      <c r="J32" s="17">
        <v>534.20911824528957</v>
      </c>
      <c r="K32" s="16">
        <v>588.61188586789604</v>
      </c>
      <c r="L32" s="17">
        <v>682.50935370471291</v>
      </c>
      <c r="M32" s="16">
        <v>735.93510431083746</v>
      </c>
      <c r="N32" s="17">
        <v>797.78120810669418</v>
      </c>
      <c r="O32" s="16">
        <v>878.40590689162764</v>
      </c>
      <c r="P32" s="17">
        <v>934.38606219640019</v>
      </c>
      <c r="Q32" s="16">
        <v>981.72150123210054</v>
      </c>
      <c r="R32" s="17">
        <v>1034.3146632210185</v>
      </c>
      <c r="S32" s="16">
        <v>1084.3176757819342</v>
      </c>
      <c r="T32" s="17">
        <v>1140.6273699746819</v>
      </c>
      <c r="U32" s="16">
        <v>1188.6427028759258</v>
      </c>
      <c r="V32" s="17">
        <v>1238.4606872324803</v>
      </c>
      <c r="W32" s="16">
        <v>1266.0323620069039</v>
      </c>
      <c r="X32" s="17">
        <v>1317.9338104740771</v>
      </c>
    </row>
    <row r="33" spans="1:24" ht="16.5" customHeight="1" thickBot="1" x14ac:dyDescent="0.25">
      <c r="A33" s="98"/>
      <c r="B33" s="15" t="s">
        <v>41</v>
      </c>
      <c r="C33" s="16">
        <v>2723</v>
      </c>
      <c r="D33" s="17">
        <v>3226</v>
      </c>
      <c r="E33" s="16">
        <v>3765</v>
      </c>
      <c r="F33" s="17">
        <v>4312</v>
      </c>
      <c r="G33" s="16">
        <v>4845</v>
      </c>
      <c r="H33" s="17">
        <v>5397</v>
      </c>
      <c r="I33" s="16">
        <v>5950</v>
      </c>
      <c r="J33" s="17">
        <v>6470</v>
      </c>
      <c r="K33" s="16">
        <v>6985</v>
      </c>
      <c r="L33" s="17">
        <v>7556</v>
      </c>
      <c r="M33" s="16">
        <v>8049</v>
      </c>
      <c r="N33" s="17">
        <v>8553</v>
      </c>
      <c r="O33" s="16">
        <v>8991</v>
      </c>
      <c r="P33" s="17">
        <v>9475</v>
      </c>
      <c r="Q33" s="16">
        <v>9889</v>
      </c>
      <c r="R33" s="17">
        <v>10231</v>
      </c>
      <c r="S33" s="16">
        <v>10571</v>
      </c>
      <c r="T33" s="17">
        <v>10930</v>
      </c>
      <c r="U33" s="16">
        <v>11249</v>
      </c>
      <c r="V33" s="17">
        <v>11514</v>
      </c>
      <c r="W33" s="16">
        <v>11791</v>
      </c>
      <c r="X33" s="17">
        <v>12047</v>
      </c>
    </row>
    <row r="34" spans="1:24" ht="16.5" customHeight="1" x14ac:dyDescent="0.2">
      <c r="A34" s="99" t="s">
        <v>36</v>
      </c>
      <c r="B34" s="32" t="s">
        <v>55</v>
      </c>
      <c r="C34" s="17">
        <v>54323.973028875604</v>
      </c>
      <c r="D34" s="16">
        <v>50363.242317621443</v>
      </c>
      <c r="E34" s="17">
        <v>45060.896391490161</v>
      </c>
      <c r="F34" s="16">
        <v>47931.121923056584</v>
      </c>
      <c r="G34" s="17">
        <v>53422.389543227648</v>
      </c>
      <c r="H34" s="16">
        <v>52724.155755423679</v>
      </c>
      <c r="I34" s="17">
        <v>52829.072221504895</v>
      </c>
      <c r="J34" s="16">
        <v>52855.608933244825</v>
      </c>
      <c r="K34" s="17">
        <v>48328.948191645875</v>
      </c>
      <c r="L34" s="16">
        <v>45046.261028566252</v>
      </c>
      <c r="M34" s="17">
        <v>46160.759021663951</v>
      </c>
      <c r="N34" s="16">
        <v>39204.350608321241</v>
      </c>
      <c r="O34" s="17">
        <v>39459.885156405144</v>
      </c>
      <c r="P34" s="16">
        <v>37036.339698403695</v>
      </c>
      <c r="Q34" s="17">
        <v>36843.56719131126</v>
      </c>
      <c r="R34" s="16">
        <v>37849.313139452192</v>
      </c>
      <c r="S34" s="17">
        <v>39000.7943539154</v>
      </c>
      <c r="T34" s="16">
        <v>39040.800321283452</v>
      </c>
      <c r="U34" s="17">
        <v>29489.26907770371</v>
      </c>
      <c r="V34" s="16">
        <v>27179.130299826877</v>
      </c>
      <c r="W34" s="17">
        <v>27309.06359188327</v>
      </c>
      <c r="X34" s="16">
        <v>27335.349532989949</v>
      </c>
    </row>
    <row r="35" spans="1:24" ht="16.5" customHeight="1" x14ac:dyDescent="0.2">
      <c r="A35" s="100"/>
      <c r="B35" s="32" t="s">
        <v>56</v>
      </c>
      <c r="C35" s="17">
        <v>0</v>
      </c>
      <c r="D35" s="16">
        <v>0</v>
      </c>
      <c r="E35" s="17">
        <v>0</v>
      </c>
      <c r="F35" s="16">
        <v>0</v>
      </c>
      <c r="G35" s="17">
        <v>0</v>
      </c>
      <c r="H35" s="16">
        <v>0</v>
      </c>
      <c r="I35" s="17">
        <v>0</v>
      </c>
      <c r="J35" s="16">
        <v>0</v>
      </c>
      <c r="K35" s="17">
        <v>0</v>
      </c>
      <c r="L35" s="16">
        <v>0</v>
      </c>
      <c r="M35" s="17">
        <v>0</v>
      </c>
      <c r="N35" s="16">
        <v>0</v>
      </c>
      <c r="O35" s="17">
        <v>0</v>
      </c>
      <c r="P35" s="16">
        <v>0</v>
      </c>
      <c r="Q35" s="17">
        <v>0</v>
      </c>
      <c r="R35" s="16">
        <v>0</v>
      </c>
      <c r="S35" s="17">
        <v>0</v>
      </c>
      <c r="T35" s="16">
        <v>0</v>
      </c>
      <c r="U35" s="17">
        <v>0</v>
      </c>
      <c r="V35" s="16">
        <v>0</v>
      </c>
      <c r="W35" s="17">
        <v>0</v>
      </c>
      <c r="X35" s="16">
        <v>0</v>
      </c>
    </row>
    <row r="36" spans="1:24" ht="16.5" customHeight="1" x14ac:dyDescent="0.2">
      <c r="A36" s="100"/>
      <c r="B36" s="32" t="s">
        <v>17</v>
      </c>
      <c r="C36" s="17">
        <v>707.31977613259096</v>
      </c>
      <c r="D36" s="16">
        <v>709.25763853292096</v>
      </c>
      <c r="E36" s="17">
        <v>707.31977613256095</v>
      </c>
      <c r="F36" s="16">
        <v>707.31977613257095</v>
      </c>
      <c r="G36" s="17">
        <v>707.31977613261097</v>
      </c>
      <c r="H36" s="16">
        <v>709.25763853292096</v>
      </c>
      <c r="I36" s="17">
        <v>707.31977613255094</v>
      </c>
      <c r="J36" s="16">
        <v>707.31977613257095</v>
      </c>
      <c r="K36" s="17">
        <v>707.31977613257095</v>
      </c>
      <c r="L36" s="16">
        <v>709.25763853293097</v>
      </c>
      <c r="M36" s="17">
        <v>707.31977613257095</v>
      </c>
      <c r="N36" s="16">
        <v>707.31977613257004</v>
      </c>
      <c r="O36" s="17">
        <v>707.31977613256004</v>
      </c>
      <c r="P36" s="16">
        <v>709.25763853291005</v>
      </c>
      <c r="Q36" s="17">
        <v>707.31977613256004</v>
      </c>
      <c r="R36" s="16">
        <v>707.31977613257004</v>
      </c>
      <c r="S36" s="17">
        <v>707.31977613256004</v>
      </c>
      <c r="T36" s="16">
        <v>709.25763853293006</v>
      </c>
      <c r="U36" s="17">
        <v>707.31977613256095</v>
      </c>
      <c r="V36" s="16">
        <v>707.31977613257095</v>
      </c>
      <c r="W36" s="17">
        <v>707.31977613257095</v>
      </c>
      <c r="X36" s="16">
        <v>709.25763853293199</v>
      </c>
    </row>
    <row r="37" spans="1:24" ht="16.5" customHeight="1" x14ac:dyDescent="0.2">
      <c r="A37" s="100"/>
      <c r="B37" s="32" t="s">
        <v>44</v>
      </c>
      <c r="C37" s="17">
        <v>5770.6368854767516</v>
      </c>
      <c r="D37" s="16">
        <v>5006.3446570282595</v>
      </c>
      <c r="E37" s="17">
        <v>4936.34161119496</v>
      </c>
      <c r="F37" s="16">
        <v>2232.2828079806532</v>
      </c>
      <c r="G37" s="17">
        <v>4507.9298405080563</v>
      </c>
      <c r="H37" s="16">
        <v>3247.7773042291446</v>
      </c>
      <c r="I37" s="17">
        <v>2440.6586588904929</v>
      </c>
      <c r="J37" s="16">
        <v>3858.3512718490429</v>
      </c>
      <c r="K37" s="17">
        <v>5235.9819047503452</v>
      </c>
      <c r="L37" s="16">
        <v>2350.7607636193038</v>
      </c>
      <c r="M37" s="17">
        <v>4251.4778189658882</v>
      </c>
      <c r="N37" s="16">
        <v>6295.1815326558335</v>
      </c>
      <c r="O37" s="17">
        <v>4987.0805527657767</v>
      </c>
      <c r="P37" s="16">
        <v>7026.2200921037202</v>
      </c>
      <c r="Q37" s="17">
        <v>6896.0879139590297</v>
      </c>
      <c r="R37" s="16">
        <v>7355.8041785132191</v>
      </c>
      <c r="S37" s="17">
        <v>7122.4740885488791</v>
      </c>
      <c r="T37" s="16">
        <v>7119.5461197378108</v>
      </c>
      <c r="U37" s="17">
        <v>7959.8937899915809</v>
      </c>
      <c r="V37" s="16">
        <v>7867.5065398656725</v>
      </c>
      <c r="W37" s="17">
        <v>7888.6282291094503</v>
      </c>
      <c r="X37" s="16">
        <v>7796.9693537348767</v>
      </c>
    </row>
    <row r="38" spans="1:24" ht="16.5" customHeight="1" x14ac:dyDescent="0.2">
      <c r="A38" s="100"/>
      <c r="B38" s="32" t="s">
        <v>57</v>
      </c>
      <c r="C38" s="17">
        <v>372.99632605403008</v>
      </c>
      <c r="D38" s="16">
        <v>25.156065273889997</v>
      </c>
      <c r="E38" s="17">
        <v>10.93835136014</v>
      </c>
      <c r="F38" s="16">
        <v>5.7715445940700008</v>
      </c>
      <c r="G38" s="17">
        <v>57.50128228989</v>
      </c>
      <c r="H38" s="16">
        <v>47.638351579670001</v>
      </c>
      <c r="I38" s="17">
        <v>11.231983657659999</v>
      </c>
      <c r="J38" s="16">
        <v>24.439283582990001</v>
      </c>
      <c r="K38" s="17">
        <v>64.851602893890004</v>
      </c>
      <c r="L38" s="16">
        <v>28.375573886240005</v>
      </c>
      <c r="M38" s="17">
        <v>37.689767075839995</v>
      </c>
      <c r="N38" s="16">
        <v>482.11284387530003</v>
      </c>
      <c r="O38" s="17">
        <v>221.51102178773999</v>
      </c>
      <c r="P38" s="16">
        <v>561.76308430110987</v>
      </c>
      <c r="Q38" s="17">
        <v>950.12812403689009</v>
      </c>
      <c r="R38" s="16">
        <v>1290.4034978200882</v>
      </c>
      <c r="S38" s="17">
        <v>1534.0217304247581</v>
      </c>
      <c r="T38" s="16">
        <v>1573.202377382278</v>
      </c>
      <c r="U38" s="17">
        <v>1993.2513576492199</v>
      </c>
      <c r="V38" s="16">
        <v>1886.128918160201</v>
      </c>
      <c r="W38" s="17">
        <v>1844.6598730007699</v>
      </c>
      <c r="X38" s="16">
        <v>1808.1116866851098</v>
      </c>
    </row>
    <row r="39" spans="1:24" ht="16.5" customHeight="1" x14ac:dyDescent="0.2">
      <c r="A39" s="100"/>
      <c r="B39" s="32" t="s">
        <v>18</v>
      </c>
      <c r="C39" s="17">
        <v>878.38393203494002</v>
      </c>
      <c r="D39" s="16">
        <v>2745.26960147716</v>
      </c>
      <c r="E39" s="17">
        <v>2749.5290111218401</v>
      </c>
      <c r="F39" s="16">
        <v>2746.4046902763303</v>
      </c>
      <c r="G39" s="17">
        <v>2756.3899309138501</v>
      </c>
      <c r="H39" s="16">
        <v>2787.7038596207203</v>
      </c>
      <c r="I39" s="17">
        <v>2741.7424463952002</v>
      </c>
      <c r="J39" s="16">
        <v>2752.7054666010299</v>
      </c>
      <c r="K39" s="17">
        <v>3149.99999999992</v>
      </c>
      <c r="L39" s="16">
        <v>3800.0000000000396</v>
      </c>
      <c r="M39" s="17">
        <v>4450.00000000008</v>
      </c>
      <c r="N39" s="16">
        <v>5125.0000000001091</v>
      </c>
      <c r="O39" s="17">
        <v>4489.5261901836202</v>
      </c>
      <c r="P39" s="16">
        <v>4570.4531741987503</v>
      </c>
      <c r="Q39" s="17">
        <v>4399.0793050168004</v>
      </c>
      <c r="R39" s="16">
        <v>4412.2986729076101</v>
      </c>
      <c r="S39" s="17">
        <v>4401.9846154145798</v>
      </c>
      <c r="T39" s="16">
        <v>4383.6984854679595</v>
      </c>
      <c r="U39" s="17">
        <v>5021.79676069367</v>
      </c>
      <c r="V39" s="16">
        <v>5028.7483888193301</v>
      </c>
      <c r="W39" s="17">
        <v>5074.0089499518599</v>
      </c>
      <c r="X39" s="16">
        <v>5109.0785020198891</v>
      </c>
    </row>
    <row r="40" spans="1:24" ht="16.5" customHeight="1" x14ac:dyDescent="0.2">
      <c r="A40" s="100"/>
      <c r="B40" s="32" t="s">
        <v>58</v>
      </c>
      <c r="C40" s="17">
        <v>2730.0896288468903</v>
      </c>
      <c r="D40" s="16">
        <v>3152.3599076272299</v>
      </c>
      <c r="E40" s="17">
        <v>3131.2731483433299</v>
      </c>
      <c r="F40" s="16">
        <v>3144.4284083820503</v>
      </c>
      <c r="G40" s="17">
        <v>3133.4510383595007</v>
      </c>
      <c r="H40" s="16">
        <v>3153.7897929087494</v>
      </c>
      <c r="I40" s="17">
        <v>4458.2575536048898</v>
      </c>
      <c r="J40" s="16">
        <v>7347.2945333989501</v>
      </c>
      <c r="K40" s="17">
        <v>9450.0000000002019</v>
      </c>
      <c r="L40" s="16">
        <v>11400.00000000022</v>
      </c>
      <c r="M40" s="17">
        <v>13350.00000000026</v>
      </c>
      <c r="N40" s="16">
        <v>15375.000000000171</v>
      </c>
      <c r="O40" s="17">
        <v>15130.4555183147</v>
      </c>
      <c r="P40" s="16">
        <v>15193.10505989856</v>
      </c>
      <c r="Q40" s="17">
        <v>15205.229020309411</v>
      </c>
      <c r="R40" s="16">
        <v>15123.005829663089</v>
      </c>
      <c r="S40" s="17">
        <v>15209.210261887412</v>
      </c>
      <c r="T40" s="16">
        <v>15332.621067455653</v>
      </c>
      <c r="U40" s="17">
        <v>20073.564082910609</v>
      </c>
      <c r="V40" s="16">
        <v>22386.464862038527</v>
      </c>
      <c r="W40" s="17">
        <v>23930.751825035601</v>
      </c>
      <c r="X40" s="16">
        <v>24907.322129025539</v>
      </c>
    </row>
    <row r="41" spans="1:24" ht="16.5" customHeight="1" x14ac:dyDescent="0.2">
      <c r="A41" s="100"/>
      <c r="B41" s="32" t="s">
        <v>66</v>
      </c>
      <c r="C41" s="17">
        <v>-30.407946772635555</v>
      </c>
      <c r="D41" s="16">
        <v>-59.251932510541259</v>
      </c>
      <c r="E41" s="17">
        <v>-83.439707067902859</v>
      </c>
      <c r="F41" s="16">
        <v>-128.88590030112809</v>
      </c>
      <c r="G41" s="17">
        <v>-194.36838010879657</v>
      </c>
      <c r="H41" s="16">
        <v>-235.31667587901831</v>
      </c>
      <c r="I41" s="17">
        <v>-263.12864121418471</v>
      </c>
      <c r="J41" s="16">
        <v>-293.27562488176335</v>
      </c>
      <c r="K41" s="17">
        <v>-326.54264292909841</v>
      </c>
      <c r="L41" s="16">
        <v>-377.85411260589098</v>
      </c>
      <c r="M41" s="17">
        <v>-472.67776412216324</v>
      </c>
      <c r="N41" s="16">
        <v>-531.44572157388814</v>
      </c>
      <c r="O41" s="17">
        <v>-464.51091211321199</v>
      </c>
      <c r="P41" s="16">
        <v>-499.86875607647113</v>
      </c>
      <c r="Q41" s="17">
        <v>-533.1469263074132</v>
      </c>
      <c r="R41" s="16">
        <v>-567.14214363165877</v>
      </c>
      <c r="S41" s="17">
        <v>-601.14699811563185</v>
      </c>
      <c r="T41" s="16">
        <v>-634.60898371379801</v>
      </c>
      <c r="U41" s="17">
        <v>-664.77113813763162</v>
      </c>
      <c r="V41" s="16">
        <v>-694.52889090436474</v>
      </c>
      <c r="W41" s="17">
        <v>-722.35723625836124</v>
      </c>
      <c r="X41" s="16">
        <v>-750.33332291106808</v>
      </c>
    </row>
    <row r="42" spans="1:24" ht="16.5" customHeight="1" x14ac:dyDescent="0.2">
      <c r="A42" s="100"/>
      <c r="B42" s="32" t="s">
        <v>67</v>
      </c>
      <c r="C42" s="17">
        <v>731.18284315083997</v>
      </c>
      <c r="D42" s="16">
        <v>38.233322067400003</v>
      </c>
      <c r="E42" s="17">
        <v>25.077107883020002</v>
      </c>
      <c r="F42" s="16">
        <v>86.381848679889998</v>
      </c>
      <c r="G42" s="17">
        <v>358.55042621788056</v>
      </c>
      <c r="H42" s="16">
        <v>346.22749713756048</v>
      </c>
      <c r="I42" s="17">
        <v>193.08975225051051</v>
      </c>
      <c r="J42" s="16">
        <v>488.32609617876051</v>
      </c>
      <c r="K42" s="17">
        <v>754.90494191106052</v>
      </c>
      <c r="L42" s="16">
        <v>686.29294371112053</v>
      </c>
      <c r="M42" s="17">
        <v>846.25516233022029</v>
      </c>
      <c r="N42" s="16">
        <v>1625.9814431545969</v>
      </c>
      <c r="O42" s="17">
        <v>1585.0116229735472</v>
      </c>
      <c r="P42" s="16">
        <v>1588.1685210047483</v>
      </c>
      <c r="Q42" s="17">
        <v>1607.1842173936893</v>
      </c>
      <c r="R42" s="16">
        <v>1785.1871213089432</v>
      </c>
      <c r="S42" s="17">
        <v>2374.2955975215</v>
      </c>
      <c r="T42" s="16">
        <v>2859.9090544984306</v>
      </c>
      <c r="U42" s="17">
        <v>7338.4617635051</v>
      </c>
      <c r="V42" s="16">
        <v>8587.1502815602507</v>
      </c>
      <c r="W42" s="17">
        <v>9884.0954143420295</v>
      </c>
      <c r="X42" s="16">
        <v>10440.758786432581</v>
      </c>
    </row>
    <row r="43" spans="1:24" ht="16.5" customHeight="1" x14ac:dyDescent="0.2">
      <c r="A43" s="100"/>
      <c r="B43" s="32" t="s">
        <v>60</v>
      </c>
      <c r="C43" s="17">
        <v>0</v>
      </c>
      <c r="D43" s="16">
        <v>0</v>
      </c>
      <c r="E43" s="17">
        <v>0</v>
      </c>
      <c r="F43" s="16">
        <v>0</v>
      </c>
      <c r="G43" s="17">
        <v>0</v>
      </c>
      <c r="H43" s="16">
        <v>0</v>
      </c>
      <c r="I43" s="17">
        <v>0</v>
      </c>
      <c r="J43" s="16">
        <v>0</v>
      </c>
      <c r="K43" s="17">
        <v>0</v>
      </c>
      <c r="L43" s="16">
        <v>0</v>
      </c>
      <c r="M43" s="17">
        <v>0</v>
      </c>
      <c r="N43" s="16">
        <v>0</v>
      </c>
      <c r="O43" s="17">
        <v>0</v>
      </c>
      <c r="P43" s="16">
        <v>0</v>
      </c>
      <c r="Q43" s="17">
        <v>0</v>
      </c>
      <c r="R43" s="16">
        <v>0</v>
      </c>
      <c r="S43" s="17">
        <v>0</v>
      </c>
      <c r="T43" s="16">
        <v>0</v>
      </c>
      <c r="U43" s="17">
        <v>0</v>
      </c>
      <c r="V43" s="16">
        <v>0</v>
      </c>
      <c r="W43" s="17">
        <v>0</v>
      </c>
      <c r="X43" s="16">
        <v>0</v>
      </c>
    </row>
    <row r="44" spans="1:24" ht="16.5" customHeight="1" x14ac:dyDescent="0.2">
      <c r="A44" s="100"/>
      <c r="B44" s="32" t="s">
        <v>68</v>
      </c>
      <c r="C44" s="17">
        <v>-913.97855393854991</v>
      </c>
      <c r="D44" s="16">
        <v>-47.791652584250002</v>
      </c>
      <c r="E44" s="17">
        <v>-31.346384853775</v>
      </c>
      <c r="F44" s="16">
        <v>-107.97731084986249</v>
      </c>
      <c r="G44" s="17">
        <v>-448.18803277235065</v>
      </c>
      <c r="H44" s="16">
        <v>-432.7843714219506</v>
      </c>
      <c r="I44" s="17">
        <v>-241.36219031313814</v>
      </c>
      <c r="J44" s="16">
        <v>-610.40762022345064</v>
      </c>
      <c r="K44" s="17">
        <v>-943.63117738882556</v>
      </c>
      <c r="L44" s="16">
        <v>-857.86617963890058</v>
      </c>
      <c r="M44" s="17">
        <v>-1057.8189529127753</v>
      </c>
      <c r="N44" s="16">
        <v>-2032.4768039432461</v>
      </c>
      <c r="O44" s="17">
        <v>-1981.2645287169339</v>
      </c>
      <c r="P44" s="16">
        <v>-1985.2106512559353</v>
      </c>
      <c r="Q44" s="17">
        <v>-2008.9802717421117</v>
      </c>
      <c r="R44" s="16">
        <v>-2231.4839016361789</v>
      </c>
      <c r="S44" s="17">
        <v>-2967.8694969018748</v>
      </c>
      <c r="T44" s="16">
        <v>-3574.8863181230381</v>
      </c>
      <c r="U44" s="17">
        <v>-9173.077204381374</v>
      </c>
      <c r="V44" s="16">
        <v>-10733.937851950313</v>
      </c>
      <c r="W44" s="17">
        <v>-12355.119267927535</v>
      </c>
      <c r="X44" s="16">
        <v>-13050.948483040725</v>
      </c>
    </row>
    <row r="45" spans="1:24" ht="16.5" customHeight="1" x14ac:dyDescent="0.2">
      <c r="A45" s="100"/>
      <c r="B45" s="32" t="s">
        <v>69</v>
      </c>
      <c r="C45" s="17">
        <v>27.367152095371999</v>
      </c>
      <c r="D45" s="16">
        <v>53.326739259487134</v>
      </c>
      <c r="E45" s="17">
        <v>75.095736361112571</v>
      </c>
      <c r="F45" s="16">
        <v>115.99731027101529</v>
      </c>
      <c r="G45" s="17">
        <v>174.93154209791692</v>
      </c>
      <c r="H45" s="16">
        <v>211.78500829111647</v>
      </c>
      <c r="I45" s="17">
        <v>236.81577709276627</v>
      </c>
      <c r="J45" s="16">
        <v>263.94806239358701</v>
      </c>
      <c r="K45" s="17">
        <v>293.88837863618858</v>
      </c>
      <c r="L45" s="16">
        <v>340.06870134530186</v>
      </c>
      <c r="M45" s="17">
        <v>425.4099877099469</v>
      </c>
      <c r="N45" s="16">
        <v>478.30114941649936</v>
      </c>
      <c r="O45" s="17">
        <v>418.05982090189082</v>
      </c>
      <c r="P45" s="16">
        <v>449.88188046882402</v>
      </c>
      <c r="Q45" s="17">
        <v>479.83223367667188</v>
      </c>
      <c r="R45" s="16">
        <v>510.4279292684929</v>
      </c>
      <c r="S45" s="17">
        <v>541.03229830406872</v>
      </c>
      <c r="T45" s="16">
        <v>571.1480853424182</v>
      </c>
      <c r="U45" s="17">
        <v>598.29402432386848</v>
      </c>
      <c r="V45" s="16">
        <v>625.07600181392831</v>
      </c>
      <c r="W45" s="17">
        <v>650.12151263252508</v>
      </c>
      <c r="X45" s="16">
        <v>675.29999061996125</v>
      </c>
    </row>
    <row r="46" spans="1:24" ht="16.5" customHeight="1" thickBot="1" x14ac:dyDescent="0.25">
      <c r="A46" s="101"/>
      <c r="B46" s="32" t="s">
        <v>41</v>
      </c>
      <c r="C46" s="17">
        <v>3319</v>
      </c>
      <c r="D46" s="16">
        <v>3691</v>
      </c>
      <c r="E46" s="17">
        <v>4068</v>
      </c>
      <c r="F46" s="16">
        <v>4443</v>
      </c>
      <c r="G46" s="17">
        <v>4783</v>
      </c>
      <c r="H46" s="16">
        <v>5131</v>
      </c>
      <c r="I46" s="17">
        <v>5446</v>
      </c>
      <c r="J46" s="16">
        <v>5754</v>
      </c>
      <c r="K46" s="17">
        <v>6046</v>
      </c>
      <c r="L46" s="16">
        <v>6401</v>
      </c>
      <c r="M46" s="17">
        <v>6682</v>
      </c>
      <c r="N46" s="16">
        <v>6959</v>
      </c>
      <c r="O46" s="17">
        <v>7227</v>
      </c>
      <c r="P46" s="16">
        <v>7498</v>
      </c>
      <c r="Q46" s="17">
        <v>7728</v>
      </c>
      <c r="R46" s="16">
        <v>7911</v>
      </c>
      <c r="S46" s="17">
        <v>8096</v>
      </c>
      <c r="T46" s="16">
        <v>8273</v>
      </c>
      <c r="U46" s="17">
        <v>8393</v>
      </c>
      <c r="V46" s="16">
        <v>8504</v>
      </c>
      <c r="W46" s="17">
        <v>8624</v>
      </c>
      <c r="X46" s="16">
        <v>8728</v>
      </c>
    </row>
    <row r="47" spans="1:24" ht="16.5" customHeight="1" x14ac:dyDescent="0.2">
      <c r="A47" s="96" t="s">
        <v>38</v>
      </c>
      <c r="B47" s="15" t="s">
        <v>55</v>
      </c>
      <c r="C47" s="16">
        <v>0</v>
      </c>
      <c r="D47" s="17">
        <v>0</v>
      </c>
      <c r="E47" s="16">
        <v>0</v>
      </c>
      <c r="F47" s="17">
        <v>0</v>
      </c>
      <c r="G47" s="16">
        <v>0</v>
      </c>
      <c r="H47" s="17">
        <v>0</v>
      </c>
      <c r="I47" s="16">
        <v>0</v>
      </c>
      <c r="J47" s="17">
        <v>0</v>
      </c>
      <c r="K47" s="16">
        <v>0</v>
      </c>
      <c r="L47" s="17">
        <v>0</v>
      </c>
      <c r="M47" s="16">
        <v>0</v>
      </c>
      <c r="N47" s="17">
        <v>0</v>
      </c>
      <c r="O47" s="16">
        <v>0</v>
      </c>
      <c r="P47" s="17">
        <v>0</v>
      </c>
      <c r="Q47" s="16">
        <v>0</v>
      </c>
      <c r="R47" s="17">
        <v>0</v>
      </c>
      <c r="S47" s="16">
        <v>0</v>
      </c>
      <c r="T47" s="17">
        <v>0</v>
      </c>
      <c r="U47" s="16">
        <v>0</v>
      </c>
      <c r="V47" s="17">
        <v>0</v>
      </c>
      <c r="W47" s="16">
        <v>0</v>
      </c>
      <c r="X47" s="17">
        <v>0</v>
      </c>
    </row>
    <row r="48" spans="1:24" ht="16.5" customHeight="1" x14ac:dyDescent="0.2">
      <c r="A48" s="97"/>
      <c r="B48" s="15" t="s">
        <v>56</v>
      </c>
      <c r="C48" s="16">
        <v>0</v>
      </c>
      <c r="D48" s="17">
        <v>0</v>
      </c>
      <c r="E48" s="16">
        <v>0</v>
      </c>
      <c r="F48" s="17">
        <v>0</v>
      </c>
      <c r="G48" s="16">
        <v>0</v>
      </c>
      <c r="H48" s="17">
        <v>0</v>
      </c>
      <c r="I48" s="16">
        <v>0</v>
      </c>
      <c r="J48" s="17">
        <v>0</v>
      </c>
      <c r="K48" s="16">
        <v>0</v>
      </c>
      <c r="L48" s="17">
        <v>0</v>
      </c>
      <c r="M48" s="16">
        <v>0</v>
      </c>
      <c r="N48" s="17">
        <v>0</v>
      </c>
      <c r="O48" s="16">
        <v>0</v>
      </c>
      <c r="P48" s="17">
        <v>0</v>
      </c>
      <c r="Q48" s="16">
        <v>0</v>
      </c>
      <c r="R48" s="17">
        <v>0</v>
      </c>
      <c r="S48" s="16">
        <v>0</v>
      </c>
      <c r="T48" s="17">
        <v>0</v>
      </c>
      <c r="U48" s="16">
        <v>0</v>
      </c>
      <c r="V48" s="17">
        <v>0</v>
      </c>
      <c r="W48" s="16">
        <v>0</v>
      </c>
      <c r="X48" s="17">
        <v>0</v>
      </c>
    </row>
    <row r="49" spans="1:24" ht="16.5" customHeight="1" x14ac:dyDescent="0.2">
      <c r="A49" s="97"/>
      <c r="B49" s="15" t="s">
        <v>17</v>
      </c>
      <c r="C49" s="16">
        <v>0</v>
      </c>
      <c r="D49" s="17">
        <v>0</v>
      </c>
      <c r="E49" s="16">
        <v>0</v>
      </c>
      <c r="F49" s="17">
        <v>0</v>
      </c>
      <c r="G49" s="16">
        <v>0</v>
      </c>
      <c r="H49" s="17">
        <v>0</v>
      </c>
      <c r="I49" s="16">
        <v>0</v>
      </c>
      <c r="J49" s="17">
        <v>0</v>
      </c>
      <c r="K49" s="16">
        <v>0</v>
      </c>
      <c r="L49" s="17">
        <v>0</v>
      </c>
      <c r="M49" s="16">
        <v>0</v>
      </c>
      <c r="N49" s="17">
        <v>0</v>
      </c>
      <c r="O49" s="16">
        <v>0</v>
      </c>
      <c r="P49" s="17">
        <v>0</v>
      </c>
      <c r="Q49" s="16">
        <v>0</v>
      </c>
      <c r="R49" s="17">
        <v>0</v>
      </c>
      <c r="S49" s="16">
        <v>0</v>
      </c>
      <c r="T49" s="17">
        <v>0</v>
      </c>
      <c r="U49" s="16">
        <v>0</v>
      </c>
      <c r="V49" s="17">
        <v>0</v>
      </c>
      <c r="W49" s="16">
        <v>0</v>
      </c>
      <c r="X49" s="17">
        <v>0</v>
      </c>
    </row>
    <row r="50" spans="1:24" ht="16.5" customHeight="1" x14ac:dyDescent="0.2">
      <c r="A50" s="97"/>
      <c r="B50" s="15" t="s">
        <v>44</v>
      </c>
      <c r="C50" s="16">
        <v>5477</v>
      </c>
      <c r="D50" s="17">
        <v>4519</v>
      </c>
      <c r="E50" s="16">
        <v>4498</v>
      </c>
      <c r="F50" s="17">
        <v>4506</v>
      </c>
      <c r="G50" s="16">
        <v>4510</v>
      </c>
      <c r="H50" s="17">
        <v>4515</v>
      </c>
      <c r="I50" s="16">
        <v>0</v>
      </c>
      <c r="J50" s="17">
        <v>0</v>
      </c>
      <c r="K50" s="16">
        <v>0</v>
      </c>
      <c r="L50" s="17">
        <v>0</v>
      </c>
      <c r="M50" s="16">
        <v>0</v>
      </c>
      <c r="N50" s="17">
        <v>0</v>
      </c>
      <c r="O50" s="16">
        <v>0</v>
      </c>
      <c r="P50" s="17">
        <v>0</v>
      </c>
      <c r="Q50" s="16">
        <v>0</v>
      </c>
      <c r="R50" s="17">
        <v>0</v>
      </c>
      <c r="S50" s="16">
        <v>0</v>
      </c>
      <c r="T50" s="17">
        <v>0</v>
      </c>
      <c r="U50" s="16">
        <v>0</v>
      </c>
      <c r="V50" s="17">
        <v>0</v>
      </c>
      <c r="W50" s="16">
        <v>0</v>
      </c>
      <c r="X50" s="17">
        <v>0</v>
      </c>
    </row>
    <row r="51" spans="1:24" ht="16.5" customHeight="1" x14ac:dyDescent="0.2">
      <c r="A51" s="97"/>
      <c r="B51" s="15" t="s">
        <v>57</v>
      </c>
      <c r="C51" s="16">
        <v>854</v>
      </c>
      <c r="D51" s="17">
        <v>374</v>
      </c>
      <c r="E51" s="16">
        <v>362</v>
      </c>
      <c r="F51" s="17">
        <v>52</v>
      </c>
      <c r="G51" s="16">
        <v>96</v>
      </c>
      <c r="H51" s="17">
        <v>72</v>
      </c>
      <c r="I51" s="16">
        <v>54</v>
      </c>
      <c r="J51" s="17">
        <v>66</v>
      </c>
      <c r="K51" s="16">
        <v>103</v>
      </c>
      <c r="L51" s="17">
        <v>51</v>
      </c>
      <c r="M51" s="16">
        <v>96</v>
      </c>
      <c r="N51" s="17">
        <v>145</v>
      </c>
      <c r="O51" s="16">
        <v>62</v>
      </c>
      <c r="P51" s="17">
        <v>74</v>
      </c>
      <c r="Q51" s="16">
        <v>78</v>
      </c>
      <c r="R51" s="17">
        <v>155</v>
      </c>
      <c r="S51" s="16">
        <v>262</v>
      </c>
      <c r="T51" s="17">
        <v>215</v>
      </c>
      <c r="U51" s="16">
        <v>597</v>
      </c>
      <c r="V51" s="17">
        <v>411</v>
      </c>
      <c r="W51" s="16">
        <v>553</v>
      </c>
      <c r="X51" s="17">
        <v>505</v>
      </c>
    </row>
    <row r="52" spans="1:24" ht="16.5" customHeight="1" x14ac:dyDescent="0.2">
      <c r="A52" s="97"/>
      <c r="B52" s="15" t="s">
        <v>18</v>
      </c>
      <c r="C52" s="16">
        <v>6665.3482692476809</v>
      </c>
      <c r="D52" s="17">
        <v>6511.7084642623413</v>
      </c>
      <c r="E52" s="16">
        <v>6365.9563662691698</v>
      </c>
      <c r="F52" s="17">
        <v>6343.7013122523003</v>
      </c>
      <c r="G52" s="16">
        <v>6469.1651169299794</v>
      </c>
      <c r="H52" s="17">
        <v>6413.1944181270092</v>
      </c>
      <c r="I52" s="16">
        <v>6711.144362663671</v>
      </c>
      <c r="J52" s="17">
        <v>6691.1064680053996</v>
      </c>
      <c r="K52" s="16">
        <v>6724.3570518829401</v>
      </c>
      <c r="L52" s="17">
        <v>6719.32422814867</v>
      </c>
      <c r="M52" s="16">
        <v>6818.792842170571</v>
      </c>
      <c r="N52" s="17">
        <v>6672.0416138241089</v>
      </c>
      <c r="O52" s="16">
        <v>6574.7700857095497</v>
      </c>
      <c r="P52" s="17">
        <v>6588.5634869224195</v>
      </c>
      <c r="Q52" s="16">
        <v>6361.9447257103402</v>
      </c>
      <c r="R52" s="17">
        <v>6414.7249071902297</v>
      </c>
      <c r="S52" s="16">
        <v>6415.864574763139</v>
      </c>
      <c r="T52" s="17">
        <v>6297.11961303318</v>
      </c>
      <c r="U52" s="16">
        <v>7344.9787452873297</v>
      </c>
      <c r="V52" s="17">
        <v>7269.0732874691394</v>
      </c>
      <c r="W52" s="16">
        <v>8185.0169880890508</v>
      </c>
      <c r="X52" s="17">
        <v>8421.4245675617403</v>
      </c>
    </row>
    <row r="53" spans="1:24" ht="16.5" customHeight="1" x14ac:dyDescent="0.2">
      <c r="A53" s="97"/>
      <c r="B53" s="15" t="s">
        <v>58</v>
      </c>
      <c r="C53" s="16">
        <v>412.73092924625001</v>
      </c>
      <c r="D53" s="17">
        <v>1262.5158172041699</v>
      </c>
      <c r="E53" s="16">
        <v>1257.2754321119</v>
      </c>
      <c r="F53" s="17">
        <v>1253.6493685637101</v>
      </c>
      <c r="G53" s="16">
        <v>1476.0735343095698</v>
      </c>
      <c r="H53" s="17">
        <v>1478.76873105909</v>
      </c>
      <c r="I53" s="16">
        <v>1478.2993524009401</v>
      </c>
      <c r="J53" s="17">
        <v>1476.3965038584502</v>
      </c>
      <c r="K53" s="16">
        <v>1476.3342004481001</v>
      </c>
      <c r="L53" s="17">
        <v>1476.0804202164709</v>
      </c>
      <c r="M53" s="16">
        <v>1476.4859034926799</v>
      </c>
      <c r="N53" s="17">
        <v>1612.338751898249</v>
      </c>
      <c r="O53" s="16">
        <v>1612.604496466389</v>
      </c>
      <c r="P53" s="17">
        <v>1613.9742198027689</v>
      </c>
      <c r="Q53" s="16">
        <v>4886.3340151129796</v>
      </c>
      <c r="R53" s="17">
        <v>4954.5389239409506</v>
      </c>
      <c r="S53" s="16">
        <v>6156.4847387311202</v>
      </c>
      <c r="T53" s="17">
        <v>6479.8466772054308</v>
      </c>
      <c r="U53" s="16">
        <v>7182.8441137912096</v>
      </c>
      <c r="V53" s="17">
        <v>7290.2643523239103</v>
      </c>
      <c r="W53" s="16">
        <v>7297.0291574393195</v>
      </c>
      <c r="X53" s="17">
        <v>7474.2093173086705</v>
      </c>
    </row>
    <row r="54" spans="1:24" ht="16.5" customHeight="1" x14ac:dyDescent="0.2">
      <c r="A54" s="97"/>
      <c r="B54" s="15" t="s">
        <v>66</v>
      </c>
      <c r="C54" s="16">
        <v>-10.03490632777174</v>
      </c>
      <c r="D54" s="17">
        <v>-20.416348640671778</v>
      </c>
      <c r="E54" s="16">
        <v>-33.612127471589368</v>
      </c>
      <c r="F54" s="17">
        <v>-49.780690765509348</v>
      </c>
      <c r="G54" s="16">
        <v>-68.28734271747328</v>
      </c>
      <c r="H54" s="17">
        <v>-87.66965021972409</v>
      </c>
      <c r="I54" s="16">
        <v>-104.18768313628725</v>
      </c>
      <c r="J54" s="17">
        <v>-121.47163365361185</v>
      </c>
      <c r="K54" s="16">
        <v>-137.07651927551544</v>
      </c>
      <c r="L54" s="17">
        <v>-158.42771869723649</v>
      </c>
      <c r="M54" s="16">
        <v>-174.95074095222503</v>
      </c>
      <c r="N54" s="17">
        <v>-191.97659941580659</v>
      </c>
      <c r="O54" s="16">
        <v>-210.39029497895271</v>
      </c>
      <c r="P54" s="17">
        <v>-226.91323735018725</v>
      </c>
      <c r="Q54" s="16">
        <v>-242.41050860496779</v>
      </c>
      <c r="R54" s="17">
        <v>-255.11501894833751</v>
      </c>
      <c r="S54" s="16">
        <v>-266.56443843690568</v>
      </c>
      <c r="T54" s="17">
        <v>-279.22102984391586</v>
      </c>
      <c r="U54" s="16">
        <v>-289.8833869672755</v>
      </c>
      <c r="V54" s="17">
        <v>-300.98796563157492</v>
      </c>
      <c r="W54" s="16">
        <v>-312.01734009158622</v>
      </c>
      <c r="X54" s="17">
        <v>-323.59402792557802</v>
      </c>
    </row>
    <row r="55" spans="1:24" ht="16.5" customHeight="1" x14ac:dyDescent="0.2">
      <c r="A55" s="97"/>
      <c r="B55" s="15" t="s">
        <v>67</v>
      </c>
      <c r="C55" s="16">
        <v>22.766203626380001</v>
      </c>
      <c r="D55" s="17">
        <v>24.199214369530001</v>
      </c>
      <c r="E55" s="16">
        <v>20.007770932780002</v>
      </c>
      <c r="F55" s="17">
        <v>27.536644081599999</v>
      </c>
      <c r="G55" s="16">
        <v>36.139110030440001</v>
      </c>
      <c r="H55" s="17">
        <v>40.665993372869998</v>
      </c>
      <c r="I55" s="16">
        <v>205.15359603366988</v>
      </c>
      <c r="J55" s="17">
        <v>216.2241490311099</v>
      </c>
      <c r="K55" s="16">
        <v>397.63884912053999</v>
      </c>
      <c r="L55" s="17">
        <v>382.43588596569998</v>
      </c>
      <c r="M55" s="16">
        <v>405.71860560337001</v>
      </c>
      <c r="N55" s="17">
        <v>442.09174748724996</v>
      </c>
      <c r="O55" s="16">
        <v>438.31331712772999</v>
      </c>
      <c r="P55" s="17">
        <v>630.71152979309909</v>
      </c>
      <c r="Q55" s="16">
        <v>717.43636504855999</v>
      </c>
      <c r="R55" s="17">
        <v>726.34320303529</v>
      </c>
      <c r="S55" s="16">
        <v>2416.08602977383</v>
      </c>
      <c r="T55" s="17">
        <v>2704.0870980531699</v>
      </c>
      <c r="U55" s="16">
        <v>2790.1639423185097</v>
      </c>
      <c r="V55" s="17">
        <v>2843.4516772625097</v>
      </c>
      <c r="W55" s="16">
        <v>2842.1500265497502</v>
      </c>
      <c r="X55" s="17">
        <v>2871.3292032154</v>
      </c>
    </row>
    <row r="56" spans="1:24" ht="16.5" customHeight="1" x14ac:dyDescent="0.2">
      <c r="A56" s="97"/>
      <c r="B56" s="15" t="s">
        <v>60</v>
      </c>
      <c r="C56" s="16">
        <v>0</v>
      </c>
      <c r="D56" s="17">
        <v>0</v>
      </c>
      <c r="E56" s="16">
        <v>0</v>
      </c>
      <c r="F56" s="17">
        <v>0</v>
      </c>
      <c r="G56" s="16">
        <v>0</v>
      </c>
      <c r="H56" s="17">
        <v>0</v>
      </c>
      <c r="I56" s="16">
        <v>0</v>
      </c>
      <c r="J56" s="17">
        <v>0</v>
      </c>
      <c r="K56" s="16">
        <v>0</v>
      </c>
      <c r="L56" s="17">
        <v>0</v>
      </c>
      <c r="M56" s="16">
        <v>0</v>
      </c>
      <c r="N56" s="17">
        <v>0</v>
      </c>
      <c r="O56" s="16">
        <v>0</v>
      </c>
      <c r="P56" s="17">
        <v>0</v>
      </c>
      <c r="Q56" s="16">
        <v>0</v>
      </c>
      <c r="R56" s="17">
        <v>0</v>
      </c>
      <c r="S56" s="16">
        <v>0</v>
      </c>
      <c r="T56" s="17">
        <v>0</v>
      </c>
      <c r="U56" s="16">
        <v>0</v>
      </c>
      <c r="V56" s="17">
        <v>0</v>
      </c>
      <c r="W56" s="16">
        <v>0</v>
      </c>
      <c r="X56" s="17">
        <v>0</v>
      </c>
    </row>
    <row r="57" spans="1:24" ht="16.5" customHeight="1" x14ac:dyDescent="0.2">
      <c r="A57" s="97"/>
      <c r="B57" s="15" t="s">
        <v>68</v>
      </c>
      <c r="C57" s="16">
        <v>-28.457754532974999</v>
      </c>
      <c r="D57" s="17">
        <v>-30.2490179619125</v>
      </c>
      <c r="E57" s="16">
        <v>-25.009713665974999</v>
      </c>
      <c r="F57" s="17">
        <v>-34.420805101999996</v>
      </c>
      <c r="G57" s="16">
        <v>-45.173887538049996</v>
      </c>
      <c r="H57" s="17">
        <v>-50.832491716087496</v>
      </c>
      <c r="I57" s="16">
        <v>-256.44199504208734</v>
      </c>
      <c r="J57" s="17">
        <v>-270.28018628888736</v>
      </c>
      <c r="K57" s="16">
        <v>-497.04856140067494</v>
      </c>
      <c r="L57" s="17">
        <v>-478.04485745712498</v>
      </c>
      <c r="M57" s="16">
        <v>-507.1482570042125</v>
      </c>
      <c r="N57" s="17">
        <v>-552.61468435906238</v>
      </c>
      <c r="O57" s="16">
        <v>-547.89164640966248</v>
      </c>
      <c r="P57" s="17">
        <v>-788.38941224137386</v>
      </c>
      <c r="Q57" s="16">
        <v>-896.79545631069993</v>
      </c>
      <c r="R57" s="17">
        <v>-907.92900379411242</v>
      </c>
      <c r="S57" s="16">
        <v>-3020.1075372172872</v>
      </c>
      <c r="T57" s="17">
        <v>-3380.1088725664622</v>
      </c>
      <c r="U57" s="16">
        <v>-3487.7049278981372</v>
      </c>
      <c r="V57" s="17">
        <v>-3554.3145965781368</v>
      </c>
      <c r="W57" s="16">
        <v>-3552.6875331871875</v>
      </c>
      <c r="X57" s="17">
        <v>-3589.1615040192496</v>
      </c>
    </row>
    <row r="58" spans="1:24" ht="16.5" customHeight="1" x14ac:dyDescent="0.2">
      <c r="A58" s="97"/>
      <c r="B58" s="15" t="s">
        <v>69</v>
      </c>
      <c r="C58" s="16">
        <v>9.0314156949945659</v>
      </c>
      <c r="D58" s="17">
        <v>18.374713776604601</v>
      </c>
      <c r="E58" s="16">
        <v>30.250914724430434</v>
      </c>
      <c r="F58" s="17">
        <v>44.802621688958418</v>
      </c>
      <c r="G58" s="16">
        <v>61.458608445725957</v>
      </c>
      <c r="H58" s="17">
        <v>78.90268519775168</v>
      </c>
      <c r="I58" s="16">
        <v>93.76891482265853</v>
      </c>
      <c r="J58" s="17">
        <v>109.32447028825067</v>
      </c>
      <c r="K58" s="16">
        <v>123.36886734796389</v>
      </c>
      <c r="L58" s="17">
        <v>142.58494682751285</v>
      </c>
      <c r="M58" s="16">
        <v>157.45566685700254</v>
      </c>
      <c r="N58" s="17">
        <v>172.77893947422592</v>
      </c>
      <c r="O58" s="16">
        <v>189.35126548105745</v>
      </c>
      <c r="P58" s="17">
        <v>204.22191361516852</v>
      </c>
      <c r="Q58" s="16">
        <v>218.169457744471</v>
      </c>
      <c r="R58" s="17">
        <v>229.60351705350377</v>
      </c>
      <c r="S58" s="16">
        <v>239.90799459321514</v>
      </c>
      <c r="T58" s="17">
        <v>251.29892685952427</v>
      </c>
      <c r="U58" s="16">
        <v>260.89504827054793</v>
      </c>
      <c r="V58" s="17">
        <v>270.88916906841746</v>
      </c>
      <c r="W58" s="16">
        <v>280.81560608242762</v>
      </c>
      <c r="X58" s="17">
        <v>291.23462513302024</v>
      </c>
    </row>
    <row r="59" spans="1:24" ht="16.5" customHeight="1" thickBot="1" x14ac:dyDescent="0.25">
      <c r="A59" s="98"/>
      <c r="B59" s="15" t="s">
        <v>41</v>
      </c>
      <c r="C59" s="16">
        <v>1285</v>
      </c>
      <c r="D59" s="17">
        <v>1390</v>
      </c>
      <c r="E59" s="16">
        <v>1504</v>
      </c>
      <c r="F59" s="17">
        <v>1460</v>
      </c>
      <c r="G59" s="16">
        <v>1251</v>
      </c>
      <c r="H59" s="17">
        <v>1857</v>
      </c>
      <c r="I59" s="16">
        <v>1976</v>
      </c>
      <c r="J59" s="17">
        <v>2085</v>
      </c>
      <c r="K59" s="16">
        <v>2201</v>
      </c>
      <c r="L59" s="17">
        <v>2333</v>
      </c>
      <c r="M59" s="16">
        <v>2450</v>
      </c>
      <c r="N59" s="17">
        <v>2566</v>
      </c>
      <c r="O59" s="16">
        <v>2672</v>
      </c>
      <c r="P59" s="17">
        <v>2790</v>
      </c>
      <c r="Q59" s="16">
        <v>2900</v>
      </c>
      <c r="R59" s="17">
        <v>3002</v>
      </c>
      <c r="S59" s="16">
        <v>3096</v>
      </c>
      <c r="T59" s="17">
        <v>3195</v>
      </c>
      <c r="U59" s="16">
        <v>3275</v>
      </c>
      <c r="V59" s="17">
        <v>3360</v>
      </c>
      <c r="W59" s="16">
        <v>3447</v>
      </c>
      <c r="X59" s="17">
        <v>3525</v>
      </c>
    </row>
    <row r="60" spans="1:24" ht="16.5" customHeight="1" x14ac:dyDescent="0.2">
      <c r="A60" s="99" t="s">
        <v>37</v>
      </c>
      <c r="B60" s="32" t="s">
        <v>55</v>
      </c>
      <c r="C60" s="17">
        <v>0</v>
      </c>
      <c r="D60" s="16">
        <v>0</v>
      </c>
      <c r="E60" s="17">
        <v>0</v>
      </c>
      <c r="F60" s="16">
        <v>0</v>
      </c>
      <c r="G60" s="17">
        <v>0</v>
      </c>
      <c r="H60" s="16">
        <v>0</v>
      </c>
      <c r="I60" s="17">
        <v>0</v>
      </c>
      <c r="J60" s="16">
        <v>0</v>
      </c>
      <c r="K60" s="17">
        <v>0</v>
      </c>
      <c r="L60" s="16">
        <v>0</v>
      </c>
      <c r="M60" s="17">
        <v>0</v>
      </c>
      <c r="N60" s="16">
        <v>0</v>
      </c>
      <c r="O60" s="17">
        <v>0</v>
      </c>
      <c r="P60" s="16">
        <v>0</v>
      </c>
      <c r="Q60" s="17">
        <v>0</v>
      </c>
      <c r="R60" s="16">
        <v>0</v>
      </c>
      <c r="S60" s="17">
        <v>0</v>
      </c>
      <c r="T60" s="16">
        <v>0</v>
      </c>
      <c r="U60" s="17">
        <v>0</v>
      </c>
      <c r="V60" s="16">
        <v>0</v>
      </c>
      <c r="W60" s="17">
        <v>0</v>
      </c>
      <c r="X60" s="16">
        <v>0</v>
      </c>
    </row>
    <row r="61" spans="1:24" ht="16.5" customHeight="1" x14ac:dyDescent="0.2">
      <c r="A61" s="100"/>
      <c r="B61" s="32" t="s">
        <v>56</v>
      </c>
      <c r="C61" s="17">
        <v>32184.499307837919</v>
      </c>
      <c r="D61" s="16">
        <v>32195.312432196897</v>
      </c>
      <c r="E61" s="17">
        <v>32260.471748695039</v>
      </c>
      <c r="F61" s="16">
        <v>32543.419389839517</v>
      </c>
      <c r="G61" s="17">
        <v>30095.133473787915</v>
      </c>
      <c r="H61" s="16">
        <v>29985.812608765729</v>
      </c>
      <c r="I61" s="17">
        <v>32552.121793967948</v>
      </c>
      <c r="J61" s="16">
        <v>32532.838987534131</v>
      </c>
      <c r="K61" s="17">
        <v>28786.054501286693</v>
      </c>
      <c r="L61" s="16">
        <v>32564.19156855801</v>
      </c>
      <c r="M61" s="17">
        <v>28821.622973900412</v>
      </c>
      <c r="N61" s="16">
        <v>28700.709472782539</v>
      </c>
      <c r="O61" s="17">
        <v>32148.113119162943</v>
      </c>
      <c r="P61" s="16">
        <v>32201.764155513691</v>
      </c>
      <c r="Q61" s="17">
        <v>22359.669706297682</v>
      </c>
      <c r="R61" s="16">
        <v>22333.254269409041</v>
      </c>
      <c r="S61" s="17">
        <v>22140.758527194517</v>
      </c>
      <c r="T61" s="16">
        <v>22057.17885778605</v>
      </c>
      <c r="U61" s="17">
        <v>18294.98135154961</v>
      </c>
      <c r="V61" s="16">
        <v>21956.130087324429</v>
      </c>
      <c r="W61" s="17">
        <v>18327.560539817092</v>
      </c>
      <c r="X61" s="16">
        <v>18296.666723879531</v>
      </c>
    </row>
    <row r="62" spans="1:24" ht="16.5" customHeight="1" x14ac:dyDescent="0.2">
      <c r="A62" s="100"/>
      <c r="B62" s="32" t="s">
        <v>17</v>
      </c>
      <c r="C62" s="17">
        <v>3362.7083170182004</v>
      </c>
      <c r="D62" s="16">
        <v>3371.9212165168601</v>
      </c>
      <c r="E62" s="17">
        <v>3362.70831701823</v>
      </c>
      <c r="F62" s="16">
        <v>3362.7083170181604</v>
      </c>
      <c r="G62" s="17">
        <v>3362.7083170180304</v>
      </c>
      <c r="H62" s="16">
        <v>3371.9212165168901</v>
      </c>
      <c r="I62" s="17">
        <v>3362.7083170181304</v>
      </c>
      <c r="J62" s="16">
        <v>3362.7083170181004</v>
      </c>
      <c r="K62" s="17">
        <v>3362.7083170182605</v>
      </c>
      <c r="L62" s="16">
        <v>3371.9212165168105</v>
      </c>
      <c r="M62" s="17">
        <v>3362.7083170181304</v>
      </c>
      <c r="N62" s="16">
        <v>3362.7083170180704</v>
      </c>
      <c r="O62" s="17">
        <v>3362.7083170181204</v>
      </c>
      <c r="P62" s="16">
        <v>3371.9212165168201</v>
      </c>
      <c r="Q62" s="17">
        <v>3362.7083170182004</v>
      </c>
      <c r="R62" s="16">
        <v>3362.7083170181004</v>
      </c>
      <c r="S62" s="17">
        <v>3362.7083170180904</v>
      </c>
      <c r="T62" s="16">
        <v>3371.9212165168501</v>
      </c>
      <c r="U62" s="17">
        <v>3362.7083170181604</v>
      </c>
      <c r="V62" s="16">
        <v>3362.7083170181304</v>
      </c>
      <c r="W62" s="17">
        <v>3362.7083170181504</v>
      </c>
      <c r="X62" s="16">
        <v>3371.9212165167801</v>
      </c>
    </row>
    <row r="63" spans="1:24" ht="16.5" customHeight="1" x14ac:dyDescent="0.2">
      <c r="A63" s="100"/>
      <c r="B63" s="32" t="s">
        <v>44</v>
      </c>
      <c r="C63" s="17">
        <v>482.93622987114998</v>
      </c>
      <c r="D63" s="16">
        <v>67.955810306719997</v>
      </c>
      <c r="E63" s="17">
        <v>59.8626089073</v>
      </c>
      <c r="F63" s="16">
        <v>60.850920467999998</v>
      </c>
      <c r="G63" s="17">
        <v>95.752494739840003</v>
      </c>
      <c r="H63" s="16">
        <v>63.173223907400001</v>
      </c>
      <c r="I63" s="17">
        <v>27.14648221214</v>
      </c>
      <c r="J63" s="16">
        <v>24.117079089250002</v>
      </c>
      <c r="K63" s="17">
        <v>29.657446794750001</v>
      </c>
      <c r="L63" s="16">
        <v>16.877883605419999</v>
      </c>
      <c r="M63" s="17">
        <v>33.633136060349997</v>
      </c>
      <c r="N63" s="16">
        <v>37.089501215360002</v>
      </c>
      <c r="O63" s="17">
        <v>26.644141922119999</v>
      </c>
      <c r="P63" s="16">
        <v>0</v>
      </c>
      <c r="Q63" s="17">
        <v>0</v>
      </c>
      <c r="R63" s="16">
        <v>0</v>
      </c>
      <c r="S63" s="17">
        <v>0</v>
      </c>
      <c r="T63" s="16">
        <v>0</v>
      </c>
      <c r="U63" s="17">
        <v>0</v>
      </c>
      <c r="V63" s="16">
        <v>0</v>
      </c>
      <c r="W63" s="17">
        <v>0</v>
      </c>
      <c r="X63" s="16">
        <v>0</v>
      </c>
    </row>
    <row r="64" spans="1:24" ht="16.5" customHeight="1" x14ac:dyDescent="0.2">
      <c r="A64" s="100"/>
      <c r="B64" s="32" t="s">
        <v>57</v>
      </c>
      <c r="C64" s="17">
        <v>209.82311522853999</v>
      </c>
      <c r="D64" s="16">
        <v>105.25048782068001</v>
      </c>
      <c r="E64" s="17">
        <v>81.578226692270007</v>
      </c>
      <c r="F64" s="16">
        <v>75.182800044199993</v>
      </c>
      <c r="G64" s="17">
        <v>120.50303024419</v>
      </c>
      <c r="H64" s="16">
        <v>86.721284657279995</v>
      </c>
      <c r="I64" s="17">
        <v>50.057660628359997</v>
      </c>
      <c r="J64" s="16">
        <v>67.989592074409998</v>
      </c>
      <c r="K64" s="17">
        <v>85.51993080922</v>
      </c>
      <c r="L64" s="16">
        <v>39.703952009490003</v>
      </c>
      <c r="M64" s="17">
        <v>58.015093257650008</v>
      </c>
      <c r="N64" s="16">
        <v>66.008089762989997</v>
      </c>
      <c r="O64" s="17">
        <v>38.812577152180005</v>
      </c>
      <c r="P64" s="16">
        <v>42.504269274450003</v>
      </c>
      <c r="Q64" s="17">
        <v>32.40588261077</v>
      </c>
      <c r="R64" s="16">
        <v>30.859004265019998</v>
      </c>
      <c r="S64" s="17">
        <v>35.726908558790001</v>
      </c>
      <c r="T64" s="16">
        <v>91.397318153569998</v>
      </c>
      <c r="U64" s="17">
        <v>280.34484764924002</v>
      </c>
      <c r="V64" s="16">
        <v>114.26470763069</v>
      </c>
      <c r="W64" s="17">
        <v>289.75711357520998</v>
      </c>
      <c r="X64" s="16">
        <v>352.77682173116</v>
      </c>
    </row>
    <row r="65" spans="1:24" ht="16.5" customHeight="1" x14ac:dyDescent="0.2">
      <c r="A65" s="100"/>
      <c r="B65" s="32" t="s">
        <v>18</v>
      </c>
      <c r="C65" s="17">
        <v>5437.24420910345</v>
      </c>
      <c r="D65" s="16">
        <v>9065.7496234368009</v>
      </c>
      <c r="E65" s="17">
        <v>11145.346554684909</v>
      </c>
      <c r="F65" s="16">
        <v>12229.158963096681</v>
      </c>
      <c r="G65" s="17">
        <v>13626.30209198864</v>
      </c>
      <c r="H65" s="16">
        <v>15505.193915520298</v>
      </c>
      <c r="I65" s="17">
        <v>17257.731508413723</v>
      </c>
      <c r="J65" s="16">
        <v>17242.737301656649</v>
      </c>
      <c r="K65" s="17">
        <v>17937.76472971843</v>
      </c>
      <c r="L65" s="16">
        <v>17352.462617645841</v>
      </c>
      <c r="M65" s="17">
        <v>18061.43031532448</v>
      </c>
      <c r="N65" s="16">
        <v>17655.69950311472</v>
      </c>
      <c r="O65" s="17">
        <v>17140.919292129358</v>
      </c>
      <c r="P65" s="16">
        <v>17243.739865521198</v>
      </c>
      <c r="Q65" s="17">
        <v>18313.187150666767</v>
      </c>
      <c r="R65" s="16">
        <v>18527.990398099057</v>
      </c>
      <c r="S65" s="17">
        <v>18146.581981858792</v>
      </c>
      <c r="T65" s="16">
        <v>17603.485279510376</v>
      </c>
      <c r="U65" s="17">
        <v>17875.846978351958</v>
      </c>
      <c r="V65" s="16">
        <v>17670.5068753464</v>
      </c>
      <c r="W65" s="17">
        <v>17913.17634863397</v>
      </c>
      <c r="X65" s="16">
        <v>18345.93092520842</v>
      </c>
    </row>
    <row r="66" spans="1:24" ht="16.5" customHeight="1" x14ac:dyDescent="0.2">
      <c r="A66" s="100"/>
      <c r="B66" s="32" t="s">
        <v>58</v>
      </c>
      <c r="C66" s="17">
        <v>862.05044800527992</v>
      </c>
      <c r="D66" s="16">
        <v>1160.0386167351201</v>
      </c>
      <c r="E66" s="17">
        <v>1158.8618129200599</v>
      </c>
      <c r="F66" s="16">
        <v>1308.3991671233798</v>
      </c>
      <c r="G66" s="17">
        <v>1703.6829051477202</v>
      </c>
      <c r="H66" s="16">
        <v>3150.87848535372</v>
      </c>
      <c r="I66" s="17">
        <v>3561.12846347923</v>
      </c>
      <c r="J66" s="16">
        <v>3570.3883876953396</v>
      </c>
      <c r="K66" s="17">
        <v>3558.0079816258299</v>
      </c>
      <c r="L66" s="16">
        <v>3567.8850629895301</v>
      </c>
      <c r="M66" s="17">
        <v>3541.3834583708094</v>
      </c>
      <c r="N66" s="16">
        <v>3549.2279637722604</v>
      </c>
      <c r="O66" s="17">
        <v>3559.2525944476902</v>
      </c>
      <c r="P66" s="16">
        <v>3567.5480915635999</v>
      </c>
      <c r="Q66" s="17">
        <v>3552.8464574505997</v>
      </c>
      <c r="R66" s="16">
        <v>3549.6882358739404</v>
      </c>
      <c r="S66" s="17">
        <v>5360.0972885192296</v>
      </c>
      <c r="T66" s="16">
        <v>5375.5214271063305</v>
      </c>
      <c r="U66" s="17">
        <v>6764.7842153636902</v>
      </c>
      <c r="V66" s="16">
        <v>6746.9118672879504</v>
      </c>
      <c r="W66" s="17">
        <v>6714.2292691366101</v>
      </c>
      <c r="X66" s="16">
        <v>6679.2580761076897</v>
      </c>
    </row>
    <row r="67" spans="1:24" ht="16.5" customHeight="1" x14ac:dyDescent="0.2">
      <c r="A67" s="100"/>
      <c r="B67" s="32" t="s">
        <v>66</v>
      </c>
      <c r="C67" s="17">
        <v>-32.235273520815923</v>
      </c>
      <c r="D67" s="16">
        <v>-66.598555368403851</v>
      </c>
      <c r="E67" s="17">
        <v>-100.75967853586187</v>
      </c>
      <c r="F67" s="16">
        <v>-139.01250921305538</v>
      </c>
      <c r="G67" s="17">
        <v>-193.15500095031666</v>
      </c>
      <c r="H67" s="16">
        <v>-231.27579961088782</v>
      </c>
      <c r="I67" s="17">
        <v>-260.80643392948616</v>
      </c>
      <c r="J67" s="16">
        <v>-292.65700395904332</v>
      </c>
      <c r="K67" s="17">
        <v>-319.57287899503643</v>
      </c>
      <c r="L67" s="16">
        <v>-360.18570135257721</v>
      </c>
      <c r="M67" s="17">
        <v>-386.14204924419289</v>
      </c>
      <c r="N67" s="16">
        <v>-415.23029244867024</v>
      </c>
      <c r="O67" s="17">
        <v>-460.23028024718496</v>
      </c>
      <c r="P67" s="16">
        <v>-494.06065009800056</v>
      </c>
      <c r="Q67" s="17">
        <v>-514.78139925148571</v>
      </c>
      <c r="R67" s="16">
        <v>-547.88992872774702</v>
      </c>
      <c r="S67" s="17">
        <v>-580.91128039259854</v>
      </c>
      <c r="T67" s="16">
        <v>-610.96937442405181</v>
      </c>
      <c r="U67" s="17">
        <v>-636.52847876749013</v>
      </c>
      <c r="V67" s="16">
        <v>-661.08379109568716</v>
      </c>
      <c r="W67" s="17">
        <v>-683.81233605062698</v>
      </c>
      <c r="X67" s="16">
        <v>-707.62742197304385</v>
      </c>
    </row>
    <row r="68" spans="1:24" ht="16.5" customHeight="1" x14ac:dyDescent="0.2">
      <c r="A68" s="100"/>
      <c r="B68" s="32" t="s">
        <v>67</v>
      </c>
      <c r="C68" s="17">
        <v>14.172142759810001</v>
      </c>
      <c r="D68" s="16">
        <v>24.207292320919972</v>
      </c>
      <c r="E68" s="17">
        <v>16.834841146459979</v>
      </c>
      <c r="F68" s="16">
        <v>24.269355053859972</v>
      </c>
      <c r="G68" s="17">
        <v>35.685173709649902</v>
      </c>
      <c r="H68" s="16">
        <v>38.407064372279905</v>
      </c>
      <c r="I68" s="17">
        <v>36.5886015920399</v>
      </c>
      <c r="J68" s="16">
        <v>36.437835340869896</v>
      </c>
      <c r="K68" s="17">
        <v>36.178105428899897</v>
      </c>
      <c r="L68" s="16">
        <v>37.553999999999903</v>
      </c>
      <c r="M68" s="17">
        <v>36.701564112949896</v>
      </c>
      <c r="N68" s="16">
        <v>37.518453746839903</v>
      </c>
      <c r="O68" s="17">
        <v>39.160131864139899</v>
      </c>
      <c r="P68" s="16">
        <v>38.6760000000099</v>
      </c>
      <c r="Q68" s="17">
        <v>36.899999999999899</v>
      </c>
      <c r="R68" s="16">
        <v>36.932382428839901</v>
      </c>
      <c r="S68" s="17">
        <v>40.127999999999901</v>
      </c>
      <c r="T68" s="16">
        <v>41.073009064999901</v>
      </c>
      <c r="U68" s="17">
        <v>203.86662888489988</v>
      </c>
      <c r="V68" s="16">
        <v>341.60882299575985</v>
      </c>
      <c r="W68" s="17">
        <v>649.28296607903894</v>
      </c>
      <c r="X68" s="16">
        <v>672.65340894148085</v>
      </c>
    </row>
    <row r="69" spans="1:24" ht="16.5" customHeight="1" x14ac:dyDescent="0.2">
      <c r="A69" s="100"/>
      <c r="B69" s="32" t="s">
        <v>60</v>
      </c>
      <c r="C69" s="17">
        <v>0</v>
      </c>
      <c r="D69" s="16">
        <v>0</v>
      </c>
      <c r="E69" s="17">
        <v>0</v>
      </c>
      <c r="F69" s="16">
        <v>0</v>
      </c>
      <c r="G69" s="17">
        <v>0</v>
      </c>
      <c r="H69" s="16">
        <v>0</v>
      </c>
      <c r="I69" s="17">
        <v>0</v>
      </c>
      <c r="J69" s="16">
        <v>0</v>
      </c>
      <c r="K69" s="17">
        <v>0</v>
      </c>
      <c r="L69" s="16">
        <v>0</v>
      </c>
      <c r="M69" s="17">
        <v>0</v>
      </c>
      <c r="N69" s="16">
        <v>0</v>
      </c>
      <c r="O69" s="17">
        <v>0</v>
      </c>
      <c r="P69" s="16">
        <v>0</v>
      </c>
      <c r="Q69" s="17">
        <v>0</v>
      </c>
      <c r="R69" s="16">
        <v>0</v>
      </c>
      <c r="S69" s="17">
        <v>0</v>
      </c>
      <c r="T69" s="16">
        <v>0</v>
      </c>
      <c r="U69" s="17">
        <v>0</v>
      </c>
      <c r="V69" s="16">
        <v>0</v>
      </c>
      <c r="W69" s="17">
        <v>0</v>
      </c>
      <c r="X69" s="16">
        <v>0</v>
      </c>
    </row>
    <row r="70" spans="1:24" ht="16.5" customHeight="1" x14ac:dyDescent="0.2">
      <c r="A70" s="100"/>
      <c r="B70" s="32" t="s">
        <v>68</v>
      </c>
      <c r="C70" s="17">
        <v>-17.715178449762501</v>
      </c>
      <c r="D70" s="16">
        <v>-30.259115401149963</v>
      </c>
      <c r="E70" s="17">
        <v>-21.043551433074974</v>
      </c>
      <c r="F70" s="16">
        <v>-30.336693817324964</v>
      </c>
      <c r="G70" s="17">
        <v>-44.606467137062374</v>
      </c>
      <c r="H70" s="16">
        <v>-48.008830465349881</v>
      </c>
      <c r="I70" s="17">
        <v>-45.73575199004987</v>
      </c>
      <c r="J70" s="16">
        <v>-45.54729417608737</v>
      </c>
      <c r="K70" s="17">
        <v>-45.222631786124872</v>
      </c>
      <c r="L70" s="16">
        <v>-46.942499999999875</v>
      </c>
      <c r="M70" s="17">
        <v>-45.876955141187366</v>
      </c>
      <c r="N70" s="16">
        <v>-46.898067183549877</v>
      </c>
      <c r="O70" s="17">
        <v>-48.95016483017487</v>
      </c>
      <c r="P70" s="16">
        <v>-48.345000000012369</v>
      </c>
      <c r="Q70" s="17">
        <v>-46.124999999999872</v>
      </c>
      <c r="R70" s="16">
        <v>-46.165478036049876</v>
      </c>
      <c r="S70" s="17">
        <v>-50.159999999999876</v>
      </c>
      <c r="T70" s="16">
        <v>-51.341261331249875</v>
      </c>
      <c r="U70" s="17">
        <v>-254.83328610612483</v>
      </c>
      <c r="V70" s="16">
        <v>-427.01102874469979</v>
      </c>
      <c r="W70" s="17">
        <v>-811.60370759879868</v>
      </c>
      <c r="X70" s="16">
        <v>-840.81676117685106</v>
      </c>
    </row>
    <row r="71" spans="1:24" ht="16.5" customHeight="1" x14ac:dyDescent="0.2">
      <c r="A71" s="100"/>
      <c r="B71" s="32" t="s">
        <v>69</v>
      </c>
      <c r="C71" s="17">
        <v>29.01174616873433</v>
      </c>
      <c r="D71" s="16">
        <v>59.938699831563468</v>
      </c>
      <c r="E71" s="17">
        <v>90.683710682275688</v>
      </c>
      <c r="F71" s="16">
        <v>125.11125829174985</v>
      </c>
      <c r="G71" s="17">
        <v>173.839500855285</v>
      </c>
      <c r="H71" s="16">
        <v>208.14821964979905</v>
      </c>
      <c r="I71" s="17">
        <v>234.72579053653757</v>
      </c>
      <c r="J71" s="16">
        <v>263.39130356313899</v>
      </c>
      <c r="K71" s="17">
        <v>287.61559109553281</v>
      </c>
      <c r="L71" s="16">
        <v>324.16713121731948</v>
      </c>
      <c r="M71" s="17">
        <v>347.52784431977364</v>
      </c>
      <c r="N71" s="16">
        <v>373.70726320380322</v>
      </c>
      <c r="O71" s="17">
        <v>414.20725222246648</v>
      </c>
      <c r="P71" s="16">
        <v>444.65458508820052</v>
      </c>
      <c r="Q71" s="17">
        <v>463.30325932633718</v>
      </c>
      <c r="R71" s="16">
        <v>493.10093585497236</v>
      </c>
      <c r="S71" s="17">
        <v>522.8201523533387</v>
      </c>
      <c r="T71" s="16">
        <v>549.87243698164662</v>
      </c>
      <c r="U71" s="17">
        <v>572.87563089074115</v>
      </c>
      <c r="V71" s="16">
        <v>594.9754119861185</v>
      </c>
      <c r="W71" s="17">
        <v>615.43110244556431</v>
      </c>
      <c r="X71" s="16">
        <v>636.86467977573943</v>
      </c>
    </row>
    <row r="72" spans="1:24" ht="16.5" customHeight="1" thickBot="1" x14ac:dyDescent="0.25">
      <c r="A72" s="101"/>
      <c r="B72" s="32" t="s">
        <v>41</v>
      </c>
      <c r="C72" s="17">
        <v>1970</v>
      </c>
      <c r="D72" s="16">
        <v>2286</v>
      </c>
      <c r="E72" s="17">
        <v>2604</v>
      </c>
      <c r="F72" s="16">
        <v>2913</v>
      </c>
      <c r="G72" s="17">
        <v>3212</v>
      </c>
      <c r="H72" s="16">
        <v>3505</v>
      </c>
      <c r="I72" s="17">
        <v>3799</v>
      </c>
      <c r="J72" s="16">
        <v>4056</v>
      </c>
      <c r="K72" s="17">
        <v>4312</v>
      </c>
      <c r="L72" s="16">
        <v>4582</v>
      </c>
      <c r="M72" s="17">
        <v>4803</v>
      </c>
      <c r="N72" s="16">
        <v>4997</v>
      </c>
      <c r="O72" s="17">
        <v>5181</v>
      </c>
      <c r="P72" s="16">
        <v>5366</v>
      </c>
      <c r="Q72" s="17">
        <v>5535</v>
      </c>
      <c r="R72" s="16">
        <v>5689</v>
      </c>
      <c r="S72" s="17">
        <v>5824</v>
      </c>
      <c r="T72" s="16">
        <v>5959</v>
      </c>
      <c r="U72" s="17">
        <v>6065</v>
      </c>
      <c r="V72" s="16">
        <v>6165</v>
      </c>
      <c r="W72" s="17">
        <v>6280</v>
      </c>
      <c r="X72" s="16">
        <v>6381</v>
      </c>
    </row>
    <row r="73" spans="1:24" ht="16.5" customHeight="1" x14ac:dyDescent="0.2">
      <c r="A73" s="96" t="s">
        <v>39</v>
      </c>
      <c r="B73" s="15" t="s">
        <v>55</v>
      </c>
      <c r="C73" s="16">
        <v>0</v>
      </c>
      <c r="D73" s="17">
        <v>0</v>
      </c>
      <c r="E73" s="16">
        <v>0</v>
      </c>
      <c r="F73" s="17">
        <v>0</v>
      </c>
      <c r="G73" s="16">
        <v>0</v>
      </c>
      <c r="H73" s="17">
        <v>0</v>
      </c>
      <c r="I73" s="16">
        <v>0</v>
      </c>
      <c r="J73" s="17">
        <v>0</v>
      </c>
      <c r="K73" s="16">
        <v>0</v>
      </c>
      <c r="L73" s="17">
        <v>0</v>
      </c>
      <c r="M73" s="16">
        <v>0</v>
      </c>
      <c r="N73" s="17">
        <v>0</v>
      </c>
      <c r="O73" s="16">
        <v>0</v>
      </c>
      <c r="P73" s="17">
        <v>0</v>
      </c>
      <c r="Q73" s="16">
        <v>0</v>
      </c>
      <c r="R73" s="17">
        <v>0</v>
      </c>
      <c r="S73" s="16">
        <v>0</v>
      </c>
      <c r="T73" s="17">
        <v>0</v>
      </c>
      <c r="U73" s="16">
        <v>0</v>
      </c>
      <c r="V73" s="17">
        <v>0</v>
      </c>
      <c r="W73" s="16">
        <v>0</v>
      </c>
      <c r="X73" s="17">
        <v>0</v>
      </c>
    </row>
    <row r="74" spans="1:24" ht="16.5" customHeight="1" x14ac:dyDescent="0.2">
      <c r="A74" s="97"/>
      <c r="B74" s="15" t="s">
        <v>56</v>
      </c>
      <c r="C74" s="16">
        <v>0</v>
      </c>
      <c r="D74" s="17">
        <v>0</v>
      </c>
      <c r="E74" s="16">
        <v>0</v>
      </c>
      <c r="F74" s="17">
        <v>0</v>
      </c>
      <c r="G74" s="16">
        <v>0</v>
      </c>
      <c r="H74" s="17">
        <v>0</v>
      </c>
      <c r="I74" s="16">
        <v>0</v>
      </c>
      <c r="J74" s="17">
        <v>0</v>
      </c>
      <c r="K74" s="16">
        <v>0</v>
      </c>
      <c r="L74" s="17">
        <v>0</v>
      </c>
      <c r="M74" s="16">
        <v>0</v>
      </c>
      <c r="N74" s="17">
        <v>0</v>
      </c>
      <c r="O74" s="16">
        <v>0</v>
      </c>
      <c r="P74" s="17">
        <v>0</v>
      </c>
      <c r="Q74" s="16">
        <v>0</v>
      </c>
      <c r="R74" s="17">
        <v>0</v>
      </c>
      <c r="S74" s="16">
        <v>0</v>
      </c>
      <c r="T74" s="17">
        <v>0</v>
      </c>
      <c r="U74" s="16">
        <v>0</v>
      </c>
      <c r="V74" s="17">
        <v>0</v>
      </c>
      <c r="W74" s="16">
        <v>0</v>
      </c>
      <c r="X74" s="17">
        <v>0</v>
      </c>
    </row>
    <row r="75" spans="1:24" ht="16.5" customHeight="1" x14ac:dyDescent="0.2">
      <c r="A75" s="97"/>
      <c r="B75" s="15" t="s">
        <v>17</v>
      </c>
      <c r="C75" s="16">
        <v>8672.98037834147</v>
      </c>
      <c r="D75" s="17">
        <v>8696.7419684192591</v>
      </c>
      <c r="E75" s="16">
        <v>8672.9803783411899</v>
      </c>
      <c r="F75" s="17">
        <v>8672.98037834147</v>
      </c>
      <c r="G75" s="16">
        <v>8672.9803783413008</v>
      </c>
      <c r="H75" s="17">
        <v>8696.7419684190681</v>
      </c>
      <c r="I75" s="16">
        <v>8605.0981372954102</v>
      </c>
      <c r="J75" s="17">
        <v>8672.98037834143</v>
      </c>
      <c r="K75" s="16">
        <v>8672.9803783413809</v>
      </c>
      <c r="L75" s="17">
        <v>8696.741968419059</v>
      </c>
      <c r="M75" s="16">
        <v>8672.9803783414009</v>
      </c>
      <c r="N75" s="17">
        <v>8672.9803783413408</v>
      </c>
      <c r="O75" s="16">
        <v>8672.98037834149</v>
      </c>
      <c r="P75" s="17">
        <v>8696.7419684190791</v>
      </c>
      <c r="Q75" s="16">
        <v>8672.9803783415518</v>
      </c>
      <c r="R75" s="17">
        <v>8672.9803783414609</v>
      </c>
      <c r="S75" s="16">
        <v>8672.9803783413099</v>
      </c>
      <c r="T75" s="17">
        <v>8696.7419684190299</v>
      </c>
      <c r="U75" s="16">
        <v>8672.9803783413699</v>
      </c>
      <c r="V75" s="17">
        <v>8672.98037834147</v>
      </c>
      <c r="W75" s="16">
        <v>8672.9803783414118</v>
      </c>
      <c r="X75" s="17">
        <v>8696.7419684190609</v>
      </c>
    </row>
    <row r="76" spans="1:24" ht="16.5" customHeight="1" x14ac:dyDescent="0.2">
      <c r="A76" s="97"/>
      <c r="B76" s="15" t="s">
        <v>44</v>
      </c>
      <c r="C76" s="16">
        <v>0</v>
      </c>
      <c r="D76" s="17">
        <v>0</v>
      </c>
      <c r="E76" s="16">
        <v>0</v>
      </c>
      <c r="F76" s="17">
        <v>0</v>
      </c>
      <c r="G76" s="16">
        <v>0</v>
      </c>
      <c r="H76" s="17">
        <v>0</v>
      </c>
      <c r="I76" s="16">
        <v>0</v>
      </c>
      <c r="J76" s="17">
        <v>0</v>
      </c>
      <c r="K76" s="16">
        <v>0</v>
      </c>
      <c r="L76" s="17">
        <v>0</v>
      </c>
      <c r="M76" s="16">
        <v>0</v>
      </c>
      <c r="N76" s="17">
        <v>0</v>
      </c>
      <c r="O76" s="16">
        <v>0</v>
      </c>
      <c r="P76" s="17">
        <v>0</v>
      </c>
      <c r="Q76" s="16">
        <v>0</v>
      </c>
      <c r="R76" s="17">
        <v>0</v>
      </c>
      <c r="S76" s="16">
        <v>0</v>
      </c>
      <c r="T76" s="17">
        <v>0</v>
      </c>
      <c r="U76" s="16">
        <v>0</v>
      </c>
      <c r="V76" s="17">
        <v>0</v>
      </c>
      <c r="W76" s="16">
        <v>0</v>
      </c>
      <c r="X76" s="17">
        <v>0</v>
      </c>
    </row>
    <row r="77" spans="1:24" ht="16.5" customHeight="1" x14ac:dyDescent="0.2">
      <c r="A77" s="97"/>
      <c r="B77" s="15" t="s">
        <v>57</v>
      </c>
      <c r="C77" s="16">
        <v>0</v>
      </c>
      <c r="D77" s="17">
        <v>0</v>
      </c>
      <c r="E77" s="16">
        <v>0</v>
      </c>
      <c r="F77" s="17">
        <v>0</v>
      </c>
      <c r="G77" s="16">
        <v>0</v>
      </c>
      <c r="H77" s="17">
        <v>5.9072260060000006E-2</v>
      </c>
      <c r="I77" s="16">
        <v>0</v>
      </c>
      <c r="J77" s="17">
        <v>0</v>
      </c>
      <c r="K77" s="16">
        <v>0</v>
      </c>
      <c r="L77" s="17">
        <v>0</v>
      </c>
      <c r="M77" s="16">
        <v>0</v>
      </c>
      <c r="N77" s="17">
        <v>0</v>
      </c>
      <c r="O77" s="16">
        <v>0</v>
      </c>
      <c r="P77" s="17">
        <v>0</v>
      </c>
      <c r="Q77" s="16">
        <v>0</v>
      </c>
      <c r="R77" s="17">
        <v>0</v>
      </c>
      <c r="S77" s="16">
        <v>0</v>
      </c>
      <c r="T77" s="17">
        <v>0</v>
      </c>
      <c r="U77" s="16">
        <v>0</v>
      </c>
      <c r="V77" s="17">
        <v>0</v>
      </c>
      <c r="W77" s="16">
        <v>0</v>
      </c>
      <c r="X77" s="17">
        <v>0</v>
      </c>
    </row>
    <row r="78" spans="1:24" ht="16.5" customHeight="1" x14ac:dyDescent="0.2">
      <c r="A78" s="97"/>
      <c r="B78" s="15" t="s">
        <v>18</v>
      </c>
      <c r="C78" s="16">
        <v>1051.7544303110401</v>
      </c>
      <c r="D78" s="17">
        <v>1066.1709615713</v>
      </c>
      <c r="E78" s="16">
        <v>1053.3539273808201</v>
      </c>
      <c r="F78" s="17">
        <v>1055.2435319097399</v>
      </c>
      <c r="G78" s="16">
        <v>1051.5951688734599</v>
      </c>
      <c r="H78" s="17">
        <v>1061.41437726397</v>
      </c>
      <c r="I78" s="16">
        <v>1061.7905278488502</v>
      </c>
      <c r="J78" s="17">
        <v>1060.42972440622</v>
      </c>
      <c r="K78" s="16">
        <v>1056.7328380193399</v>
      </c>
      <c r="L78" s="17">
        <v>1059.9145822301</v>
      </c>
      <c r="M78" s="16">
        <v>1167.4356495741201</v>
      </c>
      <c r="N78" s="17">
        <v>1412.52704292525</v>
      </c>
      <c r="O78" s="16">
        <v>1425.0439958995198</v>
      </c>
      <c r="P78" s="17">
        <v>1429.17618476594</v>
      </c>
      <c r="Q78" s="16">
        <v>3016.7547597644198</v>
      </c>
      <c r="R78" s="17">
        <v>3565.0928997352607</v>
      </c>
      <c r="S78" s="16">
        <v>5728.3715813319905</v>
      </c>
      <c r="T78" s="17">
        <v>6670.1386626351596</v>
      </c>
      <c r="U78" s="16">
        <v>7904.8991925381997</v>
      </c>
      <c r="V78" s="17">
        <v>7816.1087336136497</v>
      </c>
      <c r="W78" s="16">
        <v>8493.8211872681313</v>
      </c>
      <c r="X78" s="17">
        <v>8623.4018771935698</v>
      </c>
    </row>
    <row r="79" spans="1:24" ht="16.5" customHeight="1" x14ac:dyDescent="0.2">
      <c r="A79" s="97"/>
      <c r="B79" s="15" t="s">
        <v>58</v>
      </c>
      <c r="C79" s="16">
        <v>0</v>
      </c>
      <c r="D79" s="17">
        <v>0</v>
      </c>
      <c r="E79" s="16">
        <v>0</v>
      </c>
      <c r="F79" s="17">
        <v>0</v>
      </c>
      <c r="G79" s="16">
        <v>0</v>
      </c>
      <c r="H79" s="17">
        <v>0</v>
      </c>
      <c r="I79" s="16">
        <v>0</v>
      </c>
      <c r="J79" s="17">
        <v>0</v>
      </c>
      <c r="K79" s="16">
        <v>0</v>
      </c>
      <c r="L79" s="17">
        <v>0</v>
      </c>
      <c r="M79" s="16">
        <v>0</v>
      </c>
      <c r="N79" s="17">
        <v>0</v>
      </c>
      <c r="O79" s="16">
        <v>0</v>
      </c>
      <c r="P79" s="17">
        <v>0</v>
      </c>
      <c r="Q79" s="16">
        <v>0</v>
      </c>
      <c r="R79" s="17">
        <v>0</v>
      </c>
      <c r="S79" s="16">
        <v>0</v>
      </c>
      <c r="T79" s="17">
        <v>0</v>
      </c>
      <c r="U79" s="16">
        <v>0</v>
      </c>
      <c r="V79" s="17">
        <v>0</v>
      </c>
      <c r="W79" s="16">
        <v>0</v>
      </c>
      <c r="X79" s="17">
        <v>0</v>
      </c>
    </row>
    <row r="80" spans="1:24" ht="16.5" customHeight="1" x14ac:dyDescent="0.2">
      <c r="A80" s="97"/>
      <c r="B80" s="15" t="s">
        <v>66</v>
      </c>
      <c r="C80" s="16">
        <v>-2.1781780198031631</v>
      </c>
      <c r="D80" s="17">
        <v>-3.9785008793626773</v>
      </c>
      <c r="E80" s="16">
        <v>-6.0385214597232322</v>
      </c>
      <c r="F80" s="17">
        <v>-7.8099884331425695</v>
      </c>
      <c r="G80" s="16">
        <v>-9.5235803300857373</v>
      </c>
      <c r="H80" s="17">
        <v>-10.420555148688697</v>
      </c>
      <c r="I80" s="16">
        <v>-10.6655437592326</v>
      </c>
      <c r="J80" s="17">
        <v>-10.796461922595938</v>
      </c>
      <c r="K80" s="16">
        <v>-10.659928422389349</v>
      </c>
      <c r="L80" s="17">
        <v>-10.629388674703355</v>
      </c>
      <c r="M80" s="16">
        <v>-10.549565406706044</v>
      </c>
      <c r="N80" s="17">
        <v>-10.505650131630578</v>
      </c>
      <c r="O80" s="16">
        <v>-10.479777603278592</v>
      </c>
      <c r="P80" s="17">
        <v>-10.469559160464177</v>
      </c>
      <c r="Q80" s="16">
        <v>-20.659842389296703</v>
      </c>
      <c r="R80" s="17">
        <v>-21.476695429694818</v>
      </c>
      <c r="S80" s="16">
        <v>-22.879081934917963</v>
      </c>
      <c r="T80" s="17">
        <v>-23.641444938474248</v>
      </c>
      <c r="U80" s="16">
        <v>-24.120757066828901</v>
      </c>
      <c r="V80" s="17">
        <v>-24.580946598847525</v>
      </c>
      <c r="W80" s="16">
        <v>-25.017695613885138</v>
      </c>
      <c r="X80" s="17">
        <v>-25.473891319739099</v>
      </c>
    </row>
    <row r="81" spans="1:24" ht="16.5" customHeight="1" x14ac:dyDescent="0.2">
      <c r="A81" s="97"/>
      <c r="B81" s="15" t="s">
        <v>67</v>
      </c>
      <c r="C81" s="16">
        <v>0</v>
      </c>
      <c r="D81" s="17">
        <v>0</v>
      </c>
      <c r="E81" s="16">
        <v>0</v>
      </c>
      <c r="F81" s="17">
        <v>0</v>
      </c>
      <c r="G81" s="16">
        <v>0</v>
      </c>
      <c r="H81" s="17">
        <v>0</v>
      </c>
      <c r="I81" s="16">
        <v>0</v>
      </c>
      <c r="J81" s="17">
        <v>0</v>
      </c>
      <c r="K81" s="16">
        <v>0</v>
      </c>
      <c r="L81" s="17">
        <v>0</v>
      </c>
      <c r="M81" s="16">
        <v>0</v>
      </c>
      <c r="N81" s="17">
        <v>0</v>
      </c>
      <c r="O81" s="16">
        <v>0</v>
      </c>
      <c r="P81" s="17">
        <v>0</v>
      </c>
      <c r="Q81" s="16">
        <v>1325.86106629031</v>
      </c>
      <c r="R81" s="17">
        <v>1491.9646699345101</v>
      </c>
      <c r="S81" s="16">
        <v>2036.73808399827</v>
      </c>
      <c r="T81" s="17">
        <v>2076.83143307622</v>
      </c>
      <c r="U81" s="16">
        <v>2343.8381570915399</v>
      </c>
      <c r="V81" s="17">
        <v>2384.2119901419301</v>
      </c>
      <c r="W81" s="16">
        <v>2393.55134873825</v>
      </c>
      <c r="X81" s="17">
        <v>2412.4346876765298</v>
      </c>
    </row>
    <row r="82" spans="1:24" ht="16.5" customHeight="1" x14ac:dyDescent="0.2">
      <c r="A82" s="97"/>
      <c r="B82" s="15" t="s">
        <v>60</v>
      </c>
      <c r="C82" s="16">
        <v>0</v>
      </c>
      <c r="D82" s="17">
        <v>0</v>
      </c>
      <c r="E82" s="16">
        <v>0</v>
      </c>
      <c r="F82" s="17">
        <v>0</v>
      </c>
      <c r="G82" s="16">
        <v>0</v>
      </c>
      <c r="H82" s="17">
        <v>0</v>
      </c>
      <c r="I82" s="16">
        <v>0</v>
      </c>
      <c r="J82" s="17">
        <v>0</v>
      </c>
      <c r="K82" s="16">
        <v>0</v>
      </c>
      <c r="L82" s="17">
        <v>0</v>
      </c>
      <c r="M82" s="16">
        <v>0</v>
      </c>
      <c r="N82" s="17">
        <v>0</v>
      </c>
      <c r="O82" s="16">
        <v>0</v>
      </c>
      <c r="P82" s="17">
        <v>0</v>
      </c>
      <c r="Q82" s="16">
        <v>0</v>
      </c>
      <c r="R82" s="17">
        <v>0</v>
      </c>
      <c r="S82" s="16">
        <v>0</v>
      </c>
      <c r="T82" s="17">
        <v>0</v>
      </c>
      <c r="U82" s="16">
        <v>0</v>
      </c>
      <c r="V82" s="17">
        <v>0</v>
      </c>
      <c r="W82" s="16">
        <v>0</v>
      </c>
      <c r="X82" s="17">
        <v>0</v>
      </c>
    </row>
    <row r="83" spans="1:24" ht="16.5" customHeight="1" x14ac:dyDescent="0.2">
      <c r="A83" s="97"/>
      <c r="B83" s="15" t="s">
        <v>68</v>
      </c>
      <c r="C83" s="16">
        <v>0</v>
      </c>
      <c r="D83" s="17">
        <v>0</v>
      </c>
      <c r="E83" s="16">
        <v>0</v>
      </c>
      <c r="F83" s="17">
        <v>0</v>
      </c>
      <c r="G83" s="16">
        <v>0</v>
      </c>
      <c r="H83" s="17">
        <v>0</v>
      </c>
      <c r="I83" s="16">
        <v>0</v>
      </c>
      <c r="J83" s="17">
        <v>0</v>
      </c>
      <c r="K83" s="16">
        <v>0</v>
      </c>
      <c r="L83" s="17">
        <v>0</v>
      </c>
      <c r="M83" s="16">
        <v>0</v>
      </c>
      <c r="N83" s="17">
        <v>0</v>
      </c>
      <c r="O83" s="16">
        <v>0</v>
      </c>
      <c r="P83" s="17">
        <v>0</v>
      </c>
      <c r="Q83" s="16">
        <v>-1657.3263328628873</v>
      </c>
      <c r="R83" s="17">
        <v>-1864.9558374181374</v>
      </c>
      <c r="S83" s="16">
        <v>-2545.9226049978374</v>
      </c>
      <c r="T83" s="17">
        <v>-2596.0392913452747</v>
      </c>
      <c r="U83" s="16">
        <v>-2929.7976963644246</v>
      </c>
      <c r="V83" s="17">
        <v>-2980.2649876774126</v>
      </c>
      <c r="W83" s="16">
        <v>-2991.9391859228122</v>
      </c>
      <c r="X83" s="17">
        <v>-3015.543359595662</v>
      </c>
    </row>
    <row r="84" spans="1:24" ht="16.5" customHeight="1" x14ac:dyDescent="0.2">
      <c r="A84" s="97"/>
      <c r="B84" s="15" t="s">
        <v>69</v>
      </c>
      <c r="C84" s="16">
        <v>1.960360217822847</v>
      </c>
      <c r="D84" s="17">
        <v>3.5806507914264096</v>
      </c>
      <c r="E84" s="16">
        <v>5.4346693137509092</v>
      </c>
      <c r="F84" s="17">
        <v>7.0289895898283126</v>
      </c>
      <c r="G84" s="16">
        <v>8.5712222970771634</v>
      </c>
      <c r="H84" s="17">
        <v>9.3784996338198283</v>
      </c>
      <c r="I84" s="16">
        <v>9.5989893833093394</v>
      </c>
      <c r="J84" s="17">
        <v>9.7168157303363447</v>
      </c>
      <c r="K84" s="16">
        <v>9.5939355801504149</v>
      </c>
      <c r="L84" s="17">
        <v>9.5664498072330204</v>
      </c>
      <c r="M84" s="16">
        <v>9.4946088660354402</v>
      </c>
      <c r="N84" s="17">
        <v>9.4550851184675206</v>
      </c>
      <c r="O84" s="16">
        <v>9.431799842950733</v>
      </c>
      <c r="P84" s="17">
        <v>9.4226032444177594</v>
      </c>
      <c r="Q84" s="16">
        <v>18.593858150367033</v>
      </c>
      <c r="R84" s="17">
        <v>19.329025886725336</v>
      </c>
      <c r="S84" s="16">
        <v>20.591173741426168</v>
      </c>
      <c r="T84" s="17">
        <v>21.277300444626825</v>
      </c>
      <c r="U84" s="16">
        <v>21.708681360146013</v>
      </c>
      <c r="V84" s="17">
        <v>22.122851938962775</v>
      </c>
      <c r="W84" s="16">
        <v>22.515926052496624</v>
      </c>
      <c r="X84" s="17">
        <v>22.926502187765191</v>
      </c>
    </row>
    <row r="85" spans="1:24" ht="16.5" customHeight="1" thickBot="1" x14ac:dyDescent="0.25">
      <c r="A85" s="98"/>
      <c r="B85" s="15" t="s">
        <v>41</v>
      </c>
      <c r="C85" s="16">
        <v>178</v>
      </c>
      <c r="D85" s="17">
        <v>202</v>
      </c>
      <c r="E85" s="16">
        <v>226</v>
      </c>
      <c r="F85" s="17">
        <v>249</v>
      </c>
      <c r="G85" s="16">
        <v>265</v>
      </c>
      <c r="H85" s="17">
        <v>274</v>
      </c>
      <c r="I85" s="16">
        <v>281</v>
      </c>
      <c r="J85" s="17">
        <v>284</v>
      </c>
      <c r="K85" s="16">
        <v>287</v>
      </c>
      <c r="L85" s="17">
        <v>292</v>
      </c>
      <c r="M85" s="16">
        <v>263</v>
      </c>
      <c r="N85" s="17">
        <v>298</v>
      </c>
      <c r="O85" s="16">
        <v>300</v>
      </c>
      <c r="P85" s="17">
        <v>287</v>
      </c>
      <c r="Q85" s="16">
        <v>307</v>
      </c>
      <c r="R85" s="17">
        <v>310</v>
      </c>
      <c r="S85" s="16">
        <v>313</v>
      </c>
      <c r="T85" s="17">
        <v>317</v>
      </c>
      <c r="U85" s="16">
        <v>320</v>
      </c>
      <c r="V85" s="17">
        <v>322</v>
      </c>
      <c r="W85" s="16">
        <v>326</v>
      </c>
      <c r="X85" s="17">
        <v>329</v>
      </c>
    </row>
  </sheetData>
  <mergeCells count="6">
    <mergeCell ref="A73:A85"/>
    <mergeCell ref="A3:A16"/>
    <mergeCell ref="A21:A33"/>
    <mergeCell ref="A34:A46"/>
    <mergeCell ref="A47:A59"/>
    <mergeCell ref="A60:A7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W17"/>
  <sheetViews>
    <sheetView zoomScaleNormal="100" workbookViewId="0"/>
  </sheetViews>
  <sheetFormatPr defaultColWidth="9.140625" defaultRowHeight="15.75" customHeight="1" x14ac:dyDescent="0.2"/>
  <cols>
    <col min="1" max="1" width="28.5703125" style="1" customWidth="1"/>
    <col min="2" max="23" width="11.7109375" style="1" customWidth="1"/>
    <col min="24" max="16384" width="9.140625" style="1"/>
  </cols>
  <sheetData>
    <row r="1" spans="1:23" s="19" customFormat="1" ht="15.75" customHeight="1" x14ac:dyDescent="0.25">
      <c r="A1" s="10" t="s">
        <v>21</v>
      </c>
      <c r="G1" s="20"/>
      <c r="H1" s="21"/>
      <c r="I1" s="21"/>
      <c r="J1" s="21"/>
      <c r="K1" s="21"/>
      <c r="L1" s="21"/>
      <c r="M1" s="21"/>
    </row>
    <row r="2" spans="1:23" s="14" customFormat="1" ht="16.5" customHeight="1" x14ac:dyDescent="0.2">
      <c r="A2" s="11" t="s">
        <v>20</v>
      </c>
      <c r="B2" s="12" t="s">
        <v>0</v>
      </c>
      <c r="C2" s="13" t="s">
        <v>1</v>
      </c>
      <c r="D2" s="12" t="s">
        <v>2</v>
      </c>
      <c r="E2" s="13" t="s">
        <v>3</v>
      </c>
      <c r="F2" s="12" t="s">
        <v>4</v>
      </c>
      <c r="G2" s="13" t="s">
        <v>5</v>
      </c>
      <c r="H2" s="12" t="s">
        <v>6</v>
      </c>
      <c r="I2" s="13" t="s">
        <v>7</v>
      </c>
      <c r="J2" s="12" t="s">
        <v>8</v>
      </c>
      <c r="K2" s="13" t="s">
        <v>9</v>
      </c>
      <c r="L2" s="12" t="s">
        <v>10</v>
      </c>
      <c r="M2" s="13" t="s">
        <v>11</v>
      </c>
      <c r="N2" s="12" t="s">
        <v>12</v>
      </c>
      <c r="O2" s="13" t="s">
        <v>13</v>
      </c>
      <c r="P2" s="12" t="s">
        <v>14</v>
      </c>
      <c r="Q2" s="13" t="s">
        <v>15</v>
      </c>
      <c r="R2" s="12" t="s">
        <v>16</v>
      </c>
      <c r="S2" s="13" t="s">
        <v>45</v>
      </c>
      <c r="T2" s="12" t="s">
        <v>62</v>
      </c>
      <c r="U2" s="13" t="s">
        <v>63</v>
      </c>
      <c r="V2" s="12" t="s">
        <v>64</v>
      </c>
      <c r="W2" s="13" t="s">
        <v>65</v>
      </c>
    </row>
    <row r="3" spans="1:23" s="22" customFormat="1" ht="15.75" customHeight="1" x14ac:dyDescent="0.2">
      <c r="A3" s="15" t="s">
        <v>55</v>
      </c>
      <c r="B3" s="16">
        <v>0</v>
      </c>
      <c r="C3" s="17">
        <v>0</v>
      </c>
      <c r="D3" s="16">
        <v>0</v>
      </c>
      <c r="E3" s="17">
        <v>0</v>
      </c>
      <c r="F3" s="16">
        <v>-1800</v>
      </c>
      <c r="G3" s="17">
        <v>-1800</v>
      </c>
      <c r="H3" s="16">
        <v>-1800</v>
      </c>
      <c r="I3" s="17">
        <v>-1800</v>
      </c>
      <c r="J3" s="16">
        <v>-1800</v>
      </c>
      <c r="K3" s="17">
        <v>-1800</v>
      </c>
      <c r="L3" s="16">
        <v>-3120</v>
      </c>
      <c r="M3" s="17">
        <v>-4800</v>
      </c>
      <c r="N3" s="16">
        <v>-4800</v>
      </c>
      <c r="O3" s="17">
        <v>-4800</v>
      </c>
      <c r="P3" s="16">
        <v>-4800</v>
      </c>
      <c r="Q3" s="17">
        <v>-4800</v>
      </c>
      <c r="R3" s="16">
        <v>-7680</v>
      </c>
      <c r="S3" s="17">
        <v>-10320</v>
      </c>
      <c r="T3" s="16">
        <v>-11720</v>
      </c>
      <c r="U3" s="17">
        <v>-11720</v>
      </c>
      <c r="V3" s="16">
        <v>-12420</v>
      </c>
      <c r="W3" s="17">
        <v>-12420</v>
      </c>
    </row>
    <row r="4" spans="1:23" s="22" customFormat="1" ht="15.75" customHeight="1" x14ac:dyDescent="0.2">
      <c r="A4" s="15" t="s">
        <v>56</v>
      </c>
      <c r="B4" s="16">
        <v>0</v>
      </c>
      <c r="C4" s="17">
        <v>0</v>
      </c>
      <c r="D4" s="16">
        <v>0</v>
      </c>
      <c r="E4" s="17">
        <v>0</v>
      </c>
      <c r="F4" s="16">
        <v>0</v>
      </c>
      <c r="G4" s="17">
        <v>0</v>
      </c>
      <c r="H4" s="16">
        <v>0</v>
      </c>
      <c r="I4" s="17">
        <v>0</v>
      </c>
      <c r="J4" s="16">
        <v>0</v>
      </c>
      <c r="K4" s="17">
        <v>0</v>
      </c>
      <c r="L4" s="16">
        <v>0</v>
      </c>
      <c r="M4" s="17">
        <v>0</v>
      </c>
      <c r="N4" s="16">
        <v>0</v>
      </c>
      <c r="O4" s="17">
        <v>0</v>
      </c>
      <c r="P4" s="16">
        <v>-1528</v>
      </c>
      <c r="Q4" s="17">
        <v>-1528</v>
      </c>
      <c r="R4" s="16">
        <v>-1528</v>
      </c>
      <c r="S4" s="17">
        <v>-1528</v>
      </c>
      <c r="T4" s="16">
        <v>-1528</v>
      </c>
      <c r="U4" s="17">
        <v>-1528</v>
      </c>
      <c r="V4" s="16">
        <v>-1528</v>
      </c>
      <c r="W4" s="17">
        <v>-1528</v>
      </c>
    </row>
    <row r="5" spans="1:23" s="22" customFormat="1" ht="15.75" customHeight="1" x14ac:dyDescent="0.2">
      <c r="A5" s="15" t="s">
        <v>17</v>
      </c>
      <c r="B5" s="16">
        <v>0</v>
      </c>
      <c r="C5" s="17">
        <v>0</v>
      </c>
      <c r="D5" s="16">
        <v>0</v>
      </c>
      <c r="E5" s="17">
        <v>0</v>
      </c>
      <c r="F5" s="16">
        <v>0</v>
      </c>
      <c r="G5" s="17">
        <v>0</v>
      </c>
      <c r="H5" s="16">
        <v>0</v>
      </c>
      <c r="I5" s="17">
        <v>0</v>
      </c>
      <c r="J5" s="16">
        <v>0</v>
      </c>
      <c r="K5" s="17">
        <v>0</v>
      </c>
      <c r="L5" s="16">
        <v>0</v>
      </c>
      <c r="M5" s="17">
        <v>0</v>
      </c>
      <c r="N5" s="16">
        <v>0</v>
      </c>
      <c r="O5" s="17">
        <v>0</v>
      </c>
      <c r="P5" s="16">
        <v>0</v>
      </c>
      <c r="Q5" s="17">
        <v>0</v>
      </c>
      <c r="R5" s="16">
        <v>0</v>
      </c>
      <c r="S5" s="17">
        <v>0</v>
      </c>
      <c r="T5" s="16">
        <v>0</v>
      </c>
      <c r="U5" s="17">
        <v>0</v>
      </c>
      <c r="V5" s="16">
        <v>0</v>
      </c>
      <c r="W5" s="17">
        <v>0</v>
      </c>
    </row>
    <row r="6" spans="1:23" s="22" customFormat="1" ht="15.75" customHeight="1" x14ac:dyDescent="0.2">
      <c r="A6" s="15" t="s">
        <v>44</v>
      </c>
      <c r="B6" s="16">
        <v>0</v>
      </c>
      <c r="C6" s="17">
        <v>0</v>
      </c>
      <c r="D6" s="16">
        <v>0</v>
      </c>
      <c r="E6" s="17">
        <v>0</v>
      </c>
      <c r="F6" s="16">
        <v>0</v>
      </c>
      <c r="G6" s="17">
        <v>0</v>
      </c>
      <c r="H6" s="16">
        <v>-1462</v>
      </c>
      <c r="I6" s="17">
        <v>-1462</v>
      </c>
      <c r="J6" s="16">
        <v>-1462</v>
      </c>
      <c r="K6" s="17">
        <v>-1462</v>
      </c>
      <c r="L6" s="16">
        <v>-1462</v>
      </c>
      <c r="M6" s="17">
        <v>-1462</v>
      </c>
      <c r="N6" s="16">
        <v>-1462</v>
      </c>
      <c r="O6" s="17">
        <v>-1972</v>
      </c>
      <c r="P6" s="16">
        <v>-1972</v>
      </c>
      <c r="Q6" s="17">
        <v>-1972</v>
      </c>
      <c r="R6" s="16">
        <v>-1972</v>
      </c>
      <c r="S6" s="17">
        <v>-1972</v>
      </c>
      <c r="T6" s="16">
        <v>-1972</v>
      </c>
      <c r="U6" s="17">
        <v>-1972</v>
      </c>
      <c r="V6" s="16">
        <v>-1972</v>
      </c>
      <c r="W6" s="17">
        <v>-1972</v>
      </c>
    </row>
    <row r="7" spans="1:23" s="22" customFormat="1" ht="15.75" customHeight="1" x14ac:dyDescent="0.2">
      <c r="A7" s="15" t="s">
        <v>57</v>
      </c>
      <c r="B7" s="16">
        <v>0</v>
      </c>
      <c r="C7" s="17">
        <v>-24</v>
      </c>
      <c r="D7" s="16">
        <v>-24</v>
      </c>
      <c r="E7" s="17">
        <v>-298</v>
      </c>
      <c r="F7" s="16">
        <v>3</v>
      </c>
      <c r="G7" s="17">
        <v>3</v>
      </c>
      <c r="H7" s="16">
        <v>93</v>
      </c>
      <c r="I7" s="17">
        <v>93</v>
      </c>
      <c r="J7" s="16">
        <v>93</v>
      </c>
      <c r="K7" s="17">
        <v>93</v>
      </c>
      <c r="L7" s="16">
        <v>93</v>
      </c>
      <c r="M7" s="17">
        <v>93</v>
      </c>
      <c r="N7" s="16">
        <v>93</v>
      </c>
      <c r="O7" s="17">
        <v>93</v>
      </c>
      <c r="P7" s="16">
        <v>93</v>
      </c>
      <c r="Q7" s="17">
        <v>93</v>
      </c>
      <c r="R7" s="16">
        <v>93</v>
      </c>
      <c r="S7" s="17">
        <v>93</v>
      </c>
      <c r="T7" s="16">
        <v>93</v>
      </c>
      <c r="U7" s="17">
        <v>93</v>
      </c>
      <c r="V7" s="16">
        <v>93</v>
      </c>
      <c r="W7" s="17">
        <v>93</v>
      </c>
    </row>
    <row r="8" spans="1:23" s="22" customFormat="1" ht="15.75" customHeight="1" x14ac:dyDescent="0.2">
      <c r="A8" s="15" t="s">
        <v>18</v>
      </c>
      <c r="B8" s="16">
        <v>0</v>
      </c>
      <c r="C8" s="17">
        <v>1894.0000000000009</v>
      </c>
      <c r="D8" s="16">
        <v>2294.0000000000009</v>
      </c>
      <c r="E8" s="17">
        <v>2694</v>
      </c>
      <c r="F8" s="16">
        <v>3094</v>
      </c>
      <c r="G8" s="17">
        <v>3987</v>
      </c>
      <c r="H8" s="16">
        <v>4387</v>
      </c>
      <c r="I8" s="17">
        <v>4387</v>
      </c>
      <c r="J8" s="16">
        <v>4477.4871959100019</v>
      </c>
      <c r="K8" s="17">
        <v>4636.751807820001</v>
      </c>
      <c r="L8" s="16">
        <v>4894.9410939200006</v>
      </c>
      <c r="M8" s="17">
        <v>5041.8036120100005</v>
      </c>
      <c r="N8" s="16">
        <v>5041.8036120100005</v>
      </c>
      <c r="O8" s="17">
        <v>5041.8036120100005</v>
      </c>
      <c r="P8" s="16">
        <v>5389.8844388800007</v>
      </c>
      <c r="Q8" s="17">
        <v>5505.7963777100013</v>
      </c>
      <c r="R8" s="16">
        <v>6594.1125233100011</v>
      </c>
      <c r="S8" s="17">
        <v>7694.2478422600016</v>
      </c>
      <c r="T8" s="16">
        <v>9656.7555044600012</v>
      </c>
      <c r="U8" s="17">
        <v>9656.7555044600012</v>
      </c>
      <c r="V8" s="16">
        <v>10111.039211540001</v>
      </c>
      <c r="W8" s="17">
        <v>10127.745189190002</v>
      </c>
    </row>
    <row r="9" spans="1:23" s="22" customFormat="1" ht="15.75" customHeight="1" x14ac:dyDescent="0.2">
      <c r="A9" s="15" t="s">
        <v>58</v>
      </c>
      <c r="B9" s="16">
        <v>0</v>
      </c>
      <c r="C9" s="17">
        <v>625.06065449000016</v>
      </c>
      <c r="D9" s="16">
        <v>625.06065449000016</v>
      </c>
      <c r="E9" s="17">
        <v>685.92248241000016</v>
      </c>
      <c r="F9" s="16">
        <v>1531.58250641</v>
      </c>
      <c r="G9" s="17">
        <v>2115.5825064100004</v>
      </c>
      <c r="H9" s="16">
        <v>2743.1903160300003</v>
      </c>
      <c r="I9" s="17">
        <v>3782.1609541699995</v>
      </c>
      <c r="J9" s="16">
        <v>4519.0551526999989</v>
      </c>
      <c r="K9" s="17">
        <v>5193.3703489099989</v>
      </c>
      <c r="L9" s="16">
        <v>5980.3791690900016</v>
      </c>
      <c r="M9" s="17">
        <v>7546.9422559200011</v>
      </c>
      <c r="N9" s="16">
        <v>7546.9422559200011</v>
      </c>
      <c r="O9" s="17">
        <v>7850.4069833100002</v>
      </c>
      <c r="P9" s="16">
        <v>10677.020985280002</v>
      </c>
      <c r="Q9" s="17">
        <v>11064.560501610002</v>
      </c>
      <c r="R9" s="16">
        <v>14242.192502010001</v>
      </c>
      <c r="S9" s="17">
        <v>19140.79429899</v>
      </c>
      <c r="T9" s="16">
        <v>22363.001108729997</v>
      </c>
      <c r="U9" s="17">
        <v>23263.705204709997</v>
      </c>
      <c r="V9" s="16">
        <v>24476.341579089996</v>
      </c>
      <c r="W9" s="17">
        <v>25125.869016969998</v>
      </c>
    </row>
    <row r="10" spans="1:23" s="22" customFormat="1" ht="15.75" customHeight="1" x14ac:dyDescent="0.2">
      <c r="A10" s="15" t="s">
        <v>59</v>
      </c>
      <c r="B10" s="16">
        <v>0</v>
      </c>
      <c r="C10" s="17">
        <v>20</v>
      </c>
      <c r="D10" s="16">
        <v>120</v>
      </c>
      <c r="E10" s="17">
        <v>120</v>
      </c>
      <c r="F10" s="16">
        <v>120</v>
      </c>
      <c r="G10" s="17">
        <v>120</v>
      </c>
      <c r="H10" s="16">
        <v>2240.4189089999995</v>
      </c>
      <c r="I10" s="17">
        <v>2240.4189089999995</v>
      </c>
      <c r="J10" s="16">
        <v>2354.3872650000008</v>
      </c>
      <c r="K10" s="17">
        <v>2354.3872650000008</v>
      </c>
      <c r="L10" s="16">
        <v>2354.3872650000008</v>
      </c>
      <c r="M10" s="17">
        <v>2685.1484720000003</v>
      </c>
      <c r="N10" s="16">
        <v>2685.1484720000003</v>
      </c>
      <c r="O10" s="17">
        <v>2793.5365839999999</v>
      </c>
      <c r="P10" s="16">
        <v>4293.5365839999995</v>
      </c>
      <c r="Q10" s="17">
        <v>4368.8012340000005</v>
      </c>
      <c r="R10" s="16">
        <v>6312.1128090000002</v>
      </c>
      <c r="S10" s="17">
        <v>9303.6181759999999</v>
      </c>
      <c r="T10" s="16">
        <v>11565.149755999999</v>
      </c>
      <c r="U10" s="17">
        <v>12383.656756999999</v>
      </c>
      <c r="V10" s="16">
        <v>13618.263470999998</v>
      </c>
      <c r="W10" s="17">
        <v>14121.443566999997</v>
      </c>
    </row>
    <row r="11" spans="1:23" s="22" customFormat="1" ht="15.75" customHeight="1" x14ac:dyDescent="0.2">
      <c r="A11" s="15" t="s">
        <v>60</v>
      </c>
      <c r="B11" s="16">
        <v>0</v>
      </c>
      <c r="C11" s="17">
        <v>0</v>
      </c>
      <c r="D11" s="16">
        <v>0</v>
      </c>
      <c r="E11" s="17">
        <v>0</v>
      </c>
      <c r="F11" s="16">
        <v>0</v>
      </c>
      <c r="G11" s="17">
        <v>0</v>
      </c>
      <c r="H11" s="16">
        <v>0</v>
      </c>
      <c r="I11" s="17">
        <v>0</v>
      </c>
      <c r="J11" s="16">
        <v>0</v>
      </c>
      <c r="K11" s="17">
        <v>0</v>
      </c>
      <c r="L11" s="16">
        <v>0</v>
      </c>
      <c r="M11" s="17">
        <v>0</v>
      </c>
      <c r="N11" s="16">
        <v>0</v>
      </c>
      <c r="O11" s="17">
        <v>0</v>
      </c>
      <c r="P11" s="16">
        <v>0</v>
      </c>
      <c r="Q11" s="17">
        <v>0</v>
      </c>
      <c r="R11" s="16">
        <v>0</v>
      </c>
      <c r="S11" s="17">
        <v>0</v>
      </c>
      <c r="T11" s="16">
        <v>0</v>
      </c>
      <c r="U11" s="17">
        <v>0</v>
      </c>
      <c r="V11" s="16">
        <v>0</v>
      </c>
      <c r="W11" s="17">
        <v>0</v>
      </c>
    </row>
    <row r="12" spans="1:23" s="19" customFormat="1" ht="15.75" customHeight="1" x14ac:dyDescent="0.2">
      <c r="A12" s="15" t="s">
        <v>61</v>
      </c>
      <c r="B12" s="16">
        <v>0</v>
      </c>
      <c r="C12" s="17">
        <v>288.88</v>
      </c>
      <c r="D12" s="16">
        <v>665.11</v>
      </c>
      <c r="E12" s="17">
        <v>1011.3399999999999</v>
      </c>
      <c r="F12" s="16">
        <v>1343.9</v>
      </c>
      <c r="G12" s="17">
        <v>1663.06</v>
      </c>
      <c r="H12" s="16">
        <v>1976.1000000000001</v>
      </c>
      <c r="I12" s="17">
        <v>2275.6899999999996</v>
      </c>
      <c r="J12" s="16">
        <v>2568.8599999999997</v>
      </c>
      <c r="K12" s="17">
        <v>2854.41</v>
      </c>
      <c r="L12" s="16">
        <v>3133.92</v>
      </c>
      <c r="M12" s="17">
        <v>3411.12</v>
      </c>
      <c r="N12" s="16">
        <v>3667.8199999999997</v>
      </c>
      <c r="O12" s="17">
        <v>3900.08</v>
      </c>
      <c r="P12" s="16">
        <v>4123.63</v>
      </c>
      <c r="Q12" s="17">
        <v>4339.12</v>
      </c>
      <c r="R12" s="16">
        <v>4548.2699999999995</v>
      </c>
      <c r="S12" s="17">
        <v>4753.29</v>
      </c>
      <c r="T12" s="16">
        <v>4949.6899999999996</v>
      </c>
      <c r="U12" s="17">
        <v>5139.84</v>
      </c>
      <c r="V12" s="16">
        <v>5280.4</v>
      </c>
      <c r="W12" s="17">
        <v>5461.92</v>
      </c>
    </row>
    <row r="13" spans="1:23" s="19" customFormat="1" ht="15.75" customHeight="1" x14ac:dyDescent="0.2">
      <c r="A13" s="15" t="s">
        <v>41</v>
      </c>
      <c r="B13" s="16">
        <v>0</v>
      </c>
      <c r="C13" s="17">
        <v>940</v>
      </c>
      <c r="D13" s="16">
        <v>1862</v>
      </c>
      <c r="E13" s="17">
        <v>2758</v>
      </c>
      <c r="F13" s="16">
        <v>3634</v>
      </c>
      <c r="G13" s="17">
        <v>4493</v>
      </c>
      <c r="H13" s="16">
        <v>5327</v>
      </c>
      <c r="I13" s="17">
        <v>6135</v>
      </c>
      <c r="J13" s="16">
        <v>6924</v>
      </c>
      <c r="K13" s="17">
        <v>7686</v>
      </c>
      <c r="L13" s="16">
        <v>8415</v>
      </c>
      <c r="M13" s="17">
        <v>9115</v>
      </c>
      <c r="N13" s="16">
        <v>9768</v>
      </c>
      <c r="O13" s="17">
        <v>10377</v>
      </c>
      <c r="P13" s="16">
        <v>10921</v>
      </c>
      <c r="Q13" s="17">
        <v>11420</v>
      </c>
      <c r="R13" s="16">
        <v>11890</v>
      </c>
      <c r="S13" s="17">
        <v>12331</v>
      </c>
      <c r="T13" s="16">
        <v>12734</v>
      </c>
      <c r="U13" s="17">
        <v>13062</v>
      </c>
      <c r="V13" s="16">
        <v>13400</v>
      </c>
      <c r="W13" s="17">
        <v>13694</v>
      </c>
    </row>
    <row r="14" spans="1:23" s="26" customFormat="1" ht="15.75" customHeight="1" x14ac:dyDescent="0.25">
      <c r="A14" s="23" t="s">
        <v>19</v>
      </c>
      <c r="B14" s="24">
        <f>SUM(B3:B13)</f>
        <v>0</v>
      </c>
      <c r="C14" s="25">
        <f t="shared" ref="C14:W14" si="0">SUM(C3:C13)</f>
        <v>3743.9406544900012</v>
      </c>
      <c r="D14" s="24">
        <f t="shared" si="0"/>
        <v>5542.1706544900007</v>
      </c>
      <c r="E14" s="25">
        <f t="shared" si="0"/>
        <v>6971.2624824100003</v>
      </c>
      <c r="F14" s="24">
        <f t="shared" si="0"/>
        <v>7926.4825064100005</v>
      </c>
      <c r="G14" s="25">
        <f t="shared" si="0"/>
        <v>10581.64250641</v>
      </c>
      <c r="H14" s="24">
        <f t="shared" si="0"/>
        <v>13504.709225030001</v>
      </c>
      <c r="I14" s="25">
        <f t="shared" si="0"/>
        <v>15651.26986317</v>
      </c>
      <c r="J14" s="24">
        <f t="shared" si="0"/>
        <v>17674.789613610003</v>
      </c>
      <c r="K14" s="25">
        <f t="shared" si="0"/>
        <v>19555.919421730003</v>
      </c>
      <c r="L14" s="24">
        <f t="shared" si="0"/>
        <v>20289.627528010002</v>
      </c>
      <c r="M14" s="25">
        <f t="shared" si="0"/>
        <v>21631.014339930003</v>
      </c>
      <c r="N14" s="24">
        <f t="shared" si="0"/>
        <v>22540.714339930004</v>
      </c>
      <c r="O14" s="25">
        <f t="shared" si="0"/>
        <v>23283.82717932</v>
      </c>
      <c r="P14" s="24">
        <f t="shared" si="0"/>
        <v>27198.072008160001</v>
      </c>
      <c r="Q14" s="25">
        <f t="shared" si="0"/>
        <v>28491.278113320004</v>
      </c>
      <c r="R14" s="24">
        <f t="shared" si="0"/>
        <v>32499.687834320001</v>
      </c>
      <c r="S14" s="25">
        <f t="shared" si="0"/>
        <v>39495.950317250004</v>
      </c>
      <c r="T14" s="24">
        <f t="shared" si="0"/>
        <v>46141.596369189996</v>
      </c>
      <c r="U14" s="25">
        <f t="shared" si="0"/>
        <v>48378.957466170003</v>
      </c>
      <c r="V14" s="24">
        <f t="shared" si="0"/>
        <v>51059.044261629999</v>
      </c>
      <c r="W14" s="25">
        <f t="shared" si="0"/>
        <v>52703.977773159997</v>
      </c>
    </row>
    <row r="15" spans="1:23" s="19" customFormat="1" ht="15.75" customHeight="1" x14ac:dyDescent="0.2">
      <c r="B15" s="27"/>
      <c r="C15" s="27"/>
    </row>
    <row r="16" spans="1:23" ht="15.75" customHeight="1" x14ac:dyDescent="0.2">
      <c r="B16" s="3"/>
      <c r="C16" s="3"/>
    </row>
    <row r="17" spans="2:3" ht="15.75" customHeight="1" x14ac:dyDescent="0.2">
      <c r="B17" s="3"/>
      <c r="C17"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W9"/>
  <sheetViews>
    <sheetView workbookViewId="0"/>
  </sheetViews>
  <sheetFormatPr defaultRowHeight="12.75" x14ac:dyDescent="0.2"/>
  <cols>
    <col min="1" max="1" width="13.85546875" bestFit="1" customWidth="1"/>
    <col min="2" max="2" width="9.28515625" bestFit="1" customWidth="1"/>
    <col min="3" max="4" width="9.42578125" bestFit="1" customWidth="1"/>
    <col min="5" max="6" width="10.5703125" bestFit="1" customWidth="1"/>
    <col min="7" max="7" width="9.42578125" bestFit="1" customWidth="1"/>
    <col min="8" max="8" width="12.140625" bestFit="1" customWidth="1"/>
    <col min="9" max="17" width="9.5703125" bestFit="1" customWidth="1"/>
    <col min="18" max="23" width="9.7109375" bestFit="1" customWidth="1"/>
    <col min="24" max="24" width="8.85546875" bestFit="1" customWidth="1"/>
  </cols>
  <sheetData>
    <row r="1" spans="1:23" s="4" customFormat="1" ht="15.75" x14ac:dyDescent="0.25">
      <c r="A1" s="10" t="s">
        <v>71</v>
      </c>
    </row>
    <row r="2" spans="1:23" s="14" customFormat="1" ht="15.75" customHeight="1" x14ac:dyDescent="0.2">
      <c r="A2" s="11" t="s">
        <v>34</v>
      </c>
      <c r="B2" s="12" t="s">
        <v>0</v>
      </c>
      <c r="C2" s="13" t="s">
        <v>1</v>
      </c>
      <c r="D2" s="12" t="s">
        <v>2</v>
      </c>
      <c r="E2" s="13" t="s">
        <v>3</v>
      </c>
      <c r="F2" s="12" t="s">
        <v>4</v>
      </c>
      <c r="G2" s="13" t="s">
        <v>5</v>
      </c>
      <c r="H2" s="12" t="s">
        <v>6</v>
      </c>
      <c r="I2" s="13" t="s">
        <v>7</v>
      </c>
      <c r="J2" s="12" t="s">
        <v>8</v>
      </c>
      <c r="K2" s="13" t="s">
        <v>9</v>
      </c>
      <c r="L2" s="12" t="s">
        <v>10</v>
      </c>
      <c r="M2" s="13" t="s">
        <v>11</v>
      </c>
      <c r="N2" s="12" t="s">
        <v>12</v>
      </c>
      <c r="O2" s="13" t="s">
        <v>13</v>
      </c>
      <c r="P2" s="12" t="s">
        <v>14</v>
      </c>
      <c r="Q2" s="13" t="s">
        <v>15</v>
      </c>
      <c r="R2" s="12" t="s">
        <v>16</v>
      </c>
      <c r="S2" s="13" t="s">
        <v>45</v>
      </c>
      <c r="T2" s="12" t="s">
        <v>62</v>
      </c>
      <c r="U2" s="13" t="s">
        <v>63</v>
      </c>
      <c r="V2" s="12" t="s">
        <v>64</v>
      </c>
      <c r="W2" s="13" t="s">
        <v>65</v>
      </c>
    </row>
    <row r="3" spans="1:23" s="7" customFormat="1" ht="15.75" customHeight="1" x14ac:dyDescent="0.2">
      <c r="A3" s="15" t="s">
        <v>35</v>
      </c>
      <c r="B3" s="16">
        <v>0</v>
      </c>
      <c r="C3" s="17">
        <v>30.601451831864917</v>
      </c>
      <c r="D3" s="16">
        <v>30.601451831864917</v>
      </c>
      <c r="E3" s="17">
        <v>30.601451831864917</v>
      </c>
      <c r="F3" s="16">
        <v>118.731733230156</v>
      </c>
      <c r="G3" s="17">
        <v>118.731733230156</v>
      </c>
      <c r="H3" s="16">
        <v>372.50887823015597</v>
      </c>
      <c r="I3" s="17">
        <v>372.50887823015597</v>
      </c>
      <c r="J3" s="16">
        <v>372.50887823015597</v>
      </c>
      <c r="K3" s="17">
        <v>372.50887823015597</v>
      </c>
      <c r="L3" s="16">
        <v>372.50887823015597</v>
      </c>
      <c r="M3" s="17">
        <v>437.28175131727994</v>
      </c>
      <c r="N3" s="16">
        <v>437.28175131727994</v>
      </c>
      <c r="O3" s="17">
        <v>460.54411725331522</v>
      </c>
      <c r="P3" s="16">
        <v>579.29532363715373</v>
      </c>
      <c r="Q3" s="17">
        <v>605.16965828690593</v>
      </c>
      <c r="R3" s="16">
        <v>914.77840450766143</v>
      </c>
      <c r="S3" s="17">
        <v>1633.4450335018455</v>
      </c>
      <c r="T3" s="16">
        <v>1807.3557064801844</v>
      </c>
      <c r="U3" s="17">
        <v>1820.7856403501044</v>
      </c>
      <c r="V3" s="16">
        <v>1904.9876994455774</v>
      </c>
      <c r="W3" s="17">
        <v>1942.2421404189299</v>
      </c>
    </row>
    <row r="4" spans="1:23" s="7" customFormat="1" ht="15.75" customHeight="1" x14ac:dyDescent="0.2">
      <c r="A4" s="15" t="s">
        <v>36</v>
      </c>
      <c r="B4" s="16">
        <v>0</v>
      </c>
      <c r="C4" s="17">
        <v>0</v>
      </c>
      <c r="D4" s="16">
        <v>0</v>
      </c>
      <c r="E4" s="17">
        <v>0</v>
      </c>
      <c r="F4" s="16">
        <v>0</v>
      </c>
      <c r="G4" s="17">
        <v>0</v>
      </c>
      <c r="H4" s="16">
        <v>45.581388138466316</v>
      </c>
      <c r="I4" s="17">
        <v>143.72758503833143</v>
      </c>
      <c r="J4" s="16">
        <v>226.72007966685945</v>
      </c>
      <c r="K4" s="17">
        <v>314.26050897647514</v>
      </c>
      <c r="L4" s="16">
        <v>422.66049874459509</v>
      </c>
      <c r="M4" s="17">
        <v>532.91240915983667</v>
      </c>
      <c r="N4" s="16">
        <v>532.91240915983667</v>
      </c>
      <c r="O4" s="17">
        <v>532.91240915983667</v>
      </c>
      <c r="P4" s="16">
        <v>532.91240915983667</v>
      </c>
      <c r="Q4" s="17">
        <v>540.46229823658041</v>
      </c>
      <c r="R4" s="16">
        <v>568.70319747775284</v>
      </c>
      <c r="S4" s="17">
        <v>591.20413790324142</v>
      </c>
      <c r="T4" s="16">
        <v>947.46506931975512</v>
      </c>
      <c r="U4" s="17">
        <v>1060.3900534007175</v>
      </c>
      <c r="V4" s="16">
        <v>1155.7457622518502</v>
      </c>
      <c r="W4" s="17">
        <v>1203.1710438288774</v>
      </c>
    </row>
    <row r="5" spans="1:23" s="7" customFormat="1" ht="15.75" customHeight="1" x14ac:dyDescent="0.2">
      <c r="A5" s="15" t="s">
        <v>37</v>
      </c>
      <c r="B5" s="16">
        <v>0</v>
      </c>
      <c r="C5" s="17">
        <v>5.6803391681910798</v>
      </c>
      <c r="D5" s="16">
        <v>76.697764300095713</v>
      </c>
      <c r="E5" s="17">
        <v>154.32026097538832</v>
      </c>
      <c r="F5" s="16">
        <v>241.82659251517069</v>
      </c>
      <c r="G5" s="17">
        <v>458.70855374394358</v>
      </c>
      <c r="H5" s="16">
        <v>551.6887115503622</v>
      </c>
      <c r="I5" s="17">
        <v>551.6887115503622</v>
      </c>
      <c r="J5" s="16">
        <v>551.6887115503622</v>
      </c>
      <c r="K5" s="17">
        <v>551.6887115503622</v>
      </c>
      <c r="L5" s="16">
        <v>551.6887115503622</v>
      </c>
      <c r="M5" s="17">
        <v>551.6887115503622</v>
      </c>
      <c r="N5" s="16">
        <v>551.6887115503622</v>
      </c>
      <c r="O5" s="17">
        <v>551.6887115503622</v>
      </c>
      <c r="P5" s="16">
        <v>551.6887115503622</v>
      </c>
      <c r="Q5" s="17">
        <v>551.6887115503622</v>
      </c>
      <c r="R5" s="16">
        <v>603.28467593653318</v>
      </c>
      <c r="S5" s="17">
        <v>603.74043453558625</v>
      </c>
      <c r="T5" s="16">
        <v>685.02772809299086</v>
      </c>
      <c r="U5" s="17">
        <v>692.31105117658967</v>
      </c>
      <c r="V5" s="16">
        <v>708.6393016140438</v>
      </c>
      <c r="W5" s="17">
        <v>708.91185000908888</v>
      </c>
    </row>
    <row r="6" spans="1:23" s="7" customFormat="1" ht="15.75" customHeight="1" x14ac:dyDescent="0.2">
      <c r="A6" s="15" t="s">
        <v>38</v>
      </c>
      <c r="B6" s="16">
        <v>0</v>
      </c>
      <c r="C6" s="17">
        <v>18.361973454256475</v>
      </c>
      <c r="D6" s="16">
        <v>18.361973454256475</v>
      </c>
      <c r="E6" s="17">
        <v>18.361973454256475</v>
      </c>
      <c r="F6" s="16">
        <v>26.521463957073887</v>
      </c>
      <c r="G6" s="17">
        <v>26.521463957073887</v>
      </c>
      <c r="H6" s="16">
        <v>39.117277945215989</v>
      </c>
      <c r="I6" s="17">
        <v>39.117277945215989</v>
      </c>
      <c r="J6" s="16">
        <v>50.927832766466146</v>
      </c>
      <c r="K6" s="17">
        <v>50.927832766466146</v>
      </c>
      <c r="L6" s="16">
        <v>50.927832766466146</v>
      </c>
      <c r="M6" s="17">
        <v>54.838925321318605</v>
      </c>
      <c r="N6" s="16">
        <v>54.838925321318605</v>
      </c>
      <c r="O6" s="17">
        <v>65.81296448597125</v>
      </c>
      <c r="P6" s="16">
        <v>153.67719027638</v>
      </c>
      <c r="Q6" s="17">
        <v>155.13403780849598</v>
      </c>
      <c r="R6" s="16">
        <v>273.96566509589132</v>
      </c>
      <c r="S6" s="17">
        <v>296.96174471422682</v>
      </c>
      <c r="T6" s="16">
        <v>380.87540769287347</v>
      </c>
      <c r="U6" s="17">
        <v>384.93725109020505</v>
      </c>
      <c r="V6" s="16">
        <v>433.07197330506989</v>
      </c>
      <c r="W6" s="17">
        <v>438.91204056830964</v>
      </c>
    </row>
    <row r="7" spans="1:23" s="7" customFormat="1" ht="15.75" customHeight="1" x14ac:dyDescent="0.2">
      <c r="A7" s="15" t="s">
        <v>39</v>
      </c>
      <c r="B7" s="16">
        <v>0</v>
      </c>
      <c r="C7" s="17">
        <v>0</v>
      </c>
      <c r="D7" s="16">
        <v>0</v>
      </c>
      <c r="E7" s="17">
        <v>0</v>
      </c>
      <c r="F7" s="16">
        <v>0</v>
      </c>
      <c r="G7" s="17">
        <v>0</v>
      </c>
      <c r="H7" s="16">
        <v>0</v>
      </c>
      <c r="I7" s="17">
        <v>0</v>
      </c>
      <c r="J7" s="16">
        <v>0</v>
      </c>
      <c r="K7" s="17">
        <v>0</v>
      </c>
      <c r="L7" s="16">
        <v>4.1635858628850295</v>
      </c>
      <c r="M7" s="17">
        <v>13.566295165020774</v>
      </c>
      <c r="N7" s="16">
        <v>13.566295165020774</v>
      </c>
      <c r="O7" s="17">
        <v>13.566295165020774</v>
      </c>
      <c r="P7" s="16">
        <v>199.52335914390142</v>
      </c>
      <c r="Q7" s="17">
        <v>219.094625663057</v>
      </c>
      <c r="R7" s="16">
        <v>304.94058222525177</v>
      </c>
      <c r="S7" s="17">
        <v>343.62653095854159</v>
      </c>
      <c r="T7" s="16">
        <v>401.62477509335082</v>
      </c>
      <c r="U7" s="17">
        <v>401.62477509335082</v>
      </c>
      <c r="V7" s="16">
        <v>428.80811640336367</v>
      </c>
      <c r="W7" s="17">
        <v>428.80811640336367</v>
      </c>
    </row>
    <row r="8" spans="1:23" s="4" customFormat="1" x14ac:dyDescent="0.2">
      <c r="A8" s="18" t="s">
        <v>75</v>
      </c>
      <c r="B8" s="8"/>
      <c r="C8" s="8"/>
      <c r="D8" s="8"/>
      <c r="E8" s="8"/>
      <c r="F8" s="8"/>
      <c r="G8" s="8"/>
      <c r="H8" s="8"/>
      <c r="I8" s="8"/>
      <c r="J8" s="8"/>
      <c r="K8" s="8"/>
      <c r="L8" s="8"/>
      <c r="M8" s="8"/>
      <c r="N8" s="8"/>
      <c r="O8" s="8"/>
      <c r="P8" s="8"/>
      <c r="Q8" s="8"/>
      <c r="R8" s="8"/>
      <c r="S8" s="8"/>
      <c r="T8" s="8"/>
      <c r="U8" s="8"/>
      <c r="V8" s="8"/>
      <c r="W8" s="8"/>
    </row>
    <row r="9" spans="1:23" s="4" customFormat="1"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a14523ce-dede-483e-883a-2d83261080bd">NETWORKDEV-1262562635-212</_dlc_DocId>
    <_dlc_DocIdUrl xmlns="a14523ce-dede-483e-883a-2d83261080bd">
      <Url>http://sharedocs/sites/nd/BusinessAsUsual/_layouts/15/DocIdRedir.aspx?ID=NETWORKDEV-1262562635-212</Url>
      <Description>NETWORKDEV-1262562635-212</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5EE2FDD9A15D549AEA83EA1B400EBDA" ma:contentTypeVersion="0" ma:contentTypeDescription="Create a new document." ma:contentTypeScope="" ma:versionID="ad79084dcdd2c6282bac2fbd9f324cf9">
  <xsd:schema xmlns:xsd="http://www.w3.org/2001/XMLSchema" xmlns:xs="http://www.w3.org/2001/XMLSchema" xmlns:p="http://schemas.microsoft.com/office/2006/metadata/properties" xmlns:ns2="a14523ce-dede-483e-883a-2d83261080bd" targetNamespace="http://schemas.microsoft.com/office/2006/metadata/properties" ma:root="true" ma:fieldsID="7609b2132cc27c2e027996f255529d92" ns2:_="">
    <xsd:import namespace="a14523ce-dede-483e-883a-2d83261080bd"/>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4523ce-dede-483e-883a-2d83261080b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203936-8F89-476E-B0D1-A4F68C695FA1}">
  <ds:schemaRefs>
    <ds:schemaRef ds:uri="http://purl.org/dc/terms/"/>
    <ds:schemaRef ds:uri="http://schemas.microsoft.com/office/2006/documentManagement/types"/>
    <ds:schemaRef ds:uri="a14523ce-dede-483e-883a-2d83261080bd"/>
    <ds:schemaRef ds:uri="http://schemas.microsoft.com/office/infopath/2007/PartnerControls"/>
    <ds:schemaRef ds:uri="http://purl.org/dc/elements/1.1/"/>
    <ds:schemaRef ds:uri="http://www.w3.org/XML/1998/namespace"/>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6431CF48-0787-4642-A4AD-E0FA5409CF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4523ce-dede-483e-883a-2d83261080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C1E0306-0361-4720-B80B-8CC09F7C73EA}">
  <ds:schemaRefs>
    <ds:schemaRef ds:uri="http://schemas.microsoft.com/sharepoint/events"/>
  </ds:schemaRefs>
</ds:datastoreItem>
</file>

<file path=customXml/itemProps4.xml><?xml version="1.0" encoding="utf-8"?>
<ds:datastoreItem xmlns:ds="http://schemas.openxmlformats.org/officeDocument/2006/customXml" ds:itemID="{C4884797-D8A5-45D4-A6C8-85916C62C8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Charts</vt:lpstr>
      </vt:variant>
      <vt:variant>
        <vt:i4>3</vt:i4>
      </vt:variant>
    </vt:vector>
  </HeadingPairs>
  <TitlesOfParts>
    <vt:vector size="10" baseType="lpstr">
      <vt:lpstr>Index</vt:lpstr>
      <vt:lpstr>Market Benefits Summary</vt:lpstr>
      <vt:lpstr>Net Market Benefits</vt:lpstr>
      <vt:lpstr>NEMInstalledCapacity Data</vt:lpstr>
      <vt:lpstr>NEMEnergyGenerated Data</vt:lpstr>
      <vt:lpstr>NewAndRetiredCapacity Data</vt:lpstr>
      <vt:lpstr>GenerationInvestment</vt:lpstr>
      <vt:lpstr>NEMInstalledCapacity Figure</vt:lpstr>
      <vt:lpstr>NEMEnergyGenerated Figure</vt:lpstr>
      <vt:lpstr>NewAndRetiredCapacity Figure</vt:lpstr>
    </vt:vector>
  </TitlesOfParts>
  <Company>AEMO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NTNDP_2016_Additional_Information</dc:title>
  <dc:creator>Monique Meerkotter</dc:creator>
  <cp:lastModifiedBy>AEMO</cp:lastModifiedBy>
  <dcterms:created xsi:type="dcterms:W3CDTF">2012-11-20T01:45:39Z</dcterms:created>
  <dcterms:modified xsi:type="dcterms:W3CDTF">2018-07-24T04:40:13Z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0x010100E5EE2FDD9A15D549AEA83EA1B400EBDA</vt:lpwstr>
  </property>
  <property fmtid="{D5CDD505-2E9C-101B-9397-08002B2CF9AE}" pid="3" name="_dlc_DocIdItemGuid">
    <vt:lpwstr>33e8c2c2-cf42-46e7-a3e5-46bd238f3641</vt:lpwstr>
  </property>
  <property fmtid="{D5CDD505-2E9C-101B-9397-08002B2CF9AE}" pid="4" name="AEMOKeywords">
    <vt:lpwstr/>
  </property>
  <property fmtid="{D5CDD505-2E9C-101B-9397-08002B2CF9AE}" pid="5" name="AEMODocumentType">
    <vt:lpwstr>1;#Operational Record|859762f2-4462-42eb-9744-c955c7e2c540</vt:lpwstr>
  </property>
  <property fmtid="{D5CDD505-2E9C-101B-9397-08002B2CF9AE}" pid="6" name="DocumentStorageId">
    <vt:lpwstr/>
  </property>
  <property fmtid="{D5CDD505-2E9C-101B-9397-08002B2CF9AE}" pid="7" name="AEMODocumentTypeTaxHTField0">
    <vt:lpwstr>Operational Record|859762f2-4462-42eb-9744-c955c7e2c540</vt:lpwstr>
  </property>
  <property fmtid="{D5CDD505-2E9C-101B-9397-08002B2CF9AE}" pid="8" name="TaxCatchAll">
    <vt:lpwstr>1;#Operational Record|859762f2-4462-42eb-9744-c955c7e2c540</vt:lpwstr>
  </property>
  <property fmtid="{D5CDD505-2E9C-101B-9397-08002B2CF9AE}" pid="9" name="AEMOKeywordsTaxHTField0">
    <vt:lpwstr/>
  </property>
</Properties>
</file>