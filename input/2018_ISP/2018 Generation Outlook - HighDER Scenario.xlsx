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chartsheets/sheet2.xml" ContentType="application/vnd.openxmlformats-officedocument.spreadsheetml.chartsheet+xml"/>
  <Override PartName="/xl/worksheets/sheet5.xml" ContentType="application/vnd.openxmlformats-officedocument.spreadsheetml.worksheet+xml"/>
  <Override PartName="/xl/chartsheets/sheet3.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925"/>
  <workbookPr codeName="ThisWorkbook"/>
  <mc:AlternateContent xmlns:mc="http://schemas.openxmlformats.org/markup-compatibility/2006">
    <mc:Choice Requires="x15">
      <x15ac:absPath xmlns:x15ac="http://schemas.microsoft.com/office/spreadsheetml/2010/11/ac" url="A:\ISP\Reports for publication\ISP database\2018 ISP Generation and Transmission Outlooks\"/>
    </mc:Choice>
  </mc:AlternateContent>
  <bookViews>
    <workbookView xWindow="0" yWindow="0" windowWidth="19200" windowHeight="6990" tabRatio="876"/>
  </bookViews>
  <sheets>
    <sheet name="Index" sheetId="42" r:id="rId1"/>
    <sheet name="Market Benefits Summary" sheetId="47" r:id="rId2"/>
    <sheet name="Net Market Benefits" sheetId="46" r:id="rId3"/>
    <sheet name="NEMInstalledCapacity Figure" sheetId="40" r:id="rId4"/>
    <sheet name="NEMInstalledCapacity Data" sheetId="2" r:id="rId5"/>
    <sheet name="NEMEnergyGenerated Figure" sheetId="41" r:id="rId6"/>
    <sheet name="NEMEnergyGenerated Data" sheetId="5" r:id="rId7"/>
    <sheet name="NewAndRetiredCapacity Figure" sheetId="38" r:id="rId8"/>
    <sheet name="NewAndRetiredCapacity Data" sheetId="29" r:id="rId9"/>
    <sheet name="GenerationInvestment" sheetId="43" r:id="rId10"/>
  </sheets>
  <definedNames>
    <definedName name="_xlnm._FilterDatabase" localSheetId="6" hidden="1">'NEMEnergyGenerated Data'!#REF!</definedName>
    <definedName name="_xlnm._FilterDatabase" localSheetId="4" hidden="1">'NEMInstalledCapacity Data'!$A$15:$AR$17</definedName>
    <definedName name="_xlnm._FilterDatabase" localSheetId="2" hidden="1">'Net Market Benefits'!#REF!</definedName>
    <definedName name="_xlnm._FilterDatabase" localSheetId="8" hidden="1">'NewAndRetiredCapacity Data'!#REF!</definedName>
  </definedNames>
  <calcPr calcId="171027"/>
</workbook>
</file>

<file path=xl/calcChain.xml><?xml version="1.0" encoding="utf-8"?>
<calcChain xmlns="http://schemas.openxmlformats.org/spreadsheetml/2006/main">
  <c r="S24" i="47" l="1"/>
  <c r="R24" i="47"/>
  <c r="L24" i="47"/>
  <c r="K24" i="47"/>
  <c r="E24" i="47"/>
  <c r="D24" i="47"/>
  <c r="S12" i="47"/>
  <c r="R12" i="47"/>
  <c r="L12" i="47"/>
  <c r="K12" i="47"/>
  <c r="E12" i="47"/>
  <c r="D12" i="47"/>
  <c r="T10" i="47"/>
  <c r="T9" i="47"/>
  <c r="T8" i="47"/>
  <c r="T7" i="47"/>
  <c r="T6" i="47"/>
  <c r="T5" i="47"/>
  <c r="W14" i="29" l="1"/>
  <c r="V14" i="29"/>
  <c r="E16" i="5"/>
  <c r="F16" i="5"/>
  <c r="G16" i="5"/>
  <c r="H16" i="5"/>
  <c r="I16" i="5"/>
  <c r="J16" i="5"/>
  <c r="K16" i="5"/>
  <c r="L16" i="5"/>
  <c r="M16" i="5"/>
  <c r="N16" i="5"/>
  <c r="O16" i="5"/>
  <c r="P16" i="5"/>
  <c r="Q16" i="5"/>
  <c r="R16" i="5"/>
  <c r="S16" i="5"/>
  <c r="T16" i="5"/>
  <c r="U16" i="5"/>
  <c r="V16" i="5"/>
  <c r="W16" i="5"/>
  <c r="X16" i="5"/>
  <c r="D16" i="5"/>
  <c r="C16" i="5"/>
  <c r="W14" i="2"/>
  <c r="X14" i="2"/>
  <c r="D14" i="2" l="1"/>
  <c r="E14" i="2"/>
  <c r="F14" i="2"/>
  <c r="G14" i="2"/>
  <c r="H14" i="2"/>
  <c r="I14" i="2"/>
  <c r="J14" i="2"/>
  <c r="K14" i="2"/>
  <c r="L14" i="2"/>
  <c r="M14" i="2"/>
  <c r="N14" i="2"/>
  <c r="O14" i="2"/>
  <c r="P14" i="2"/>
  <c r="Q14" i="2"/>
  <c r="R14" i="2"/>
  <c r="S14" i="2"/>
  <c r="T14" i="2"/>
  <c r="U14" i="2"/>
  <c r="V14" i="2"/>
  <c r="C14" i="2"/>
  <c r="B14" i="29" l="1"/>
  <c r="C14" i="29"/>
  <c r="D14" i="29"/>
  <c r="E14" i="29"/>
  <c r="F14" i="29"/>
  <c r="G14" i="29"/>
  <c r="H14" i="29"/>
  <c r="I14" i="29"/>
  <c r="J14" i="29"/>
  <c r="K14" i="29"/>
  <c r="L14" i="29"/>
  <c r="M14" i="29"/>
  <c r="N14" i="29"/>
  <c r="O14" i="29"/>
  <c r="P14" i="29"/>
  <c r="Q14" i="29"/>
  <c r="R14" i="29"/>
  <c r="S14" i="29"/>
  <c r="T14" i="29"/>
  <c r="U14" i="29"/>
</calcChain>
</file>

<file path=xl/sharedStrings.xml><?xml version="1.0" encoding="utf-8"?>
<sst xmlns="http://schemas.openxmlformats.org/spreadsheetml/2006/main" count="448" uniqueCount="107">
  <si>
    <t>2018-19</t>
  </si>
  <si>
    <t>2019-20</t>
  </si>
  <si>
    <t>2020-21</t>
  </si>
  <si>
    <t>2021-22</t>
  </si>
  <si>
    <t>2022-23</t>
  </si>
  <si>
    <t>2023-24</t>
  </si>
  <si>
    <t>2024-25</t>
  </si>
  <si>
    <t>2025-26</t>
  </si>
  <si>
    <t>2026-27</t>
  </si>
  <si>
    <t>2027-28</t>
  </si>
  <si>
    <t>2028-29</t>
  </si>
  <si>
    <t>2029-30</t>
  </si>
  <si>
    <t>2030-31</t>
  </si>
  <si>
    <t>2031-32</t>
  </si>
  <si>
    <t>2032-33</t>
  </si>
  <si>
    <t>2033-34</t>
  </si>
  <si>
    <t>2034-35</t>
  </si>
  <si>
    <t>Hydro</t>
  </si>
  <si>
    <t>Wind</t>
  </si>
  <si>
    <t>Total</t>
  </si>
  <si>
    <t>Technology</t>
  </si>
  <si>
    <t>Cumulative NEM Total New Entry / Retired Capacity by Technology (MW)</t>
  </si>
  <si>
    <t>Total NEM Installed Capacity by Technology (MW)</t>
  </si>
  <si>
    <t>Please note that the data format may need to be adjusted in order to view the data to the level of fidelity required. 
For example, you may need to format the cell to a more appropriate number of decimal places in some cases as desired.</t>
  </si>
  <si>
    <t>Index Table</t>
  </si>
  <si>
    <t>Tab Name</t>
  </si>
  <si>
    <t>Content Description</t>
  </si>
  <si>
    <t>NEMInstalledCapacity Figure</t>
  </si>
  <si>
    <t>NEMInstalledCapacity Data</t>
  </si>
  <si>
    <t>NEMEnergyGenerated Figure</t>
  </si>
  <si>
    <t>NEMEnergyGenerated Data</t>
  </si>
  <si>
    <t>NewAndRetiredCapacity Figure</t>
  </si>
  <si>
    <t>NewAndRetiredCapacity Data</t>
  </si>
  <si>
    <t>GenerationInvestment</t>
  </si>
  <si>
    <t>Region</t>
  </si>
  <si>
    <t>NSW</t>
  </si>
  <si>
    <t>QLD</t>
  </si>
  <si>
    <t>VIC</t>
  </si>
  <si>
    <t>SA</t>
  </si>
  <si>
    <t>TAS</t>
  </si>
  <si>
    <t xml:space="preserve">Total </t>
  </si>
  <si>
    <t>Rooftop PV</t>
  </si>
  <si>
    <t>NEM</t>
  </si>
  <si>
    <t>About</t>
  </si>
  <si>
    <t>CCGT</t>
  </si>
  <si>
    <t>2035-36</t>
  </si>
  <si>
    <t>Generation Cost</t>
  </si>
  <si>
    <t>FO&amp;M Cost</t>
  </si>
  <si>
    <t>Build Cost</t>
  </si>
  <si>
    <t>Intra-connectors</t>
  </si>
  <si>
    <t>Inter-connectors</t>
  </si>
  <si>
    <t>Total NEM installed capacity by technology (MW) and total NEM installed capacity by technology and zone (MW), yearly resolution for period 2018–19 to 2039–40.</t>
  </si>
  <si>
    <t>Cumulative NEM total new entry and retired capacity by technology (MW) and cumulative NEM total new entry and retired capacity by technology and zone, yearly resolution for period 2018–19 to 2039–40.</t>
  </si>
  <si>
    <t>Generation investment across the NEM ($ million), yearly resolution for period 2018–19 to 2039–40.</t>
  </si>
  <si>
    <t>Black coal</t>
  </si>
  <si>
    <t>Brown coal</t>
  </si>
  <si>
    <t>Peaking gas + liquids</t>
  </si>
  <si>
    <t>Utility Solar</t>
  </si>
  <si>
    <t>Utility storage</t>
  </si>
  <si>
    <t>Biomass</t>
  </si>
  <si>
    <t>Distributed storage</t>
  </si>
  <si>
    <t>2036-37</t>
  </si>
  <si>
    <t>2037-38</t>
  </si>
  <si>
    <t>2038-39</t>
  </si>
  <si>
    <t>2039-40</t>
  </si>
  <si>
    <t>Distributed storage load</t>
  </si>
  <si>
    <t>Utility storage generation</t>
  </si>
  <si>
    <t>Utility storage load</t>
  </si>
  <si>
    <t>Distributed storage generation</t>
  </si>
  <si>
    <t>Total NEM Generated Energy by Technology (GWh)</t>
  </si>
  <si>
    <t>Annualised Generation Investment across the NEM ($ million)</t>
  </si>
  <si>
    <t xml:space="preserve"> -   </t>
  </si>
  <si>
    <t>Market Benefits of High DER scenario by 2040</t>
  </si>
  <si>
    <t>2018 ISP Generation Outlook</t>
  </si>
  <si>
    <t>Total NEM generated energy by technology (GWh) and total NEM generated energy by technology and zone (GWh), yearly resolution for period 2018–19 to 2039–40.</t>
  </si>
  <si>
    <t>Breakdown of the total market benefits provided under this scenario. Market benefit is presented as NPV of equivalent annuities.</t>
  </si>
  <si>
    <t>NPV ($ million)</t>
  </si>
  <si>
    <t>* Excludes annualised cost of committed and advanced generation projects</t>
  </si>
  <si>
    <t>This spreadsheet contains the generation and transmission outlook for the High DER scenario of the 2018 ISP. For a complete description of the scenarios and sensitivities, please see the 2018 ISP main report.</t>
  </si>
  <si>
    <t>Market Benefits Summary</t>
  </si>
  <si>
    <t>Market benefits summary for all scenarios in the 2018 ISP. Market benefit is presented as NPV of equivalent annuities.</t>
  </si>
  <si>
    <t>Market Benefits of Neutral scenario by 2040</t>
  </si>
  <si>
    <t>Market Benefits of Fast Change scenario by 2040</t>
  </si>
  <si>
    <t>Market Benefits of Slow Change scenario by 2040</t>
  </si>
  <si>
    <t>Neutral (without the interconnection plan)</t>
  </si>
  <si>
    <t>Neutral (with interconnection plan)</t>
  </si>
  <si>
    <t>Fast change (without the interconnection plan)</t>
  </si>
  <si>
    <t>Fast change (with interconnection plan)</t>
  </si>
  <si>
    <t>Slow change (without the interconnection plan)</t>
  </si>
  <si>
    <t>Slow change (with interconnection plan)</t>
  </si>
  <si>
    <t>Explicit investment</t>
  </si>
  <si>
    <t>Market Benefits of Neutral with storage intiatives scenario by 2040</t>
  </si>
  <si>
    <t>Market Benefits of Increased Role For Gas scenario by 2040</t>
  </si>
  <si>
    <t>Neutral with storage initiatives (without the interconnection plan)</t>
  </si>
  <si>
    <t>Neutral with storage (with interconnection plan)</t>
  </si>
  <si>
    <t>Increased role for gas (without the interconnection plan)</t>
  </si>
  <si>
    <t>Increased role for gas (with interconnection plan)</t>
  </si>
  <si>
    <t>High DER (without the interconnection plan)</t>
  </si>
  <si>
    <t>High DER (with interconnection plan)</t>
  </si>
  <si>
    <t>Version History</t>
  </si>
  <si>
    <t>Version Number</t>
  </si>
  <si>
    <t>Description</t>
  </si>
  <si>
    <t>v1.0</t>
  </si>
  <si>
    <t>Initial release</t>
  </si>
  <si>
    <t>v2.0</t>
  </si>
  <si>
    <t>Updated release – added Market Benefits Summary worksheet describing the Gross Market Benefits of each scenario. Updated “Market Benefits” sheet to “Net Market Benefits”</t>
  </si>
  <si>
    <t>Net Market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</si>
</sst>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8" formatCode="&quot;$&quot;#,##0.00;[Red]\-&quot;$&quot;#,##0.00"/>
    <numFmt numFmtId="44" formatCode="_-&quot;$&quot;* #,##0.00_-;\-&quot;$&quot;* #,##0.00_-;_-&quot;$&quot;* &quot;-&quot;??_-;_-@_-"/>
    <numFmt numFmtId="43" formatCode="_-* #,##0.00_-;\-* #,##0.00_-;_-* &quot;-&quot;??_-;_-@_-"/>
    <numFmt numFmtId="164" formatCode="#,##0_ ;\-#,##0\ "/>
    <numFmt numFmtId="165" formatCode="0.000000"/>
    <numFmt numFmtId="166" formatCode="_-* #,##0_-;\-* #,##0_-;_-* &quot;-&quot;??_-;_-@_-"/>
  </numFmts>
  <fonts count="45" x14ac:knownFonts="1">
    <font>
      <sz val="10"/>
      <color theme="1"/>
      <name val="Arial"/>
      <family val="2"/>
    </font>
    <font>
      <sz val="11"/>
      <color theme="1"/>
      <name val="Tw Cen MT"/>
      <family val="2"/>
      <scheme val="minor"/>
    </font>
    <font>
      <sz val="11"/>
      <color theme="1"/>
      <name val="Arial"/>
      <family val="2"/>
    </font>
    <font>
      <sz val="11"/>
      <color theme="1"/>
      <name val="Arial"/>
      <family val="2"/>
    </font>
    <font>
      <sz val="11"/>
      <color theme="1"/>
      <name val="Arial"/>
      <family val="2"/>
    </font>
    <font>
      <sz val="10"/>
      <name val="Arial"/>
      <family val="2"/>
    </font>
    <font>
      <sz val="10"/>
      <color theme="1"/>
      <name val="Arial"/>
      <family val="2"/>
    </font>
    <font>
      <sz val="8"/>
      <color theme="1"/>
      <name val="Arial"/>
      <family val="2"/>
    </font>
    <font>
      <sz val="10"/>
      <color theme="0"/>
      <name val="Arial"/>
      <family val="2"/>
    </font>
    <font>
      <sz val="11"/>
      <color theme="1"/>
      <name val="Arial"/>
      <family val="2"/>
    </font>
    <font>
      <sz val="11"/>
      <color theme="1"/>
      <name val="Tw Cen MT"/>
      <family val="2"/>
      <scheme val="minor"/>
    </font>
    <font>
      <sz val="8"/>
      <color theme="0"/>
      <name val="Arial"/>
      <family val="2"/>
    </font>
    <font>
      <sz val="8"/>
      <color rgb="FF000099"/>
      <name val="Arial"/>
      <family val="2"/>
    </font>
    <font>
      <sz val="7"/>
      <name val="Arial"/>
      <family val="2"/>
    </font>
    <font>
      <sz val="8"/>
      <color rgb="FF000080"/>
      <name val="Arial"/>
      <family val="2"/>
    </font>
    <font>
      <b/>
      <sz val="11"/>
      <color theme="1"/>
      <name val="Arial"/>
      <family val="2"/>
    </font>
    <font>
      <b/>
      <sz val="10"/>
      <color theme="1"/>
      <name val="Arial"/>
      <family val="2"/>
    </font>
    <font>
      <b/>
      <sz val="18"/>
      <color theme="3"/>
      <name val="Tw Cen M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5"/>
      <color rgb="FFF47321"/>
      <name val="Arial"/>
      <family val="2"/>
    </font>
    <font>
      <b/>
      <sz val="11"/>
      <color rgb="FFF47321"/>
      <name val="Arial"/>
      <family val="2"/>
    </font>
    <font>
      <b/>
      <sz val="20"/>
      <color rgb="FFC41230"/>
      <name val="Tw Cen MT"/>
      <family val="2"/>
      <scheme val="major"/>
    </font>
    <font>
      <sz val="10"/>
      <color theme="1"/>
      <name val="Tw Cen MT"/>
      <family val="2"/>
      <scheme val="minor"/>
    </font>
    <font>
      <b/>
      <sz val="14"/>
      <color rgb="FFC41230"/>
      <name val="Tw Cen MT"/>
      <family val="2"/>
      <scheme val="major"/>
    </font>
    <font>
      <b/>
      <sz val="12"/>
      <color theme="5"/>
      <name val="Tw Cen MT"/>
      <family val="2"/>
      <scheme val="minor"/>
    </font>
    <font>
      <b/>
      <sz val="12"/>
      <color rgb="FFC00000"/>
      <name val="Tw Cen MT"/>
      <family val="2"/>
      <scheme val="major"/>
    </font>
    <font>
      <b/>
      <sz val="10"/>
      <color theme="5"/>
      <name val="Tw Cen MT"/>
      <family val="2"/>
      <scheme val="minor"/>
    </font>
    <font>
      <b/>
      <sz val="10"/>
      <color theme="1"/>
      <name val="Tw Cen MT"/>
      <family val="2"/>
      <scheme val="minor"/>
    </font>
    <font>
      <sz val="10"/>
      <color theme="1"/>
      <name val="Tw Cen MT"/>
      <family val="2"/>
      <scheme val="major"/>
    </font>
    <font>
      <b/>
      <sz val="8"/>
      <color theme="1"/>
      <name val="Tw Cen MT"/>
      <family val="2"/>
      <scheme val="minor"/>
    </font>
    <font>
      <b/>
      <sz val="8"/>
      <color rgb="FF000000"/>
      <name val="Tw Cen MT"/>
      <family val="2"/>
      <scheme val="minor"/>
    </font>
    <font>
      <sz val="8"/>
      <color theme="1"/>
      <name val="Tw Cen MT"/>
      <family val="2"/>
      <scheme val="minor"/>
    </font>
    <font>
      <b/>
      <sz val="10"/>
      <name val="Tw Cen MT"/>
      <family val="2"/>
      <scheme val="minor"/>
    </font>
  </fonts>
  <fills count="40">
    <fill>
      <patternFill patternType="none"/>
    </fill>
    <fill>
      <patternFill patternType="gray125"/>
    </fill>
    <fill>
      <patternFill patternType="solid">
        <fgColor theme="4"/>
      </patternFill>
    </fill>
    <fill>
      <patternFill patternType="solid">
        <fgColor indexed="26"/>
      </patternFill>
    </fill>
    <fill>
      <patternFill patternType="solid">
        <fgColor indexed="49"/>
      </patternFill>
    </fill>
    <fill>
      <patternFill patternType="solid">
        <fgColor rgb="FFD9D9D9"/>
        <bgColor indexed="64"/>
      </patternFill>
    </fill>
    <fill>
      <patternFill patternType="solid">
        <fgColor indexed="22"/>
        <bgColor indexed="64"/>
      </patternFill>
    </fill>
    <fill>
      <patternFill patternType="solid">
        <fgColor rgb="FFE6E6E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EFDFD"/>
      </left>
      <right style="thin">
        <color theme="2"/>
      </right>
      <top style="thin">
        <color indexed="64"/>
      </top>
      <bottom style="thin">
        <color indexed="64"/>
      </bottom>
      <diagonal/>
    </border>
    <border>
      <left/>
      <right style="thin">
        <color rgb="FFFEFDFD"/>
      </right>
      <top style="thin">
        <color indexed="64"/>
      </top>
      <bottom style="thin">
        <color indexed="64"/>
      </bottom>
      <diagonal/>
    </border>
    <border>
      <left style="thin">
        <color rgb="FFFEFDFD"/>
      </left>
      <right style="thin">
        <color theme="1" tint="0.749992370372631"/>
      </right>
      <top style="thin">
        <color indexed="64"/>
      </top>
      <bottom style="thin">
        <color theme="1" tint="0.749992370372631"/>
      </bottom>
      <diagonal/>
    </border>
    <border>
      <left style="thin">
        <color theme="1" tint="0.749992370372631"/>
      </left>
      <right style="thin">
        <color rgb="FFFEFDFD"/>
      </right>
      <top style="thin">
        <color indexed="64"/>
      </top>
      <bottom style="thin">
        <color theme="1" tint="0.749992370372631"/>
      </bottom>
      <diagonal/>
    </border>
    <border>
      <left style="thin">
        <color rgb="FFFEFDFD"/>
      </left>
      <right/>
      <top/>
      <bottom/>
      <diagonal/>
    </border>
    <border>
      <left style="thin">
        <color theme="1" tint="0.749992370372631"/>
      </left>
      <right style="thin">
        <color rgb="FFFEFDFD"/>
      </right>
      <top style="thin">
        <color theme="1" tint="0.749992370372631"/>
      </top>
      <bottom/>
      <diagonal/>
    </border>
    <border>
      <left style="thin">
        <color rgb="FFFEFDFD"/>
      </left>
      <right style="thin">
        <color theme="1" tint="0.749992370372631"/>
      </right>
      <top style="thin">
        <color theme="1" tint="0.749992370372631"/>
      </top>
      <bottom style="thin">
        <color theme="1" tint="0.749992370372631"/>
      </bottom>
      <diagonal/>
    </border>
    <border>
      <left style="thin">
        <color theme="1" tint="0.749992370372631"/>
      </left>
      <right style="thin">
        <color rgb="FFFEFDFD"/>
      </right>
      <top/>
      <bottom style="thin">
        <color theme="1" tint="0.749992370372631"/>
      </bottom>
      <diagonal/>
    </border>
    <border>
      <left style="thin">
        <color theme="1" tint="0.749992370372631"/>
      </left>
      <right style="thin">
        <color rgb="FFFEFDFD"/>
      </right>
      <top/>
      <bottom/>
      <diagonal/>
    </border>
    <border>
      <left style="thin">
        <color rgb="FFFEFDFD"/>
      </left>
      <right style="thin">
        <color theme="1" tint="0.749992370372631"/>
      </right>
      <top style="thin">
        <color theme="1" tint="0.749992370372631"/>
      </top>
      <bottom/>
      <diagonal/>
    </border>
    <border>
      <left style="thin">
        <color theme="1" tint="0.749992370372631"/>
      </left>
      <right style="thin">
        <color rgb="FFFEFDFD"/>
      </right>
      <top style="thin">
        <color theme="1" tint="0.749992370372631"/>
      </top>
      <bottom style="thin">
        <color theme="1" tint="0.749992370372631"/>
      </bottom>
      <diagonal/>
    </border>
    <border>
      <left/>
      <right/>
      <top style="thin">
        <color theme="1" tint="0.749992370372631"/>
      </top>
      <bottom/>
      <diagonal/>
    </border>
    <border>
      <left/>
      <right/>
      <top style="thin">
        <color indexed="64"/>
      </top>
      <bottom style="thin">
        <color indexed="64"/>
      </bottom>
      <diagonal/>
    </border>
    <border>
      <left/>
      <right style="medium">
        <color theme="0"/>
      </right>
      <top style="thin">
        <color indexed="64"/>
      </top>
      <bottom/>
      <diagonal/>
    </border>
    <border>
      <left/>
      <right style="medium">
        <color theme="0"/>
      </right>
      <top/>
      <bottom/>
      <diagonal/>
    </border>
    <border>
      <left/>
      <right style="medium">
        <color theme="0"/>
      </right>
      <top/>
      <bottom style="medium">
        <color theme="0"/>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right/>
      <top/>
      <bottom style="thin">
        <color indexed="64"/>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s>
  <cellStyleXfs count="711">
    <xf numFmtId="0" fontId="0" fillId="0" borderId="0"/>
    <xf numFmtId="0" fontId="6" fillId="0" borderId="0"/>
    <xf numFmtId="0" fontId="9" fillId="0" borderId="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10" fillId="0" borderId="0"/>
    <xf numFmtId="0" fontId="10"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0" fontId="5" fillId="0" borderId="0"/>
    <xf numFmtId="0" fontId="7"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3" borderId="1" applyNumberFormat="0" applyFont="0" applyAlignment="0" applyProtection="0"/>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9" fontId="5" fillId="0" borderId="0" applyFont="0" applyFill="0" applyBorder="0" applyAlignment="0" applyProtection="0"/>
    <xf numFmtId="9" fontId="5" fillId="0" borderId="0" applyFont="0" applyFill="0" applyBorder="0" applyAlignment="0" applyProtection="0"/>
    <xf numFmtId="4" fontId="7" fillId="0" borderId="0" applyNumberFormat="0" applyBorder="0" applyAlignment="0" applyProtection="0">
      <alignment horizontal="center"/>
    </xf>
    <xf numFmtId="0" fontId="12" fillId="5" borderId="0">
      <alignment horizontal="center" wrapText="1"/>
    </xf>
    <xf numFmtId="0" fontId="13" fillId="0" borderId="0" applyNumberFormat="0" applyBorder="0">
      <alignment horizontal="left" wrapText="1"/>
    </xf>
    <xf numFmtId="0" fontId="13" fillId="0" borderId="0" applyNumberFormat="0" applyBorder="0">
      <alignment horizontal="left" wrapText="1"/>
    </xf>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4" fillId="0" borderId="0"/>
    <xf numFmtId="43" fontId="6" fillId="0" borderId="0" applyFont="0" applyFill="0" applyBorder="0" applyAlignment="0" applyProtection="0"/>
    <xf numFmtId="0" fontId="4" fillId="0" borderId="0"/>
    <xf numFmtId="0" fontId="4" fillId="0" borderId="0"/>
    <xf numFmtId="0" fontId="17" fillId="0" borderId="0" applyNumberFormat="0" applyFill="0" applyBorder="0" applyAlignment="0" applyProtection="0"/>
    <xf numFmtId="0" fontId="18" fillId="0" borderId="2" applyNumberFormat="0" applyFill="0" applyAlignment="0" applyProtection="0"/>
    <xf numFmtId="0" fontId="19" fillId="0" borderId="3" applyNumberFormat="0" applyFill="0" applyAlignment="0" applyProtection="0"/>
    <xf numFmtId="0" fontId="20" fillId="0" borderId="4" applyNumberFormat="0" applyFill="0" applyAlignment="0" applyProtection="0"/>
    <xf numFmtId="0" fontId="20" fillId="0" borderId="0" applyNumberFormat="0" applyFill="0" applyBorder="0" applyAlignment="0" applyProtection="0"/>
    <xf numFmtId="0" fontId="21" fillId="8" borderId="0" applyNumberFormat="0" applyBorder="0" applyAlignment="0" applyProtection="0"/>
    <xf numFmtId="0" fontId="22" fillId="9" borderId="0" applyNumberFormat="0" applyBorder="0" applyAlignment="0" applyProtection="0"/>
    <xf numFmtId="0" fontId="23" fillId="10" borderId="0" applyNumberFormat="0" applyBorder="0" applyAlignment="0" applyProtection="0"/>
    <xf numFmtId="0" fontId="24" fillId="11" borderId="5" applyNumberFormat="0" applyAlignment="0" applyProtection="0"/>
    <xf numFmtId="0" fontId="25" fillId="12" borderId="6" applyNumberFormat="0" applyAlignment="0" applyProtection="0"/>
    <xf numFmtId="0" fontId="26" fillId="12" borderId="5" applyNumberFormat="0" applyAlignment="0" applyProtection="0"/>
    <xf numFmtId="0" fontId="27" fillId="0" borderId="7" applyNumberFormat="0" applyFill="0" applyAlignment="0" applyProtection="0"/>
    <xf numFmtId="0" fontId="28" fillId="13" borderId="8"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16" fillId="0" borderId="10" applyNumberFormat="0" applyFill="0" applyAlignment="0" applyProtection="0"/>
    <xf numFmtId="0" fontId="8" fillId="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8" fillId="37" borderId="0" applyNumberFormat="0" applyBorder="0" applyAlignment="0" applyProtection="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6" fillId="0" borderId="0"/>
    <xf numFmtId="43" fontId="6" fillId="0" borderId="0" applyFont="0" applyFill="0" applyBorder="0" applyAlignment="0" applyProtection="0"/>
  </cellStyleXfs>
  <cellXfs count="103">
    <xf numFmtId="0" fontId="0" fillId="0" borderId="0" xfId="0"/>
    <xf numFmtId="165" fontId="0" fillId="0" borderId="0" xfId="0" applyNumberFormat="1"/>
    <xf numFmtId="0" fontId="0" fillId="0" borderId="0" xfId="0"/>
    <xf numFmtId="0" fontId="31" fillId="38" borderId="0" xfId="0" applyFont="1" applyFill="1" applyAlignment="1">
      <alignment vertical="center"/>
    </xf>
    <xf numFmtId="0" fontId="32" fillId="38" borderId="0" xfId="0" applyFont="1" applyFill="1" applyAlignment="1">
      <alignment horizontal="left" vertical="center"/>
    </xf>
    <xf numFmtId="0" fontId="7" fillId="0" borderId="0" xfId="0" applyFont="1"/>
    <xf numFmtId="164" fontId="7" fillId="0" borderId="0" xfId="0" applyNumberFormat="1" applyFont="1"/>
    <xf numFmtId="0" fontId="0" fillId="38" borderId="0" xfId="0" applyFill="1"/>
    <xf numFmtId="0" fontId="33" fillId="38" borderId="0" xfId="0" applyFont="1" applyFill="1" applyAlignment="1">
      <alignment vertical="center"/>
    </xf>
    <xf numFmtId="0" fontId="35" fillId="38" borderId="0" xfId="0" applyFont="1" applyFill="1" applyAlignment="1">
      <alignment horizontal="left" vertical="center"/>
    </xf>
    <xf numFmtId="0" fontId="7" fillId="38" borderId="0" xfId="0" applyFont="1" applyFill="1"/>
    <xf numFmtId="0" fontId="36" fillId="38" borderId="11" xfId="0" applyFont="1" applyFill="1" applyBorder="1"/>
    <xf numFmtId="0" fontId="36" fillId="38" borderId="12" xfId="0" applyFont="1" applyFill="1" applyBorder="1" applyAlignment="1">
      <alignment wrapText="1"/>
    </xf>
    <xf numFmtId="0" fontId="34" fillId="38" borderId="13" xfId="0" applyFont="1" applyFill="1" applyBorder="1" applyAlignment="1">
      <alignment horizontal="left" vertical="center" wrapText="1"/>
    </xf>
    <xf numFmtId="0" fontId="34" fillId="38" borderId="14" xfId="0" applyFont="1" applyFill="1" applyBorder="1" applyAlignment="1">
      <alignment horizontal="left" vertical="center" wrapText="1"/>
    </xf>
    <xf numFmtId="0" fontId="34" fillId="38" borderId="15" xfId="0" applyFont="1" applyFill="1" applyBorder="1" applyAlignment="1">
      <alignment horizontal="left" vertical="center" wrapText="1"/>
    </xf>
    <xf numFmtId="0" fontId="34" fillId="38" borderId="17" xfId="0" applyFont="1" applyFill="1" applyBorder="1" applyAlignment="1">
      <alignment horizontal="left" vertical="center" wrapText="1"/>
    </xf>
    <xf numFmtId="0" fontId="34" fillId="38" borderId="20" xfId="0" applyFont="1" applyFill="1" applyBorder="1" applyAlignment="1">
      <alignment horizontal="left" vertical="center" wrapText="1"/>
    </xf>
    <xf numFmtId="0" fontId="34" fillId="38" borderId="21" xfId="0" applyFont="1" applyFill="1" applyBorder="1" applyAlignment="1">
      <alignment horizontal="left" vertical="center" wrapText="1"/>
    </xf>
    <xf numFmtId="0" fontId="7" fillId="38" borderId="22" xfId="0" applyFont="1" applyFill="1" applyBorder="1"/>
    <xf numFmtId="0" fontId="37" fillId="0" borderId="0" xfId="0" applyFont="1" applyBorder="1" applyAlignment="1"/>
    <xf numFmtId="0" fontId="16" fillId="0" borderId="0" xfId="0" applyFont="1" applyBorder="1" applyAlignment="1"/>
    <xf numFmtId="0" fontId="36" fillId="0" borderId="23" xfId="0" applyFont="1" applyFill="1" applyBorder="1"/>
    <xf numFmtId="0" fontId="38" fillId="0" borderId="23" xfId="0" applyFont="1" applyFill="1" applyBorder="1"/>
    <xf numFmtId="0" fontId="34" fillId="0" borderId="0" xfId="0" applyFont="1" applyFill="1" applyBorder="1" applyAlignment="1">
      <alignment horizontal="left" vertical="center" wrapText="1"/>
    </xf>
    <xf numFmtId="166" fontId="34" fillId="0" borderId="0" xfId="618" applyNumberFormat="1" applyFont="1" applyFill="1" applyBorder="1" applyAlignment="1">
      <alignment horizontal="left" vertical="center" wrapText="1"/>
    </xf>
    <xf numFmtId="0" fontId="39" fillId="0" borderId="0" xfId="0" applyFont="1" applyFill="1" applyBorder="1" applyAlignment="1">
      <alignment horizontal="left" vertical="center" wrapText="1"/>
    </xf>
    <xf numFmtId="166" fontId="39" fillId="0" borderId="0" xfId="618" applyNumberFormat="1" applyFont="1" applyFill="1" applyBorder="1" applyAlignment="1">
      <alignment horizontal="left" vertical="center" wrapText="1"/>
    </xf>
    <xf numFmtId="0" fontId="0" fillId="0" borderId="0" xfId="0" applyFill="1" applyBorder="1"/>
    <xf numFmtId="0" fontId="37" fillId="0" borderId="0" xfId="696" applyFont="1" applyFill="1" applyBorder="1"/>
    <xf numFmtId="0" fontId="40" fillId="0" borderId="0" xfId="0" applyFont="1" applyFill="1" applyBorder="1"/>
    <xf numFmtId="164" fontId="40" fillId="0" borderId="0" xfId="0" applyNumberFormat="1" applyFont="1" applyFill="1" applyBorder="1"/>
    <xf numFmtId="0" fontId="41" fillId="0" borderId="23" xfId="0" applyFont="1" applyFill="1" applyBorder="1" applyAlignment="1">
      <alignment horizontal="left" vertical="center" wrapText="1"/>
    </xf>
    <xf numFmtId="0" fontId="42" fillId="39" borderId="23" xfId="0" applyFont="1" applyFill="1" applyBorder="1" applyAlignment="1">
      <alignment horizontal="left" vertical="center" wrapText="1"/>
    </xf>
    <xf numFmtId="0" fontId="42" fillId="0" borderId="23" xfId="0" applyFont="1" applyFill="1" applyBorder="1" applyAlignment="1">
      <alignment horizontal="center" vertical="center"/>
    </xf>
    <xf numFmtId="0" fontId="42" fillId="39" borderId="23" xfId="0" applyFont="1" applyFill="1" applyBorder="1" applyAlignment="1">
      <alignment horizontal="center" vertical="center"/>
    </xf>
    <xf numFmtId="0" fontId="34" fillId="0" borderId="0" xfId="0" applyFont="1" applyFill="1" applyBorder="1"/>
    <xf numFmtId="164" fontId="43" fillId="39" borderId="0" xfId="618" applyNumberFormat="1" applyFont="1" applyFill="1" applyBorder="1" applyAlignment="1">
      <alignment horizontal="left"/>
    </xf>
    <xf numFmtId="164" fontId="43" fillId="0" borderId="0" xfId="618" applyNumberFormat="1" applyFont="1" applyFill="1" applyBorder="1" applyAlignment="1">
      <alignment horizontal="right"/>
    </xf>
    <xf numFmtId="164" fontId="43" fillId="39" borderId="0" xfId="618" applyNumberFormat="1" applyFont="1" applyFill="1" applyBorder="1" applyAlignment="1">
      <alignment horizontal="right"/>
    </xf>
    <xf numFmtId="0" fontId="43" fillId="0" borderId="0" xfId="0" applyFont="1" applyFill="1" applyBorder="1"/>
    <xf numFmtId="164" fontId="41" fillId="39" borderId="0" xfId="618" applyNumberFormat="1" applyFont="1" applyFill="1" applyBorder="1" applyAlignment="1">
      <alignment horizontal="left"/>
    </xf>
    <xf numFmtId="164" fontId="41" fillId="0" borderId="0" xfId="618" applyNumberFormat="1" applyFont="1" applyFill="1" applyBorder="1" applyAlignment="1">
      <alignment horizontal="right"/>
    </xf>
    <xf numFmtId="164" fontId="41" fillId="39" borderId="0" xfId="618" applyNumberFormat="1" applyFont="1" applyFill="1" applyBorder="1" applyAlignment="1">
      <alignment horizontal="right"/>
    </xf>
    <xf numFmtId="164" fontId="43" fillId="0" borderId="0" xfId="0" applyNumberFormat="1" applyFont="1" applyFill="1" applyBorder="1"/>
    <xf numFmtId="164" fontId="34" fillId="0" borderId="0" xfId="0" applyNumberFormat="1" applyFont="1" applyFill="1" applyBorder="1"/>
    <xf numFmtId="164" fontId="43" fillId="0" borderId="0" xfId="618" applyNumberFormat="1" applyFont="1" applyFill="1" applyBorder="1" applyAlignment="1">
      <alignment horizontal="left"/>
    </xf>
    <xf numFmtId="166" fontId="43" fillId="39" borderId="0" xfId="618" applyNumberFormat="1" applyFont="1" applyFill="1" applyBorder="1" applyAlignment="1">
      <alignment horizontal="right"/>
    </xf>
    <xf numFmtId="166" fontId="43" fillId="0" borderId="0" xfId="618" applyNumberFormat="1" applyFont="1" applyFill="1" applyBorder="1" applyAlignment="1">
      <alignment horizontal="right"/>
    </xf>
    <xf numFmtId="0" fontId="0" fillId="0" borderId="0" xfId="0" applyAlignment="1">
      <alignment horizontal="right"/>
    </xf>
    <xf numFmtId="0" fontId="42" fillId="0" borderId="23" xfId="0" applyFont="1" applyFill="1" applyBorder="1" applyAlignment="1">
      <alignment horizontal="right" vertical="center"/>
    </xf>
    <xf numFmtId="0" fontId="42" fillId="39" borderId="23" xfId="0" applyFont="1" applyFill="1" applyBorder="1" applyAlignment="1">
      <alignment horizontal="right" vertical="center"/>
    </xf>
    <xf numFmtId="164" fontId="0" fillId="0" borderId="0" xfId="0" applyNumberFormat="1" applyAlignment="1">
      <alignment horizontal="right"/>
    </xf>
    <xf numFmtId="0" fontId="2" fillId="0" borderId="0" xfId="700"/>
    <xf numFmtId="0" fontId="2" fillId="0" borderId="0" xfId="700" applyFont="1" applyFill="1"/>
    <xf numFmtId="0" fontId="2" fillId="0" borderId="0" xfId="700" applyFill="1"/>
    <xf numFmtId="0" fontId="7" fillId="0" borderId="0" xfId="700" applyFont="1"/>
    <xf numFmtId="0" fontId="15" fillId="0" borderId="0" xfId="700" applyFont="1"/>
    <xf numFmtId="164" fontId="2" fillId="0" borderId="0" xfId="700" applyNumberFormat="1"/>
    <xf numFmtId="8" fontId="43" fillId="0" borderId="0" xfId="0" applyNumberFormat="1" applyFont="1"/>
    <xf numFmtId="0" fontId="1" fillId="38" borderId="0" xfId="708" applyFill="1"/>
    <xf numFmtId="0" fontId="1" fillId="38" borderId="27" xfId="708" applyFill="1" applyBorder="1"/>
    <xf numFmtId="0" fontId="1" fillId="38" borderId="28" xfId="708" applyFill="1" applyBorder="1"/>
    <xf numFmtId="0" fontId="1" fillId="38" borderId="29" xfId="708" applyFill="1" applyBorder="1"/>
    <xf numFmtId="0" fontId="37" fillId="38" borderId="0" xfId="709" applyFont="1" applyFill="1" applyBorder="1" applyAlignment="1"/>
    <xf numFmtId="0" fontId="16" fillId="38" borderId="0" xfId="709" applyFont="1" applyFill="1" applyBorder="1" applyAlignment="1"/>
    <xf numFmtId="0" fontId="1" fillId="38" borderId="0" xfId="708" applyFill="1" applyBorder="1"/>
    <xf numFmtId="0" fontId="1" fillId="38" borderId="30" xfId="708" applyFill="1" applyBorder="1"/>
    <xf numFmtId="0" fontId="1" fillId="38" borderId="31" xfId="708" applyFill="1" applyBorder="1"/>
    <xf numFmtId="0" fontId="36" fillId="38" borderId="23" xfId="709" applyFont="1" applyFill="1" applyBorder="1"/>
    <xf numFmtId="0" fontId="44" fillId="38" borderId="23" xfId="709" applyFont="1" applyFill="1" applyBorder="1" applyAlignment="1">
      <alignment horizontal="right" wrapText="1"/>
    </xf>
    <xf numFmtId="0" fontId="44" fillId="38" borderId="23" xfId="709" applyFont="1" applyFill="1" applyBorder="1" applyAlignment="1">
      <alignment horizontal="right"/>
    </xf>
    <xf numFmtId="0" fontId="36" fillId="38" borderId="23" xfId="709" applyFont="1" applyFill="1" applyBorder="1" applyAlignment="1">
      <alignment horizontal="right" wrapText="1"/>
    </xf>
    <xf numFmtId="0" fontId="34" fillId="38" borderId="0" xfId="709" applyFont="1" applyFill="1" applyBorder="1" applyAlignment="1">
      <alignment horizontal="left" vertical="center" wrapText="1"/>
    </xf>
    <xf numFmtId="166" fontId="34" fillId="38" borderId="0" xfId="710" applyNumberFormat="1" applyFont="1" applyFill="1" applyBorder="1" applyAlignment="1">
      <alignment horizontal="left" vertical="center" wrapText="1"/>
    </xf>
    <xf numFmtId="0" fontId="39" fillId="38" borderId="32" xfId="709" applyFont="1" applyFill="1" applyBorder="1" applyAlignment="1">
      <alignment horizontal="left" vertical="center" wrapText="1"/>
    </xf>
    <xf numFmtId="166" fontId="39" fillId="38" borderId="32" xfId="710" applyNumberFormat="1" applyFont="1" applyFill="1" applyBorder="1" applyAlignment="1">
      <alignment horizontal="left" vertical="center" wrapText="1"/>
    </xf>
    <xf numFmtId="0" fontId="1" fillId="38" borderId="33" xfId="708" applyFill="1" applyBorder="1"/>
    <xf numFmtId="0" fontId="1" fillId="38" borderId="34" xfId="708" applyFill="1" applyBorder="1"/>
    <xf numFmtId="0" fontId="1" fillId="38" borderId="35" xfId="708" applyFill="1" applyBorder="1"/>
    <xf numFmtId="0" fontId="34" fillId="38" borderId="19" xfId="0" applyFont="1" applyFill="1" applyBorder="1" applyAlignment="1">
      <alignment horizontal="left" vertical="center" wrapText="1"/>
    </xf>
    <xf numFmtId="0" fontId="0" fillId="38" borderId="0" xfId="0" applyFont="1" applyFill="1" applyAlignment="1">
      <alignment horizontal="left" vertical="center" wrapText="1"/>
    </xf>
    <xf numFmtId="0" fontId="34" fillId="38" borderId="0" xfId="0" applyFont="1" applyFill="1" applyAlignment="1">
      <alignment horizontal="left" vertical="center" wrapText="1"/>
    </xf>
    <xf numFmtId="0" fontId="39" fillId="38" borderId="34" xfId="709" applyFont="1" applyFill="1" applyBorder="1" applyAlignment="1">
      <alignment horizontal="left" vertical="center" wrapText="1"/>
    </xf>
    <xf numFmtId="166" fontId="39" fillId="38" borderId="34" xfId="710" applyNumberFormat="1" applyFont="1" applyFill="1" applyBorder="1" applyAlignment="1">
      <alignment horizontal="left" vertical="center" wrapText="1"/>
    </xf>
    <xf numFmtId="0" fontId="39" fillId="38" borderId="0" xfId="709" applyFont="1" applyFill="1" applyBorder="1" applyAlignment="1">
      <alignment horizontal="left" vertical="center" wrapText="1"/>
    </xf>
    <xf numFmtId="166" fontId="39" fillId="38" borderId="0" xfId="710" applyNumberFormat="1" applyFont="1" applyFill="1" applyBorder="1" applyAlignment="1">
      <alignment horizontal="left" vertical="center" wrapText="1"/>
    </xf>
    <xf numFmtId="0" fontId="36" fillId="38" borderId="11" xfId="0" applyFont="1" applyFill="1" applyBorder="1" applyAlignment="1">
      <alignment horizontal="center"/>
    </xf>
    <xf numFmtId="0" fontId="34" fillId="38" borderId="13" xfId="0" applyFont="1" applyFill="1" applyBorder="1" applyAlignment="1">
      <alignment horizontal="center" vertical="center" wrapText="1"/>
    </xf>
    <xf numFmtId="0" fontId="34" fillId="38" borderId="20" xfId="0" applyFont="1" applyFill="1" applyBorder="1" applyAlignment="1">
      <alignment horizontal="center" vertical="center" wrapText="1"/>
    </xf>
    <xf numFmtId="0" fontId="34" fillId="38" borderId="16" xfId="0" applyFont="1" applyFill="1" applyBorder="1" applyAlignment="1">
      <alignment horizontal="left" vertical="center" wrapText="1"/>
    </xf>
    <xf numFmtId="0" fontId="34" fillId="38" borderId="19" xfId="0" applyFont="1" applyFill="1" applyBorder="1" applyAlignment="1">
      <alignment horizontal="left" vertical="center" wrapText="1"/>
    </xf>
    <xf numFmtId="0" fontId="0" fillId="38" borderId="0" xfId="0" applyFont="1" applyFill="1" applyAlignment="1">
      <alignment horizontal="left" vertical="center" wrapText="1"/>
    </xf>
    <xf numFmtId="0" fontId="34" fillId="38" borderId="0" xfId="0" applyFont="1" applyFill="1" applyAlignment="1">
      <alignment horizontal="left" vertical="center" wrapText="1"/>
    </xf>
    <xf numFmtId="0" fontId="34" fillId="38" borderId="18" xfId="0" applyFont="1" applyFill="1" applyBorder="1" applyAlignment="1">
      <alignment horizontal="left" vertical="center" wrapText="1"/>
    </xf>
    <xf numFmtId="0" fontId="43" fillId="0" borderId="0" xfId="1" applyFont="1" applyFill="1" applyBorder="1" applyAlignment="1">
      <alignment horizontal="center" vertical="center"/>
    </xf>
    <xf numFmtId="0" fontId="43" fillId="39" borderId="0" xfId="1" applyFont="1" applyFill="1" applyBorder="1" applyAlignment="1">
      <alignment horizontal="center" vertical="center"/>
    </xf>
    <xf numFmtId="0" fontId="43" fillId="0" borderId="24" xfId="1" applyFont="1" applyFill="1" applyBorder="1" applyAlignment="1">
      <alignment horizontal="center" vertical="center"/>
    </xf>
    <xf numFmtId="0" fontId="43" fillId="0" borderId="25" xfId="1" applyFont="1" applyFill="1" applyBorder="1" applyAlignment="1">
      <alignment horizontal="center" vertical="center"/>
    </xf>
    <xf numFmtId="0" fontId="43" fillId="0" borderId="26" xfId="1" applyFont="1" applyFill="1" applyBorder="1" applyAlignment="1">
      <alignment horizontal="center" vertical="center"/>
    </xf>
    <xf numFmtId="0" fontId="43" fillId="39" borderId="24" xfId="1" applyFont="1" applyFill="1" applyBorder="1" applyAlignment="1">
      <alignment horizontal="center" vertical="center"/>
    </xf>
    <xf numFmtId="0" fontId="43" fillId="39" borderId="25" xfId="1" applyFont="1" applyFill="1" applyBorder="1" applyAlignment="1">
      <alignment horizontal="center" vertical="center"/>
    </xf>
    <xf numFmtId="0" fontId="43" fillId="39" borderId="26" xfId="1" applyFont="1" applyFill="1" applyBorder="1" applyAlignment="1">
      <alignment horizontal="center" vertical="center"/>
    </xf>
  </cellXfs>
  <cellStyles count="711">
    <cellStyle name="20% - Accent1" xfId="638" builtinId="30" customBuiltin="1"/>
    <cellStyle name="20% - Accent1 2" xfId="676"/>
    <cellStyle name="20% - Accent1 3" xfId="662"/>
    <cellStyle name="20% - Accent2" xfId="642" builtinId="34" customBuiltin="1"/>
    <cellStyle name="20% - Accent2 2" xfId="678"/>
    <cellStyle name="20% - Accent2 3" xfId="664"/>
    <cellStyle name="20% - Accent3" xfId="646" builtinId="38" customBuiltin="1"/>
    <cellStyle name="20% - Accent3 2" xfId="680"/>
    <cellStyle name="20% - Accent3 3" xfId="666"/>
    <cellStyle name="20% - Accent4" xfId="650" builtinId="42" customBuiltin="1"/>
    <cellStyle name="20% - Accent4 2" xfId="682"/>
    <cellStyle name="20% - Accent4 3" xfId="668"/>
    <cellStyle name="20% - Accent5" xfId="654" builtinId="46" customBuiltin="1"/>
    <cellStyle name="20% - Accent5 2" xfId="684"/>
    <cellStyle name="20% - Accent5 3" xfId="670"/>
    <cellStyle name="20% - Accent6" xfId="658" builtinId="50" customBuiltin="1"/>
    <cellStyle name="20% - Accent6 2" xfId="686"/>
    <cellStyle name="20% - Accent6 3" xfId="672"/>
    <cellStyle name="40% - Accent1" xfId="639" builtinId="31" customBuiltin="1"/>
    <cellStyle name="40% - Accent1 2" xfId="677"/>
    <cellStyle name="40% - Accent1 3" xfId="663"/>
    <cellStyle name="40% - Accent2" xfId="643" builtinId="35" customBuiltin="1"/>
    <cellStyle name="40% - Accent2 2" xfId="679"/>
    <cellStyle name="40% - Accent2 3" xfId="665"/>
    <cellStyle name="40% - Accent3" xfId="647" builtinId="39" customBuiltin="1"/>
    <cellStyle name="40% - Accent3 2" xfId="681"/>
    <cellStyle name="40% - Accent3 3" xfId="667"/>
    <cellStyle name="40% - Accent4" xfId="651" builtinId="43" customBuiltin="1"/>
    <cellStyle name="40% - Accent4 2" xfId="683"/>
    <cellStyle name="40% - Accent4 3" xfId="669"/>
    <cellStyle name="40% - Accent5" xfId="655" builtinId="47" customBuiltin="1"/>
    <cellStyle name="40% - Accent5 2" xfId="685"/>
    <cellStyle name="40% - Accent5 3" xfId="671"/>
    <cellStyle name="40% - Accent6" xfId="659" builtinId="51" customBuiltin="1"/>
    <cellStyle name="40% - Accent6 2" xfId="687"/>
    <cellStyle name="40% - Accent6 3" xfId="673"/>
    <cellStyle name="60% - Accent1" xfId="640" builtinId="32" customBuiltin="1"/>
    <cellStyle name="60% - Accent2" xfId="644" builtinId="36" customBuiltin="1"/>
    <cellStyle name="60% - Accent3" xfId="648" builtinId="40" customBuiltin="1"/>
    <cellStyle name="60% - Accent4" xfId="652" builtinId="44" customBuiltin="1"/>
    <cellStyle name="60% - Accent5" xfId="656" builtinId="48" customBuiltin="1"/>
    <cellStyle name="60% - Accent6" xfId="660" builtinId="52" customBuiltin="1"/>
    <cellStyle name="Accent1" xfId="637" builtinId="29" customBuiltin="1"/>
    <cellStyle name="Accent2" xfId="641" builtinId="33" customBuiltin="1"/>
    <cellStyle name="Accent3" xfId="645" builtinId="37" customBuiltin="1"/>
    <cellStyle name="Accent4" xfId="649" builtinId="41" customBuiltin="1"/>
    <cellStyle name="Accent5" xfId="653" builtinId="45" customBuiltin="1"/>
    <cellStyle name="Accent6" xfId="657" builtinId="49" customBuiltin="1"/>
    <cellStyle name="Bad" xfId="627" builtinId="27" customBuiltin="1"/>
    <cellStyle name="Calculation" xfId="631" builtinId="22" customBuiltin="1"/>
    <cellStyle name="Check Cell" xfId="633" builtinId="23" customBuiltin="1"/>
    <cellStyle name="Comma" xfId="618" builtinId="3"/>
    <cellStyle name="Comma 2" xfId="3"/>
    <cellStyle name="Comma 3" xfId="710"/>
    <cellStyle name="Comma 4" xfId="4"/>
    <cellStyle name="Comma 4 2" xfId="5"/>
    <cellStyle name="Currency 2" xfId="6"/>
    <cellStyle name="Explanatory Text" xfId="635" builtinId="53" customBuiltin="1"/>
    <cellStyle name="Good" xfId="626" builtinId="26" customBuiltin="1"/>
    <cellStyle name="Heading 1" xfId="622" builtinId="16" customBuiltin="1"/>
    <cellStyle name="Heading 2" xfId="623" builtinId="17" customBuiltin="1"/>
    <cellStyle name="Heading 3" xfId="624" builtinId="18" customBuiltin="1"/>
    <cellStyle name="Heading 4" xfId="625" builtinId="19" customBuiltin="1"/>
    <cellStyle name="Input" xfId="629" builtinId="20" customBuiltin="1"/>
    <cellStyle name="Linked Cell" xfId="632" builtinId="24" customBuiltin="1"/>
    <cellStyle name="Neutral" xfId="628" builtinId="28" customBuiltin="1"/>
    <cellStyle name="Normal" xfId="0" builtinId="0"/>
    <cellStyle name="Normal 10" xfId="7"/>
    <cellStyle name="Normal 10 10" xfId="8"/>
    <cellStyle name="Normal 10 13" xfId="9"/>
    <cellStyle name="Normal 10 5" xfId="10"/>
    <cellStyle name="Normal 10 8" xfId="11"/>
    <cellStyle name="Normal 10 9" xfId="12"/>
    <cellStyle name="Normal 106" xfId="13"/>
    <cellStyle name="Normal 11" xfId="14"/>
    <cellStyle name="Normal 11 2" xfId="15"/>
    <cellStyle name="Normal 12" xfId="617"/>
    <cellStyle name="Normal 12 2" xfId="692"/>
    <cellStyle name="Normal 12 2 2" xfId="696"/>
    <cellStyle name="Normal 12 3" xfId="697"/>
    <cellStyle name="Normal 12 4" xfId="695"/>
    <cellStyle name="Normal 13" xfId="698"/>
    <cellStyle name="Normal 14" xfId="699"/>
    <cellStyle name="Normal 15" xfId="708"/>
    <cellStyle name="Normal 15 2" xfId="709"/>
    <cellStyle name="Normal 160 2" xfId="16"/>
    <cellStyle name="Normal 176 2" xfId="17"/>
    <cellStyle name="Normal 177 2" xfId="18"/>
    <cellStyle name="Normal 2" xfId="1"/>
    <cellStyle name="Normal 2 2" xfId="19"/>
    <cellStyle name="Normal 2 2 2" xfId="688"/>
    <cellStyle name="Normal 2 3" xfId="20"/>
    <cellStyle name="Normal 2 3 2" xfId="674"/>
    <cellStyle name="Normal 2 4" xfId="21"/>
    <cellStyle name="Normal 2 4 2" xfId="22"/>
    <cellStyle name="Normal 2 4 2 2" xfId="23"/>
    <cellStyle name="Normal 2 4 3" xfId="24"/>
    <cellStyle name="Normal 2 4 3 2" xfId="25"/>
    <cellStyle name="Normal 2 4 4" xfId="26"/>
    <cellStyle name="Normal 2 5" xfId="27"/>
    <cellStyle name="Normal 2 5 2" xfId="28"/>
    <cellStyle name="Normal 2 6" xfId="29"/>
    <cellStyle name="Normal 2 6 2" xfId="30"/>
    <cellStyle name="Normal 2 7" xfId="31"/>
    <cellStyle name="Normal 22 2" xfId="32"/>
    <cellStyle name="Normal 23 2" xfId="33"/>
    <cellStyle name="Normal 24 2" xfId="34"/>
    <cellStyle name="Normal 25 2" xfId="35"/>
    <cellStyle name="Normal 26 2" xfId="36"/>
    <cellStyle name="Normal 28" xfId="37"/>
    <cellStyle name="Normal 3" xfId="2"/>
    <cellStyle name="Normal 3 10" xfId="700"/>
    <cellStyle name="Normal 3 2" xfId="38"/>
    <cellStyle name="Normal 3 2 2" xfId="39"/>
    <cellStyle name="Normal 3 2 2 2" xfId="40"/>
    <cellStyle name="Normal 3 2 2 2 2" xfId="41"/>
    <cellStyle name="Normal 3 2 2 2 2 2" xfId="42"/>
    <cellStyle name="Normal 3 2 2 2 3" xfId="43"/>
    <cellStyle name="Normal 3 2 2 2 3 2" xfId="44"/>
    <cellStyle name="Normal 3 2 2 2 4" xfId="45"/>
    <cellStyle name="Normal 3 2 2 3" xfId="46"/>
    <cellStyle name="Normal 3 2 2 3 2" xfId="47"/>
    <cellStyle name="Normal 3 2 2 4" xfId="48"/>
    <cellStyle name="Normal 3 2 2 4 2" xfId="49"/>
    <cellStyle name="Normal 3 2 2 5" xfId="50"/>
    <cellStyle name="Normal 3 2 3" xfId="51"/>
    <cellStyle name="Normal 3 2 3 2" xfId="52"/>
    <cellStyle name="Normal 3 2 3 2 2" xfId="53"/>
    <cellStyle name="Normal 3 2 3 2 2 2" xfId="54"/>
    <cellStyle name="Normal 3 2 3 2 3" xfId="55"/>
    <cellStyle name="Normal 3 2 3 2 3 2" xfId="56"/>
    <cellStyle name="Normal 3 2 3 2 4" xfId="57"/>
    <cellStyle name="Normal 3 2 3 3" xfId="58"/>
    <cellStyle name="Normal 3 2 3 3 2" xfId="59"/>
    <cellStyle name="Normal 3 2 3 4" xfId="60"/>
    <cellStyle name="Normal 3 2 3 4 2" xfId="61"/>
    <cellStyle name="Normal 3 2 3 5" xfId="62"/>
    <cellStyle name="Normal 3 2 4" xfId="63"/>
    <cellStyle name="Normal 3 2 4 2" xfId="64"/>
    <cellStyle name="Normal 3 2 4 2 2" xfId="65"/>
    <cellStyle name="Normal 3 2 4 3" xfId="66"/>
    <cellStyle name="Normal 3 2 4 3 2" xfId="67"/>
    <cellStyle name="Normal 3 2 4 4" xfId="68"/>
    <cellStyle name="Normal 3 2 5" xfId="69"/>
    <cellStyle name="Normal 3 2 5 2" xfId="70"/>
    <cellStyle name="Normal 3 2 6" xfId="71"/>
    <cellStyle name="Normal 3 2 6 2" xfId="72"/>
    <cellStyle name="Normal 3 2 7" xfId="73"/>
    <cellStyle name="Normal 3 3" xfId="74"/>
    <cellStyle name="Normal 3 3 2" xfId="75"/>
    <cellStyle name="Normal 3 3 2 2" xfId="76"/>
    <cellStyle name="Normal 3 3 2 2 2" xfId="77"/>
    <cellStyle name="Normal 3 3 2 2 2 2" xfId="78"/>
    <cellStyle name="Normal 3 3 2 2 3" xfId="79"/>
    <cellStyle name="Normal 3 3 2 2 3 2" xfId="80"/>
    <cellStyle name="Normal 3 3 2 2 4" xfId="81"/>
    <cellStyle name="Normal 3 3 2 3" xfId="82"/>
    <cellStyle name="Normal 3 3 2 3 2" xfId="83"/>
    <cellStyle name="Normal 3 3 2 4" xfId="84"/>
    <cellStyle name="Normal 3 3 2 4 2" xfId="85"/>
    <cellStyle name="Normal 3 3 2 5" xfId="86"/>
    <cellStyle name="Normal 3 3 3" xfId="87"/>
    <cellStyle name="Normal 3 3 3 2" xfId="88"/>
    <cellStyle name="Normal 3 3 3 2 2" xfId="89"/>
    <cellStyle name="Normal 3 3 3 2 2 2" xfId="90"/>
    <cellStyle name="Normal 3 3 3 2 3" xfId="91"/>
    <cellStyle name="Normal 3 3 3 2 3 2" xfId="92"/>
    <cellStyle name="Normal 3 3 3 2 4" xfId="93"/>
    <cellStyle name="Normal 3 3 3 3" xfId="94"/>
    <cellStyle name="Normal 3 3 3 3 2" xfId="95"/>
    <cellStyle name="Normal 3 3 3 4" xfId="96"/>
    <cellStyle name="Normal 3 3 3 4 2" xfId="97"/>
    <cellStyle name="Normal 3 3 3 5" xfId="98"/>
    <cellStyle name="Normal 3 4" xfId="99"/>
    <cellStyle name="Normal 3 4 2" xfId="100"/>
    <cellStyle name="Normal 3 4 2 2" xfId="101"/>
    <cellStyle name="Normal 3 4 2 2 2" xfId="102"/>
    <cellStyle name="Normal 3 4 2 2 2 2" xfId="103"/>
    <cellStyle name="Normal 3 4 2 2 3" xfId="104"/>
    <cellStyle name="Normal 3 4 2 2 3 2" xfId="105"/>
    <cellStyle name="Normal 3 4 2 2 4" xfId="106"/>
    <cellStyle name="Normal 3 4 2 3" xfId="107"/>
    <cellStyle name="Normal 3 4 2 3 2" xfId="108"/>
    <cellStyle name="Normal 3 4 2 4" xfId="109"/>
    <cellStyle name="Normal 3 4 2 4 2" xfId="110"/>
    <cellStyle name="Normal 3 4 2 5" xfId="111"/>
    <cellStyle name="Normal 3 4 3" xfId="112"/>
    <cellStyle name="Normal 3 4 3 2" xfId="113"/>
    <cellStyle name="Normal 3 4 3 2 2" xfId="114"/>
    <cellStyle name="Normal 3 4 3 3" xfId="115"/>
    <cellStyle name="Normal 3 4 3 3 2" xfId="116"/>
    <cellStyle name="Normal 3 4 3 4" xfId="117"/>
    <cellStyle name="Normal 3 4 4" xfId="118"/>
    <cellStyle name="Normal 3 4 4 2" xfId="119"/>
    <cellStyle name="Normal 3 4 5" xfId="120"/>
    <cellStyle name="Normal 3 4 5 2" xfId="121"/>
    <cellStyle name="Normal 3 4 6" xfId="122"/>
    <cellStyle name="Normal 3 5" xfId="123"/>
    <cellStyle name="Normal 3 5 2" xfId="124"/>
    <cellStyle name="Normal 3 5 2 2" xfId="125"/>
    <cellStyle name="Normal 3 5 2 2 2" xfId="126"/>
    <cellStyle name="Normal 3 5 2 3" xfId="127"/>
    <cellStyle name="Normal 3 5 2 3 2" xfId="128"/>
    <cellStyle name="Normal 3 5 2 4" xfId="129"/>
    <cellStyle name="Normal 3 5 3" xfId="130"/>
    <cellStyle name="Normal 3 5 3 2" xfId="131"/>
    <cellStyle name="Normal 3 5 4" xfId="132"/>
    <cellStyle name="Normal 3 5 4 2" xfId="133"/>
    <cellStyle name="Normal 3 5 5" xfId="134"/>
    <cellStyle name="Normal 3 6" xfId="135"/>
    <cellStyle name="Normal 3 6 2" xfId="136"/>
    <cellStyle name="Normal 3 6 2 2" xfId="137"/>
    <cellStyle name="Normal 3 6 2 2 2" xfId="138"/>
    <cellStyle name="Normal 3 6 2 3" xfId="139"/>
    <cellStyle name="Normal 3 6 2 3 2" xfId="140"/>
    <cellStyle name="Normal 3 6 2 4" xfId="141"/>
    <cellStyle name="Normal 3 6 3" xfId="142"/>
    <cellStyle name="Normal 3 6 3 2" xfId="143"/>
    <cellStyle name="Normal 3 6 4" xfId="144"/>
    <cellStyle name="Normal 3 6 4 2" xfId="145"/>
    <cellStyle name="Normal 3 6 5" xfId="146"/>
    <cellStyle name="Normal 3 7" xfId="619"/>
    <cellStyle name="Normal 3 7 2" xfId="693"/>
    <cellStyle name="Normal 3 7 3" xfId="701"/>
    <cellStyle name="Normal 3 7 4" xfId="702"/>
    <cellStyle name="Normal 3 8" xfId="690"/>
    <cellStyle name="Normal 3 9" xfId="703"/>
    <cellStyle name="Normal 30 2" xfId="147"/>
    <cellStyle name="Normal 30 2 2" xfId="148"/>
    <cellStyle name="Normal 30 2 2 2" xfId="149"/>
    <cellStyle name="Normal 30 2 2 2 2" xfId="150"/>
    <cellStyle name="Normal 30 2 2 3" xfId="151"/>
    <cellStyle name="Normal 30 2 2 3 2" xfId="152"/>
    <cellStyle name="Normal 30 2 2 4" xfId="153"/>
    <cellStyle name="Normal 30 2 3" xfId="154"/>
    <cellStyle name="Normal 30 2 3 2" xfId="155"/>
    <cellStyle name="Normal 30 2 4" xfId="156"/>
    <cellStyle name="Normal 30 2 4 2" xfId="157"/>
    <cellStyle name="Normal 30 2 5" xfId="158"/>
    <cellStyle name="Normal 32 3" xfId="159"/>
    <cellStyle name="Normal 36" xfId="160"/>
    <cellStyle name="Normal 37" xfId="161"/>
    <cellStyle name="Normal 39" xfId="162"/>
    <cellStyle name="Normal 4" xfId="163"/>
    <cellStyle name="Normal 4 2" xfId="164"/>
    <cellStyle name="Normal 4 2 2" xfId="165"/>
    <cellStyle name="Normal 4 2 2 2" xfId="166"/>
    <cellStyle name="Normal 4 2 2 2 2" xfId="167"/>
    <cellStyle name="Normal 4 2 2 2 2 2" xfId="168"/>
    <cellStyle name="Normal 4 2 2 2 3" xfId="169"/>
    <cellStyle name="Normal 4 2 2 2 3 2" xfId="170"/>
    <cellStyle name="Normal 4 2 2 2 4" xfId="171"/>
    <cellStyle name="Normal 4 2 2 3" xfId="172"/>
    <cellStyle name="Normal 4 2 2 3 2" xfId="173"/>
    <cellStyle name="Normal 4 2 2 4" xfId="174"/>
    <cellStyle name="Normal 4 2 2 4 2" xfId="175"/>
    <cellStyle name="Normal 4 2 2 5" xfId="176"/>
    <cellStyle name="Normal 4 2 3" xfId="177"/>
    <cellStyle name="Normal 4 2 3 2" xfId="178"/>
    <cellStyle name="Normal 4 2 3 2 2" xfId="179"/>
    <cellStyle name="Normal 4 2 3 2 2 2" xfId="180"/>
    <cellStyle name="Normal 4 2 3 2 3" xfId="181"/>
    <cellStyle name="Normal 4 2 3 2 3 2" xfId="182"/>
    <cellStyle name="Normal 4 2 3 2 4" xfId="183"/>
    <cellStyle name="Normal 4 2 3 3" xfId="184"/>
    <cellStyle name="Normal 4 2 3 3 2" xfId="185"/>
    <cellStyle name="Normal 4 2 3 4" xfId="186"/>
    <cellStyle name="Normal 4 2 3 4 2" xfId="187"/>
    <cellStyle name="Normal 4 2 3 5" xfId="188"/>
    <cellStyle name="Normal 4 3" xfId="189"/>
    <cellStyle name="Normal 4 3 2" xfId="190"/>
    <cellStyle name="Normal 4 3 2 2" xfId="191"/>
    <cellStyle name="Normal 4 3 2 2 2" xfId="192"/>
    <cellStyle name="Normal 4 3 2 2 2 2" xfId="193"/>
    <cellStyle name="Normal 4 3 2 2 3" xfId="194"/>
    <cellStyle name="Normal 4 3 2 2 3 2" xfId="195"/>
    <cellStyle name="Normal 4 3 2 2 4" xfId="196"/>
    <cellStyle name="Normal 4 3 2 3" xfId="197"/>
    <cellStyle name="Normal 4 3 2 3 2" xfId="198"/>
    <cellStyle name="Normal 4 3 2 4" xfId="199"/>
    <cellStyle name="Normal 4 3 2 4 2" xfId="200"/>
    <cellStyle name="Normal 4 3 2 5" xfId="201"/>
    <cellStyle name="Normal 4 3 3" xfId="202"/>
    <cellStyle name="Normal 4 3 3 2" xfId="203"/>
    <cellStyle name="Normal 4 3 3 2 2" xfId="204"/>
    <cellStyle name="Normal 4 3 3 3" xfId="205"/>
    <cellStyle name="Normal 4 3 3 3 2" xfId="206"/>
    <cellStyle name="Normal 4 3 3 4" xfId="207"/>
    <cellStyle name="Normal 4 3 4" xfId="208"/>
    <cellStyle name="Normal 4 3 4 2" xfId="209"/>
    <cellStyle name="Normal 4 3 5" xfId="210"/>
    <cellStyle name="Normal 4 3 5 2" xfId="211"/>
    <cellStyle name="Normal 4 3 6" xfId="212"/>
    <cellStyle name="Normal 4 4" xfId="213"/>
    <cellStyle name="Normal 4 4 2" xfId="214"/>
    <cellStyle name="Normal 4 4 2 2" xfId="215"/>
    <cellStyle name="Normal 4 4 2 2 2" xfId="216"/>
    <cellStyle name="Normal 4 4 2 2 2 2" xfId="217"/>
    <cellStyle name="Normal 4 4 2 2 3" xfId="218"/>
    <cellStyle name="Normal 4 4 2 2 3 2" xfId="219"/>
    <cellStyle name="Normal 4 4 2 2 4" xfId="220"/>
    <cellStyle name="Normal 4 4 2 3" xfId="221"/>
    <cellStyle name="Normal 4 4 2 3 2" xfId="222"/>
    <cellStyle name="Normal 4 4 2 4" xfId="223"/>
    <cellStyle name="Normal 4 4 2 4 2" xfId="224"/>
    <cellStyle name="Normal 4 4 2 5" xfId="225"/>
    <cellStyle name="Normal 4 4 3" xfId="226"/>
    <cellStyle name="Normal 4 4 3 2" xfId="227"/>
    <cellStyle name="Normal 4 4 3 2 2" xfId="228"/>
    <cellStyle name="Normal 4 4 3 3" xfId="229"/>
    <cellStyle name="Normal 4 4 3 3 2" xfId="230"/>
    <cellStyle name="Normal 4 4 3 4" xfId="231"/>
    <cellStyle name="Normal 4 4 4" xfId="232"/>
    <cellStyle name="Normal 4 4 4 2" xfId="233"/>
    <cellStyle name="Normal 4 4 5" xfId="234"/>
    <cellStyle name="Normal 4 4 5 2" xfId="235"/>
    <cellStyle name="Normal 4 4 6" xfId="236"/>
    <cellStyle name="Normal 4 5" xfId="237"/>
    <cellStyle name="Normal 4 5 2" xfId="238"/>
    <cellStyle name="Normal 4 5 2 2" xfId="239"/>
    <cellStyle name="Normal 4 5 2 2 2" xfId="240"/>
    <cellStyle name="Normal 4 5 2 3" xfId="241"/>
    <cellStyle name="Normal 4 5 2 3 2" xfId="242"/>
    <cellStyle name="Normal 4 5 2 4" xfId="243"/>
    <cellStyle name="Normal 4 5 3" xfId="244"/>
    <cellStyle name="Normal 4 5 3 2" xfId="245"/>
    <cellStyle name="Normal 4 5 4" xfId="246"/>
    <cellStyle name="Normal 4 5 4 2" xfId="247"/>
    <cellStyle name="Normal 4 5 5" xfId="248"/>
    <cellStyle name="Normal 4 6" xfId="249"/>
    <cellStyle name="Normal 4 6 2" xfId="250"/>
    <cellStyle name="Normal 4 6 2 2" xfId="251"/>
    <cellStyle name="Normal 4 6 2 2 2" xfId="252"/>
    <cellStyle name="Normal 4 6 2 3" xfId="253"/>
    <cellStyle name="Normal 4 6 2 3 2" xfId="254"/>
    <cellStyle name="Normal 4 6 2 4" xfId="255"/>
    <cellStyle name="Normal 4 6 3" xfId="256"/>
    <cellStyle name="Normal 4 6 3 2" xfId="257"/>
    <cellStyle name="Normal 4 6 4" xfId="258"/>
    <cellStyle name="Normal 4 6 4 2" xfId="259"/>
    <cellStyle name="Normal 4 6 5" xfId="260"/>
    <cellStyle name="Normal 40" xfId="261"/>
    <cellStyle name="Normal 5" xfId="262"/>
    <cellStyle name="Normal 5 2" xfId="263"/>
    <cellStyle name="Normal 5 2 2" xfId="264"/>
    <cellStyle name="Normal 5 2 2 2" xfId="265"/>
    <cellStyle name="Normal 5 2 2 2 2" xfId="266"/>
    <cellStyle name="Normal 5 2 2 2 2 2" xfId="267"/>
    <cellStyle name="Normal 5 2 2 2 2 2 2" xfId="268"/>
    <cellStyle name="Normal 5 2 2 2 2 3" xfId="269"/>
    <cellStyle name="Normal 5 2 2 2 2 3 2" xfId="270"/>
    <cellStyle name="Normal 5 2 2 2 2 4" xfId="271"/>
    <cellStyle name="Normal 5 2 2 2 3" xfId="272"/>
    <cellStyle name="Normal 5 2 2 2 3 2" xfId="273"/>
    <cellStyle name="Normal 5 2 2 2 4" xfId="274"/>
    <cellStyle name="Normal 5 2 2 2 4 2" xfId="275"/>
    <cellStyle name="Normal 5 2 2 2 5" xfId="276"/>
    <cellStyle name="Normal 5 2 2 3" xfId="277"/>
    <cellStyle name="Normal 5 2 2 3 2" xfId="278"/>
    <cellStyle name="Normal 5 2 2 3 2 2" xfId="279"/>
    <cellStyle name="Normal 5 2 2 3 3" xfId="280"/>
    <cellStyle name="Normal 5 2 2 3 3 2" xfId="281"/>
    <cellStyle name="Normal 5 2 2 3 4" xfId="282"/>
    <cellStyle name="Normal 5 2 2 4" xfId="283"/>
    <cellStyle name="Normal 5 2 2 4 2" xfId="284"/>
    <cellStyle name="Normal 5 2 2 5" xfId="285"/>
    <cellStyle name="Normal 5 2 2 5 2" xfId="286"/>
    <cellStyle name="Normal 5 2 2 6" xfId="287"/>
    <cellStyle name="Normal 5 2 3" xfId="288"/>
    <cellStyle name="Normal 5 2 3 2" xfId="289"/>
    <cellStyle name="Normal 5 2 3 2 2" xfId="290"/>
    <cellStyle name="Normal 5 2 3 2 2 2" xfId="291"/>
    <cellStyle name="Normal 5 2 3 2 2 2 2" xfId="292"/>
    <cellStyle name="Normal 5 2 3 2 2 3" xfId="293"/>
    <cellStyle name="Normal 5 2 3 2 2 3 2" xfId="294"/>
    <cellStyle name="Normal 5 2 3 2 2 4" xfId="295"/>
    <cellStyle name="Normal 5 2 3 2 3" xfId="296"/>
    <cellStyle name="Normal 5 2 3 2 3 2" xfId="297"/>
    <cellStyle name="Normal 5 2 3 2 4" xfId="298"/>
    <cellStyle name="Normal 5 2 3 2 4 2" xfId="299"/>
    <cellStyle name="Normal 5 2 3 2 5" xfId="300"/>
    <cellStyle name="Normal 5 2 3 3" xfId="301"/>
    <cellStyle name="Normal 5 2 3 3 2" xfId="302"/>
    <cellStyle name="Normal 5 2 3 3 2 2" xfId="303"/>
    <cellStyle name="Normal 5 2 3 3 3" xfId="304"/>
    <cellStyle name="Normal 5 2 3 3 3 2" xfId="305"/>
    <cellStyle name="Normal 5 2 3 3 4" xfId="306"/>
    <cellStyle name="Normal 5 2 3 4" xfId="307"/>
    <cellStyle name="Normal 5 2 3 4 2" xfId="308"/>
    <cellStyle name="Normal 5 2 3 5" xfId="309"/>
    <cellStyle name="Normal 5 2 3 5 2" xfId="310"/>
    <cellStyle name="Normal 5 2 3 6" xfId="311"/>
    <cellStyle name="Normal 5 2 4" xfId="312"/>
    <cellStyle name="Normal 5 2 4 2" xfId="313"/>
    <cellStyle name="Normal 5 2 4 2 2" xfId="314"/>
    <cellStyle name="Normal 5 2 4 2 2 2" xfId="315"/>
    <cellStyle name="Normal 5 2 4 2 2 2 2" xfId="316"/>
    <cellStyle name="Normal 5 2 4 2 2 3" xfId="317"/>
    <cellStyle name="Normal 5 2 4 2 2 3 2" xfId="318"/>
    <cellStyle name="Normal 5 2 4 2 2 4" xfId="319"/>
    <cellStyle name="Normal 5 2 4 2 3" xfId="320"/>
    <cellStyle name="Normal 5 2 4 2 3 2" xfId="321"/>
    <cellStyle name="Normal 5 2 4 2 4" xfId="322"/>
    <cellStyle name="Normal 5 2 4 2 4 2" xfId="323"/>
    <cellStyle name="Normal 5 2 4 2 5" xfId="324"/>
    <cellStyle name="Normal 5 2 4 3" xfId="325"/>
    <cellStyle name="Normal 5 2 4 3 2" xfId="326"/>
    <cellStyle name="Normal 5 2 4 3 2 2" xfId="327"/>
    <cellStyle name="Normal 5 2 4 3 3" xfId="328"/>
    <cellStyle name="Normal 5 2 4 3 3 2" xfId="329"/>
    <cellStyle name="Normal 5 2 4 3 4" xfId="330"/>
    <cellStyle name="Normal 5 2 4 4" xfId="331"/>
    <cellStyle name="Normal 5 2 4 4 2" xfId="332"/>
    <cellStyle name="Normal 5 2 4 5" xfId="333"/>
    <cellStyle name="Normal 5 2 4 5 2" xfId="334"/>
    <cellStyle name="Normal 5 2 4 6" xfId="335"/>
    <cellStyle name="Normal 5 2 5" xfId="336"/>
    <cellStyle name="Normal 5 2 5 2" xfId="337"/>
    <cellStyle name="Normal 5 2 5 2 2" xfId="338"/>
    <cellStyle name="Normal 5 2 5 2 2 2" xfId="339"/>
    <cellStyle name="Normal 5 2 5 2 3" xfId="340"/>
    <cellStyle name="Normal 5 2 5 2 3 2" xfId="341"/>
    <cellStyle name="Normal 5 2 5 2 4" xfId="342"/>
    <cellStyle name="Normal 5 2 5 3" xfId="343"/>
    <cellStyle name="Normal 5 2 5 3 2" xfId="344"/>
    <cellStyle name="Normal 5 2 5 4" xfId="345"/>
    <cellStyle name="Normal 5 2 5 4 2" xfId="346"/>
    <cellStyle name="Normal 5 2 5 5" xfId="347"/>
    <cellStyle name="Normal 5 2 6" xfId="348"/>
    <cellStyle name="Normal 5 2 6 2" xfId="349"/>
    <cellStyle name="Normal 5 2 6 2 2" xfId="350"/>
    <cellStyle name="Normal 5 2 6 2 2 2" xfId="351"/>
    <cellStyle name="Normal 5 2 6 2 3" xfId="352"/>
    <cellStyle name="Normal 5 2 6 2 3 2" xfId="353"/>
    <cellStyle name="Normal 5 2 6 2 4" xfId="354"/>
    <cellStyle name="Normal 5 2 6 3" xfId="355"/>
    <cellStyle name="Normal 5 2 6 3 2" xfId="356"/>
    <cellStyle name="Normal 5 2 6 4" xfId="357"/>
    <cellStyle name="Normal 5 2 6 4 2" xfId="358"/>
    <cellStyle name="Normal 5 2 6 5" xfId="359"/>
    <cellStyle name="Normal 5 3" xfId="360"/>
    <cellStyle name="Normal 5 3 2" xfId="361"/>
    <cellStyle name="Normal 5 3 2 2" xfId="362"/>
    <cellStyle name="Normal 5 3 3" xfId="363"/>
    <cellStyle name="Normal 5 3 3 2" xfId="364"/>
    <cellStyle name="Normal 5 3 4" xfId="365"/>
    <cellStyle name="Normal 5 4" xfId="366"/>
    <cellStyle name="Normal 5 4 2" xfId="367"/>
    <cellStyle name="Normal 5 5" xfId="368"/>
    <cellStyle name="Normal 5 5 2" xfId="369"/>
    <cellStyle name="Normal 5 6" xfId="370"/>
    <cellStyle name="Normal 6" xfId="371"/>
    <cellStyle name="Normal 6 2" xfId="372"/>
    <cellStyle name="Normal 7" xfId="373"/>
    <cellStyle name="Normal 70 2" xfId="374"/>
    <cellStyle name="Normal 70 2 2" xfId="375"/>
    <cellStyle name="Normal 70 2 2 2" xfId="376"/>
    <cellStyle name="Normal 70 2 2 2 2" xfId="377"/>
    <cellStyle name="Normal 70 2 2 3" xfId="378"/>
    <cellStyle name="Normal 70 2 2 3 2" xfId="379"/>
    <cellStyle name="Normal 70 2 2 4" xfId="380"/>
    <cellStyle name="Normal 70 2 3" xfId="381"/>
    <cellStyle name="Normal 70 2 3 2" xfId="382"/>
    <cellStyle name="Normal 70 2 4" xfId="383"/>
    <cellStyle name="Normal 70 2 4 2" xfId="384"/>
    <cellStyle name="Normal 70 2 5" xfId="385"/>
    <cellStyle name="Normal 72 2" xfId="386"/>
    <cellStyle name="Normal 72 2 2" xfId="387"/>
    <cellStyle name="Normal 72 2 2 2" xfId="388"/>
    <cellStyle name="Normal 72 2 2 2 2" xfId="389"/>
    <cellStyle name="Normal 72 2 2 3" xfId="390"/>
    <cellStyle name="Normal 72 2 2 3 2" xfId="391"/>
    <cellStyle name="Normal 72 2 2 4" xfId="392"/>
    <cellStyle name="Normal 72 2 3" xfId="393"/>
    <cellStyle name="Normal 72 2 3 2" xfId="394"/>
    <cellStyle name="Normal 72 2 4" xfId="395"/>
    <cellStyle name="Normal 72 2 4 2" xfId="396"/>
    <cellStyle name="Normal 72 2 5" xfId="397"/>
    <cellStyle name="Normal 8" xfId="398"/>
    <cellStyle name="Normal 8 2" xfId="399"/>
    <cellStyle name="Normal 8 3" xfId="620"/>
    <cellStyle name="Normal 8 3 2" xfId="694"/>
    <cellStyle name="Normal 8 3 3" xfId="704"/>
    <cellStyle name="Normal 8 3 4" xfId="705"/>
    <cellStyle name="Normal 8 4" xfId="691"/>
    <cellStyle name="Normal 8 5" xfId="706"/>
    <cellStyle name="Normal 8 6" xfId="707"/>
    <cellStyle name="Normal 80 2" xfId="400"/>
    <cellStyle name="Normal 9" xfId="401"/>
    <cellStyle name="Normal 9 2" xfId="402"/>
    <cellStyle name="Normal 9 3" xfId="403"/>
    <cellStyle name="Normal 9 3 2" xfId="404"/>
    <cellStyle name="Normal 9 4" xfId="405"/>
    <cellStyle name="Normal 9 4 2" xfId="406"/>
    <cellStyle name="Normal 9 5" xfId="407"/>
    <cellStyle name="Note 2" xfId="408"/>
    <cellStyle name="Note 2 2" xfId="689"/>
    <cellStyle name="Note 2 3" xfId="675"/>
    <cellStyle name="Note 2 4" xfId="661"/>
    <cellStyle name="OK Heading" xfId="409"/>
    <cellStyle name="OK Heading 10" xfId="410"/>
    <cellStyle name="OK Heading 100" xfId="411"/>
    <cellStyle name="OK Heading 11" xfId="412"/>
    <cellStyle name="OK Heading 12" xfId="413"/>
    <cellStyle name="OK Heading 13" xfId="414"/>
    <cellStyle name="OK Heading 14" xfId="415"/>
    <cellStyle name="OK Heading 15" xfId="416"/>
    <cellStyle name="OK Heading 16" xfId="417"/>
    <cellStyle name="OK Heading 17" xfId="418"/>
    <cellStyle name="OK Heading 18" xfId="419"/>
    <cellStyle name="OK Heading 19" xfId="420"/>
    <cellStyle name="OK Heading 2" xfId="421"/>
    <cellStyle name="OK Heading 2 2" xfId="422"/>
    <cellStyle name="OK Heading 20" xfId="423"/>
    <cellStyle name="OK Heading 21" xfId="424"/>
    <cellStyle name="OK Heading 22" xfId="425"/>
    <cellStyle name="OK Heading 23" xfId="426"/>
    <cellStyle name="OK Heading 24" xfId="427"/>
    <cellStyle name="OK Heading 25" xfId="428"/>
    <cellStyle name="OK Heading 26" xfId="429"/>
    <cellStyle name="OK Heading 27" xfId="430"/>
    <cellStyle name="OK Heading 28" xfId="431"/>
    <cellStyle name="OK Heading 29" xfId="432"/>
    <cellStyle name="OK Heading 3" xfId="433"/>
    <cellStyle name="OK Heading 30" xfId="434"/>
    <cellStyle name="OK Heading 31" xfId="435"/>
    <cellStyle name="OK Heading 32" xfId="436"/>
    <cellStyle name="OK Heading 33" xfId="437"/>
    <cellStyle name="OK Heading 34" xfId="438"/>
    <cellStyle name="OK Heading 35" xfId="439"/>
    <cellStyle name="OK Heading 36" xfId="440"/>
    <cellStyle name="OK Heading 37" xfId="441"/>
    <cellStyle name="OK Heading 38" xfId="442"/>
    <cellStyle name="OK Heading 39" xfId="443"/>
    <cellStyle name="OK Heading 4" xfId="444"/>
    <cellStyle name="OK Heading 40" xfId="445"/>
    <cellStyle name="OK Heading 41" xfId="446"/>
    <cellStyle name="OK Heading 42" xfId="447"/>
    <cellStyle name="OK Heading 43" xfId="448"/>
    <cellStyle name="OK Heading 44" xfId="449"/>
    <cellStyle name="OK Heading 45" xfId="450"/>
    <cellStyle name="OK Heading 46" xfId="451"/>
    <cellStyle name="OK Heading 47" xfId="452"/>
    <cellStyle name="OK Heading 48" xfId="453"/>
    <cellStyle name="OK Heading 49" xfId="454"/>
    <cellStyle name="OK Heading 5" xfId="455"/>
    <cellStyle name="OK Heading 50" xfId="456"/>
    <cellStyle name="OK Heading 51" xfId="457"/>
    <cellStyle name="OK Heading 52" xfId="458"/>
    <cellStyle name="OK Heading 53" xfId="459"/>
    <cellStyle name="OK Heading 54" xfId="460"/>
    <cellStyle name="OK Heading 55" xfId="461"/>
    <cellStyle name="OK Heading 56" xfId="462"/>
    <cellStyle name="OK Heading 57" xfId="463"/>
    <cellStyle name="OK Heading 58" xfId="464"/>
    <cellStyle name="OK Heading 59" xfId="465"/>
    <cellStyle name="OK Heading 6" xfId="466"/>
    <cellStyle name="OK Heading 60" xfId="467"/>
    <cellStyle name="OK Heading 61" xfId="468"/>
    <cellStyle name="OK Heading 62" xfId="469"/>
    <cellStyle name="OK Heading 63" xfId="470"/>
    <cellStyle name="OK Heading 64" xfId="471"/>
    <cellStyle name="OK Heading 65" xfId="472"/>
    <cellStyle name="OK Heading 66" xfId="473"/>
    <cellStyle name="OK Heading 67" xfId="474"/>
    <cellStyle name="OK Heading 68" xfId="475"/>
    <cellStyle name="OK Heading 69" xfId="476"/>
    <cellStyle name="OK Heading 7" xfId="477"/>
    <cellStyle name="OK Heading 70" xfId="478"/>
    <cellStyle name="OK Heading 71" xfId="479"/>
    <cellStyle name="OK Heading 72" xfId="480"/>
    <cellStyle name="OK Heading 73" xfId="481"/>
    <cellStyle name="OK Heading 74" xfId="482"/>
    <cellStyle name="OK Heading 75" xfId="483"/>
    <cellStyle name="OK Heading 76" xfId="484"/>
    <cellStyle name="OK Heading 77" xfId="485"/>
    <cellStyle name="OK Heading 78" xfId="486"/>
    <cellStyle name="OK Heading 79" xfId="487"/>
    <cellStyle name="OK Heading 8" xfId="488"/>
    <cellStyle name="OK Heading 80" xfId="489"/>
    <cellStyle name="OK Heading 81" xfId="490"/>
    <cellStyle name="OK Heading 82" xfId="491"/>
    <cellStyle name="OK Heading 83" xfId="492"/>
    <cellStyle name="OK Heading 84" xfId="493"/>
    <cellStyle name="OK Heading 85" xfId="494"/>
    <cellStyle name="OK Heading 86" xfId="495"/>
    <cellStyle name="OK Heading 87" xfId="496"/>
    <cellStyle name="OK Heading 88" xfId="497"/>
    <cellStyle name="OK Heading 89" xfId="498"/>
    <cellStyle name="OK Heading 9" xfId="499"/>
    <cellStyle name="OK Heading 90" xfId="500"/>
    <cellStyle name="OK Heading 91" xfId="501"/>
    <cellStyle name="OK Heading 92" xfId="502"/>
    <cellStyle name="OK Heading 93" xfId="503"/>
    <cellStyle name="OK Heading 94" xfId="504"/>
    <cellStyle name="OK Heading 95" xfId="505"/>
    <cellStyle name="OK Heading 96" xfId="506"/>
    <cellStyle name="OK Heading 97" xfId="507"/>
    <cellStyle name="OK Heading 98" xfId="508"/>
    <cellStyle name="OK Heading 99" xfId="509"/>
    <cellStyle name="Output" xfId="630" builtinId="21" customBuiltin="1"/>
    <cellStyle name="Percent 5" xfId="510"/>
    <cellStyle name="Percent 5 2" xfId="511"/>
    <cellStyle name="Report Body" xfId="512"/>
    <cellStyle name="Report Heading" xfId="513"/>
    <cellStyle name="SOO Table Footnote" xfId="514"/>
    <cellStyle name="SOO Table Footnote 2" xfId="515"/>
    <cellStyle name="Sub Heading" xfId="516"/>
    <cellStyle name="Sub Heading 10" xfId="517"/>
    <cellStyle name="Sub Heading 100" xfId="518"/>
    <cellStyle name="Sub Heading 11" xfId="519"/>
    <cellStyle name="Sub Heading 12" xfId="520"/>
    <cellStyle name="Sub Heading 13" xfId="521"/>
    <cellStyle name="Sub Heading 14" xfId="522"/>
    <cellStyle name="Sub Heading 15" xfId="523"/>
    <cellStyle name="Sub Heading 16" xfId="524"/>
    <cellStyle name="Sub Heading 17" xfId="525"/>
    <cellStyle name="Sub Heading 18" xfId="526"/>
    <cellStyle name="Sub Heading 19" xfId="527"/>
    <cellStyle name="Sub Heading 2" xfId="528"/>
    <cellStyle name="Sub Heading 2 2" xfId="529"/>
    <cellStyle name="Sub Heading 20" xfId="530"/>
    <cellStyle name="Sub Heading 21" xfId="531"/>
    <cellStyle name="Sub Heading 22" xfId="532"/>
    <cellStyle name="Sub Heading 23" xfId="533"/>
    <cellStyle name="Sub Heading 24" xfId="534"/>
    <cellStyle name="Sub Heading 25" xfId="535"/>
    <cellStyle name="Sub Heading 26" xfId="536"/>
    <cellStyle name="Sub Heading 27" xfId="537"/>
    <cellStyle name="Sub Heading 28" xfId="538"/>
    <cellStyle name="Sub Heading 29" xfId="539"/>
    <cellStyle name="Sub Heading 3" xfId="540"/>
    <cellStyle name="Sub Heading 30" xfId="541"/>
    <cellStyle name="Sub Heading 31" xfId="542"/>
    <cellStyle name="Sub Heading 32" xfId="543"/>
    <cellStyle name="Sub Heading 33" xfId="544"/>
    <cellStyle name="Sub Heading 34" xfId="545"/>
    <cellStyle name="Sub Heading 35" xfId="546"/>
    <cellStyle name="Sub Heading 36" xfId="547"/>
    <cellStyle name="Sub Heading 37" xfId="548"/>
    <cellStyle name="Sub Heading 38" xfId="549"/>
    <cellStyle name="Sub Heading 39" xfId="550"/>
    <cellStyle name="Sub Heading 4" xfId="551"/>
    <cellStyle name="Sub Heading 40" xfId="552"/>
    <cellStyle name="Sub Heading 41" xfId="553"/>
    <cellStyle name="Sub Heading 42" xfId="554"/>
    <cellStyle name="Sub Heading 43" xfId="555"/>
    <cellStyle name="Sub Heading 44" xfId="556"/>
    <cellStyle name="Sub Heading 45" xfId="557"/>
    <cellStyle name="Sub Heading 46" xfId="558"/>
    <cellStyle name="Sub Heading 47" xfId="559"/>
    <cellStyle name="Sub Heading 48" xfId="560"/>
    <cellStyle name="Sub Heading 49" xfId="561"/>
    <cellStyle name="Sub Heading 5" xfId="562"/>
    <cellStyle name="Sub Heading 50" xfId="563"/>
    <cellStyle name="Sub Heading 51" xfId="564"/>
    <cellStyle name="Sub Heading 52" xfId="565"/>
    <cellStyle name="Sub Heading 53" xfId="566"/>
    <cellStyle name="Sub Heading 54" xfId="567"/>
    <cellStyle name="Sub Heading 55" xfId="568"/>
    <cellStyle name="Sub Heading 56" xfId="569"/>
    <cellStyle name="Sub Heading 57" xfId="570"/>
    <cellStyle name="Sub Heading 58" xfId="571"/>
    <cellStyle name="Sub Heading 59" xfId="572"/>
    <cellStyle name="Sub Heading 6" xfId="573"/>
    <cellStyle name="Sub Heading 60" xfId="574"/>
    <cellStyle name="Sub Heading 61" xfId="575"/>
    <cellStyle name="Sub Heading 62" xfId="576"/>
    <cellStyle name="Sub Heading 63" xfId="577"/>
    <cellStyle name="Sub Heading 64" xfId="578"/>
    <cellStyle name="Sub Heading 65" xfId="579"/>
    <cellStyle name="Sub Heading 66" xfId="580"/>
    <cellStyle name="Sub Heading 67" xfId="581"/>
    <cellStyle name="Sub Heading 68" xfId="582"/>
    <cellStyle name="Sub Heading 69" xfId="583"/>
    <cellStyle name="Sub Heading 7" xfId="584"/>
    <cellStyle name="Sub Heading 70" xfId="585"/>
    <cellStyle name="Sub Heading 71" xfId="586"/>
    <cellStyle name="Sub Heading 72" xfId="587"/>
    <cellStyle name="Sub Heading 73" xfId="588"/>
    <cellStyle name="Sub Heading 74" xfId="589"/>
    <cellStyle name="Sub Heading 75" xfId="590"/>
    <cellStyle name="Sub Heading 76" xfId="591"/>
    <cellStyle name="Sub Heading 77" xfId="592"/>
    <cellStyle name="Sub Heading 78" xfId="593"/>
    <cellStyle name="Sub Heading 79" xfId="594"/>
    <cellStyle name="Sub Heading 8" xfId="595"/>
    <cellStyle name="Sub Heading 80" xfId="596"/>
    <cellStyle name="Sub Heading 81" xfId="597"/>
    <cellStyle name="Sub Heading 82" xfId="598"/>
    <cellStyle name="Sub Heading 83" xfId="599"/>
    <cellStyle name="Sub Heading 84" xfId="600"/>
    <cellStyle name="Sub Heading 85" xfId="601"/>
    <cellStyle name="Sub Heading 86" xfId="602"/>
    <cellStyle name="Sub Heading 87" xfId="603"/>
    <cellStyle name="Sub Heading 88" xfId="604"/>
    <cellStyle name="Sub Heading 89" xfId="605"/>
    <cellStyle name="Sub Heading 9" xfId="606"/>
    <cellStyle name="Sub Heading 90" xfId="607"/>
    <cellStyle name="Sub Heading 91" xfId="608"/>
    <cellStyle name="Sub Heading 92" xfId="609"/>
    <cellStyle name="Sub Heading 93" xfId="610"/>
    <cellStyle name="Sub Heading 94" xfId="611"/>
    <cellStyle name="Sub Heading 95" xfId="612"/>
    <cellStyle name="Sub Heading 96" xfId="613"/>
    <cellStyle name="Sub Heading 97" xfId="614"/>
    <cellStyle name="Sub Heading 98" xfId="615"/>
    <cellStyle name="Sub Heading 99" xfId="616"/>
    <cellStyle name="Title" xfId="621" builtinId="15" customBuiltin="1"/>
    <cellStyle name="Total" xfId="636" builtinId="25" customBuiltin="1"/>
    <cellStyle name="Warning Text" xfId="634" builtinId="11" customBuiltin="1"/>
  </cellStyles>
  <dxfs count="0"/>
  <tableStyles count="0" defaultTableStyle="TableStyleMedium2" defaultPivotStyle="PivotStyleLight16"/>
  <colors>
    <mruColors>
      <color rgb="FFC41230"/>
      <color rgb="FFADE0EE"/>
      <color rgb="FFC0AF2C"/>
      <color rgb="FFFBB483"/>
      <color rgb="FFCB7E80"/>
      <color rgb="FFA9C3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3.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5.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theme" Target="theme/theme1.xml"/><Relationship Id="rId5" Type="http://schemas.openxmlformats.org/officeDocument/2006/relationships/worksheet" Target="worksheets/sheet4.xml"/><Relationship Id="rId15" Type="http://schemas.openxmlformats.org/officeDocument/2006/relationships/customXml" Target="../customXml/item1.xml"/><Relationship Id="rId10" Type="http://schemas.openxmlformats.org/officeDocument/2006/relationships/worksheet" Target="worksheets/sheet7.xml"/><Relationship Id="rId4" Type="http://schemas.openxmlformats.org/officeDocument/2006/relationships/chartsheet" Target="chartsheets/sheet1.xml"/><Relationship Id="rId9" Type="http://schemas.openxmlformats.org/officeDocument/2006/relationships/worksheet" Target="worksheets/sheet6.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526772857308464"/>
          <c:y val="3.2648402413411041E-2"/>
          <c:w val="0.84059724936764346"/>
          <c:h val="0.66226524758683436"/>
        </c:manualLayout>
      </c:layout>
      <c:barChart>
        <c:barDir val="col"/>
        <c:grouping val="stacked"/>
        <c:varyColors val="0"/>
        <c:ser>
          <c:idx val="0"/>
          <c:order val="0"/>
          <c:tx>
            <c:strRef>
              <c:f>'NEMInstalledCapacity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47-1D81-40FA-98E8-636C23DC9EB6}"/>
              </c:ext>
            </c:extLst>
          </c:dPt>
          <c:dPt>
            <c:idx val="1"/>
            <c:invertIfNegative val="0"/>
            <c:bubble3D val="0"/>
            <c:extLst>
              <c:ext xmlns:c16="http://schemas.microsoft.com/office/drawing/2014/chart" uri="{C3380CC4-5D6E-409C-BE32-E72D297353CC}">
                <c16:uniqueId val="{00000149-1D81-40FA-98E8-636C23DC9EB6}"/>
              </c:ext>
            </c:extLst>
          </c:dPt>
          <c:dPt>
            <c:idx val="2"/>
            <c:invertIfNegative val="0"/>
            <c:bubble3D val="0"/>
            <c:extLst>
              <c:ext xmlns:c16="http://schemas.microsoft.com/office/drawing/2014/chart" uri="{C3380CC4-5D6E-409C-BE32-E72D297353CC}">
                <c16:uniqueId val="{0000014B-1D81-40FA-98E8-636C23DC9EB6}"/>
              </c:ext>
            </c:extLst>
          </c:dPt>
          <c:dPt>
            <c:idx val="3"/>
            <c:invertIfNegative val="0"/>
            <c:bubble3D val="0"/>
            <c:extLst>
              <c:ext xmlns:c16="http://schemas.microsoft.com/office/drawing/2014/chart" uri="{C3380CC4-5D6E-409C-BE32-E72D297353CC}">
                <c16:uniqueId val="{0000014D-1D81-40FA-98E8-636C23DC9EB6}"/>
              </c:ext>
            </c:extLst>
          </c:dPt>
          <c:dPt>
            <c:idx val="4"/>
            <c:invertIfNegative val="0"/>
            <c:bubble3D val="0"/>
            <c:extLst>
              <c:ext xmlns:c16="http://schemas.microsoft.com/office/drawing/2014/chart" uri="{C3380CC4-5D6E-409C-BE32-E72D297353CC}">
                <c16:uniqueId val="{0000014F-1D81-40FA-98E8-636C23DC9EB6}"/>
              </c:ext>
            </c:extLst>
          </c:dPt>
          <c:dPt>
            <c:idx val="5"/>
            <c:invertIfNegative val="0"/>
            <c:bubble3D val="0"/>
            <c:extLst>
              <c:ext xmlns:c16="http://schemas.microsoft.com/office/drawing/2014/chart" uri="{C3380CC4-5D6E-409C-BE32-E72D297353CC}">
                <c16:uniqueId val="{00000151-1D81-40FA-98E8-636C23DC9EB6}"/>
              </c:ext>
            </c:extLst>
          </c:dPt>
          <c:dPt>
            <c:idx val="6"/>
            <c:invertIfNegative val="0"/>
            <c:bubble3D val="0"/>
            <c:extLst>
              <c:ext xmlns:c16="http://schemas.microsoft.com/office/drawing/2014/chart" uri="{C3380CC4-5D6E-409C-BE32-E72D297353CC}">
                <c16:uniqueId val="{00000153-1D81-40FA-98E8-636C23DC9EB6}"/>
              </c:ext>
            </c:extLst>
          </c:dPt>
          <c:dPt>
            <c:idx val="7"/>
            <c:invertIfNegative val="0"/>
            <c:bubble3D val="0"/>
            <c:extLst>
              <c:ext xmlns:c16="http://schemas.microsoft.com/office/drawing/2014/chart" uri="{C3380CC4-5D6E-409C-BE32-E72D297353CC}">
                <c16:uniqueId val="{00000155-1D81-40FA-98E8-636C23DC9EB6}"/>
              </c:ext>
            </c:extLst>
          </c:dPt>
          <c:dPt>
            <c:idx val="8"/>
            <c:invertIfNegative val="0"/>
            <c:bubble3D val="0"/>
            <c:extLst>
              <c:ext xmlns:c16="http://schemas.microsoft.com/office/drawing/2014/chart" uri="{C3380CC4-5D6E-409C-BE32-E72D297353CC}">
                <c16:uniqueId val="{00000157-1D81-40FA-98E8-636C23DC9EB6}"/>
              </c:ext>
            </c:extLst>
          </c:dPt>
          <c:dPt>
            <c:idx val="9"/>
            <c:invertIfNegative val="0"/>
            <c:bubble3D val="0"/>
            <c:extLst>
              <c:ext xmlns:c16="http://schemas.microsoft.com/office/drawing/2014/chart" uri="{C3380CC4-5D6E-409C-BE32-E72D297353CC}">
                <c16:uniqueId val="{00000159-1D81-40FA-98E8-636C23DC9EB6}"/>
              </c:ext>
            </c:extLst>
          </c:dPt>
          <c:dPt>
            <c:idx val="10"/>
            <c:invertIfNegative val="0"/>
            <c:bubble3D val="0"/>
            <c:extLst>
              <c:ext xmlns:c16="http://schemas.microsoft.com/office/drawing/2014/chart" uri="{C3380CC4-5D6E-409C-BE32-E72D297353CC}">
                <c16:uniqueId val="{0000015B-1D81-40FA-98E8-636C23DC9EB6}"/>
              </c:ext>
            </c:extLst>
          </c:dPt>
          <c:dPt>
            <c:idx val="11"/>
            <c:invertIfNegative val="0"/>
            <c:bubble3D val="0"/>
            <c:extLst>
              <c:ext xmlns:c16="http://schemas.microsoft.com/office/drawing/2014/chart" uri="{C3380CC4-5D6E-409C-BE32-E72D297353CC}">
                <c16:uniqueId val="{0000015D-1D81-40FA-98E8-636C23DC9EB6}"/>
              </c:ext>
            </c:extLst>
          </c:dPt>
          <c:dPt>
            <c:idx val="12"/>
            <c:invertIfNegative val="0"/>
            <c:bubble3D val="0"/>
            <c:extLst>
              <c:ext xmlns:c16="http://schemas.microsoft.com/office/drawing/2014/chart" uri="{C3380CC4-5D6E-409C-BE32-E72D297353CC}">
                <c16:uniqueId val="{0000015F-1D81-40FA-98E8-636C23DC9EB6}"/>
              </c:ext>
            </c:extLst>
          </c:dPt>
          <c:dPt>
            <c:idx val="13"/>
            <c:invertIfNegative val="0"/>
            <c:bubble3D val="0"/>
            <c:extLst>
              <c:ext xmlns:c16="http://schemas.microsoft.com/office/drawing/2014/chart" uri="{C3380CC4-5D6E-409C-BE32-E72D297353CC}">
                <c16:uniqueId val="{00000161-1D81-40FA-98E8-636C23DC9EB6}"/>
              </c:ext>
            </c:extLst>
          </c:dPt>
          <c:dPt>
            <c:idx val="14"/>
            <c:invertIfNegative val="0"/>
            <c:bubble3D val="0"/>
            <c:extLst>
              <c:ext xmlns:c16="http://schemas.microsoft.com/office/drawing/2014/chart" uri="{C3380CC4-5D6E-409C-BE32-E72D297353CC}">
                <c16:uniqueId val="{00000163-1D81-40FA-98E8-636C23DC9EB6}"/>
              </c:ext>
            </c:extLst>
          </c:dPt>
          <c:dPt>
            <c:idx val="15"/>
            <c:invertIfNegative val="0"/>
            <c:bubble3D val="0"/>
            <c:extLst>
              <c:ext xmlns:c16="http://schemas.microsoft.com/office/drawing/2014/chart" uri="{C3380CC4-5D6E-409C-BE32-E72D297353CC}">
                <c16:uniqueId val="{00000165-1D81-40FA-98E8-636C23DC9EB6}"/>
              </c:ext>
            </c:extLst>
          </c:dPt>
          <c:dPt>
            <c:idx val="16"/>
            <c:invertIfNegative val="0"/>
            <c:bubble3D val="0"/>
            <c:extLst>
              <c:ext xmlns:c16="http://schemas.microsoft.com/office/drawing/2014/chart" uri="{C3380CC4-5D6E-409C-BE32-E72D297353CC}">
                <c16:uniqueId val="{00000167-1D81-40FA-98E8-636C23DC9EB6}"/>
              </c:ext>
            </c:extLst>
          </c:dPt>
          <c:dPt>
            <c:idx val="17"/>
            <c:invertIfNegative val="0"/>
            <c:bubble3D val="0"/>
            <c:extLst>
              <c:ext xmlns:c16="http://schemas.microsoft.com/office/drawing/2014/chart" uri="{C3380CC4-5D6E-409C-BE32-E72D297353CC}">
                <c16:uniqueId val="{00000169-1D81-40FA-98E8-636C23DC9EB6}"/>
              </c:ext>
            </c:extLst>
          </c:dPt>
          <c:dPt>
            <c:idx val="18"/>
            <c:invertIfNegative val="0"/>
            <c:bubble3D val="0"/>
            <c:extLst>
              <c:ext xmlns:c16="http://schemas.microsoft.com/office/drawing/2014/chart" uri="{C3380CC4-5D6E-409C-BE32-E72D297353CC}">
                <c16:uniqueId val="{0000016B-1D81-40FA-98E8-636C23DC9EB6}"/>
              </c:ext>
            </c:extLst>
          </c:dPt>
          <c:dPt>
            <c:idx val="19"/>
            <c:invertIfNegative val="0"/>
            <c:bubble3D val="0"/>
            <c:extLst>
              <c:ext xmlns:c16="http://schemas.microsoft.com/office/drawing/2014/chart" uri="{C3380CC4-5D6E-409C-BE32-E72D297353CC}">
                <c16:uniqueId val="{0000016D-1D81-40FA-98E8-636C23DC9EB6}"/>
              </c:ext>
            </c:extLst>
          </c:dPt>
          <c:dPt>
            <c:idx val="20"/>
            <c:invertIfNegative val="0"/>
            <c:bubble3D val="0"/>
            <c:extLst>
              <c:ext xmlns:c16="http://schemas.microsoft.com/office/drawing/2014/chart" uri="{C3380CC4-5D6E-409C-BE32-E72D297353CC}">
                <c16:uniqueId val="{0000016F-1D81-40FA-98E8-636C23DC9EB6}"/>
              </c:ext>
            </c:extLst>
          </c:dPt>
          <c:dPt>
            <c:idx val="21"/>
            <c:invertIfNegative val="0"/>
            <c:bubble3D val="0"/>
            <c:extLst>
              <c:ext xmlns:c16="http://schemas.microsoft.com/office/drawing/2014/chart" uri="{C3380CC4-5D6E-409C-BE32-E72D297353CC}">
                <c16:uniqueId val="{00000171-1D81-40FA-98E8-636C23DC9EB6}"/>
              </c:ext>
            </c:extLst>
          </c:dPt>
          <c:dPt>
            <c:idx val="22"/>
            <c:invertIfNegative val="0"/>
            <c:bubble3D val="0"/>
            <c:extLst>
              <c:ext xmlns:c16="http://schemas.microsoft.com/office/drawing/2014/chart" uri="{C3380CC4-5D6E-409C-BE32-E72D297353CC}">
                <c16:uniqueId val="{00000173-1D81-40FA-98E8-636C23DC9EB6}"/>
              </c:ext>
            </c:extLst>
          </c:dPt>
          <c:dPt>
            <c:idx val="23"/>
            <c:invertIfNegative val="0"/>
            <c:bubble3D val="0"/>
            <c:extLst>
              <c:ext xmlns:c16="http://schemas.microsoft.com/office/drawing/2014/chart" uri="{C3380CC4-5D6E-409C-BE32-E72D297353CC}">
                <c16:uniqueId val="{00000175-1D81-40FA-98E8-636C23DC9EB6}"/>
              </c:ext>
            </c:extLst>
          </c:dPt>
          <c:dPt>
            <c:idx val="24"/>
            <c:invertIfNegative val="0"/>
            <c:bubble3D val="0"/>
            <c:extLst>
              <c:ext xmlns:c16="http://schemas.microsoft.com/office/drawing/2014/chart" uri="{C3380CC4-5D6E-409C-BE32-E72D297353CC}">
                <c16:uniqueId val="{00000177-1D81-40FA-98E8-636C23DC9EB6}"/>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Data'!$C$3:$X$3</c:f>
              <c:numCache>
                <c:formatCode>#,##0_ ;\-#,##0\ </c:formatCode>
                <c:ptCount val="22"/>
                <c:pt idx="0">
                  <c:v>18219</c:v>
                </c:pt>
                <c:pt idx="1">
                  <c:v>18219</c:v>
                </c:pt>
                <c:pt idx="2">
                  <c:v>18219</c:v>
                </c:pt>
                <c:pt idx="3">
                  <c:v>18219</c:v>
                </c:pt>
                <c:pt idx="4">
                  <c:v>16419</c:v>
                </c:pt>
                <c:pt idx="5">
                  <c:v>16419</c:v>
                </c:pt>
                <c:pt idx="6">
                  <c:v>16419</c:v>
                </c:pt>
                <c:pt idx="7">
                  <c:v>16419</c:v>
                </c:pt>
                <c:pt idx="8">
                  <c:v>16054</c:v>
                </c:pt>
                <c:pt idx="9">
                  <c:v>16054</c:v>
                </c:pt>
                <c:pt idx="10">
                  <c:v>14734</c:v>
                </c:pt>
                <c:pt idx="11">
                  <c:v>13054</c:v>
                </c:pt>
                <c:pt idx="12">
                  <c:v>13054</c:v>
                </c:pt>
                <c:pt idx="13">
                  <c:v>13054</c:v>
                </c:pt>
                <c:pt idx="14">
                  <c:v>13054</c:v>
                </c:pt>
                <c:pt idx="15">
                  <c:v>13054</c:v>
                </c:pt>
                <c:pt idx="16">
                  <c:v>10174</c:v>
                </c:pt>
                <c:pt idx="17">
                  <c:v>7534</c:v>
                </c:pt>
                <c:pt idx="18">
                  <c:v>6134</c:v>
                </c:pt>
                <c:pt idx="19">
                  <c:v>6134</c:v>
                </c:pt>
                <c:pt idx="20">
                  <c:v>5434</c:v>
                </c:pt>
                <c:pt idx="21">
                  <c:v>5434</c:v>
                </c:pt>
              </c:numCache>
            </c:numRef>
          </c:val>
          <c:extLst>
            <c:ext xmlns:c16="http://schemas.microsoft.com/office/drawing/2014/chart" uri="{C3380CC4-5D6E-409C-BE32-E72D297353CC}">
              <c16:uniqueId val="{00000178-1D81-40FA-98E8-636C23DC9EB6}"/>
            </c:ext>
          </c:extLst>
        </c:ser>
        <c:ser>
          <c:idx val="1"/>
          <c:order val="1"/>
          <c:tx>
            <c:strRef>
              <c:f>'NEMInstalledCapacity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17B-1D81-40FA-98E8-636C23DC9EB6}"/>
              </c:ext>
            </c:extLst>
          </c:dPt>
          <c:dPt>
            <c:idx val="1"/>
            <c:invertIfNegative val="0"/>
            <c:bubble3D val="0"/>
            <c:extLst>
              <c:ext xmlns:c16="http://schemas.microsoft.com/office/drawing/2014/chart" uri="{C3380CC4-5D6E-409C-BE32-E72D297353CC}">
                <c16:uniqueId val="{0000017D-1D81-40FA-98E8-636C23DC9EB6}"/>
              </c:ext>
            </c:extLst>
          </c:dPt>
          <c:dPt>
            <c:idx val="2"/>
            <c:invertIfNegative val="0"/>
            <c:bubble3D val="0"/>
            <c:extLst>
              <c:ext xmlns:c16="http://schemas.microsoft.com/office/drawing/2014/chart" uri="{C3380CC4-5D6E-409C-BE32-E72D297353CC}">
                <c16:uniqueId val="{0000017F-1D81-40FA-98E8-636C23DC9EB6}"/>
              </c:ext>
            </c:extLst>
          </c:dPt>
          <c:dPt>
            <c:idx val="3"/>
            <c:invertIfNegative val="0"/>
            <c:bubble3D val="0"/>
            <c:extLst>
              <c:ext xmlns:c16="http://schemas.microsoft.com/office/drawing/2014/chart" uri="{C3380CC4-5D6E-409C-BE32-E72D297353CC}">
                <c16:uniqueId val="{00000181-1D81-40FA-98E8-636C23DC9EB6}"/>
              </c:ext>
            </c:extLst>
          </c:dPt>
          <c:dPt>
            <c:idx val="4"/>
            <c:invertIfNegative val="0"/>
            <c:bubble3D val="0"/>
            <c:extLst>
              <c:ext xmlns:c16="http://schemas.microsoft.com/office/drawing/2014/chart" uri="{C3380CC4-5D6E-409C-BE32-E72D297353CC}">
                <c16:uniqueId val="{00000183-1D81-40FA-98E8-636C23DC9EB6}"/>
              </c:ext>
            </c:extLst>
          </c:dPt>
          <c:dPt>
            <c:idx val="5"/>
            <c:invertIfNegative val="0"/>
            <c:bubble3D val="0"/>
            <c:extLst>
              <c:ext xmlns:c16="http://schemas.microsoft.com/office/drawing/2014/chart" uri="{C3380CC4-5D6E-409C-BE32-E72D297353CC}">
                <c16:uniqueId val="{00000185-1D81-40FA-98E8-636C23DC9EB6}"/>
              </c:ext>
            </c:extLst>
          </c:dPt>
          <c:dPt>
            <c:idx val="6"/>
            <c:invertIfNegative val="0"/>
            <c:bubble3D val="0"/>
            <c:extLst>
              <c:ext xmlns:c16="http://schemas.microsoft.com/office/drawing/2014/chart" uri="{C3380CC4-5D6E-409C-BE32-E72D297353CC}">
                <c16:uniqueId val="{00000187-1D81-40FA-98E8-636C23DC9EB6}"/>
              </c:ext>
            </c:extLst>
          </c:dPt>
          <c:dPt>
            <c:idx val="7"/>
            <c:invertIfNegative val="0"/>
            <c:bubble3D val="0"/>
            <c:extLst>
              <c:ext xmlns:c16="http://schemas.microsoft.com/office/drawing/2014/chart" uri="{C3380CC4-5D6E-409C-BE32-E72D297353CC}">
                <c16:uniqueId val="{00000189-1D81-40FA-98E8-636C23DC9EB6}"/>
              </c:ext>
            </c:extLst>
          </c:dPt>
          <c:dPt>
            <c:idx val="8"/>
            <c:invertIfNegative val="0"/>
            <c:bubble3D val="0"/>
            <c:extLst>
              <c:ext xmlns:c16="http://schemas.microsoft.com/office/drawing/2014/chart" uri="{C3380CC4-5D6E-409C-BE32-E72D297353CC}">
                <c16:uniqueId val="{0000018B-1D81-40FA-98E8-636C23DC9EB6}"/>
              </c:ext>
            </c:extLst>
          </c:dPt>
          <c:dPt>
            <c:idx val="9"/>
            <c:invertIfNegative val="0"/>
            <c:bubble3D val="0"/>
            <c:extLst>
              <c:ext xmlns:c16="http://schemas.microsoft.com/office/drawing/2014/chart" uri="{C3380CC4-5D6E-409C-BE32-E72D297353CC}">
                <c16:uniqueId val="{0000018D-1D81-40FA-98E8-636C23DC9EB6}"/>
              </c:ext>
            </c:extLst>
          </c:dPt>
          <c:dPt>
            <c:idx val="10"/>
            <c:invertIfNegative val="0"/>
            <c:bubble3D val="0"/>
            <c:extLst>
              <c:ext xmlns:c16="http://schemas.microsoft.com/office/drawing/2014/chart" uri="{C3380CC4-5D6E-409C-BE32-E72D297353CC}">
                <c16:uniqueId val="{0000018F-1D81-40FA-98E8-636C23DC9EB6}"/>
              </c:ext>
            </c:extLst>
          </c:dPt>
          <c:dPt>
            <c:idx val="11"/>
            <c:invertIfNegative val="0"/>
            <c:bubble3D val="0"/>
            <c:extLst>
              <c:ext xmlns:c16="http://schemas.microsoft.com/office/drawing/2014/chart" uri="{C3380CC4-5D6E-409C-BE32-E72D297353CC}">
                <c16:uniqueId val="{00000191-1D81-40FA-98E8-636C23DC9EB6}"/>
              </c:ext>
            </c:extLst>
          </c:dPt>
          <c:dPt>
            <c:idx val="12"/>
            <c:invertIfNegative val="0"/>
            <c:bubble3D val="0"/>
            <c:extLst>
              <c:ext xmlns:c16="http://schemas.microsoft.com/office/drawing/2014/chart" uri="{C3380CC4-5D6E-409C-BE32-E72D297353CC}">
                <c16:uniqueId val="{00000193-1D81-40FA-98E8-636C23DC9EB6}"/>
              </c:ext>
            </c:extLst>
          </c:dPt>
          <c:dPt>
            <c:idx val="13"/>
            <c:invertIfNegative val="0"/>
            <c:bubble3D val="0"/>
            <c:extLst>
              <c:ext xmlns:c16="http://schemas.microsoft.com/office/drawing/2014/chart" uri="{C3380CC4-5D6E-409C-BE32-E72D297353CC}">
                <c16:uniqueId val="{00000195-1D81-40FA-98E8-636C23DC9EB6}"/>
              </c:ext>
            </c:extLst>
          </c:dPt>
          <c:dPt>
            <c:idx val="14"/>
            <c:invertIfNegative val="0"/>
            <c:bubble3D val="0"/>
            <c:extLst>
              <c:ext xmlns:c16="http://schemas.microsoft.com/office/drawing/2014/chart" uri="{C3380CC4-5D6E-409C-BE32-E72D297353CC}">
                <c16:uniqueId val="{00000197-1D81-40FA-98E8-636C23DC9EB6}"/>
              </c:ext>
            </c:extLst>
          </c:dPt>
          <c:dPt>
            <c:idx val="15"/>
            <c:invertIfNegative val="0"/>
            <c:bubble3D val="0"/>
            <c:extLst>
              <c:ext xmlns:c16="http://schemas.microsoft.com/office/drawing/2014/chart" uri="{C3380CC4-5D6E-409C-BE32-E72D297353CC}">
                <c16:uniqueId val="{00000199-1D81-40FA-98E8-636C23DC9EB6}"/>
              </c:ext>
            </c:extLst>
          </c:dPt>
          <c:dPt>
            <c:idx val="16"/>
            <c:invertIfNegative val="0"/>
            <c:bubble3D val="0"/>
            <c:extLst>
              <c:ext xmlns:c16="http://schemas.microsoft.com/office/drawing/2014/chart" uri="{C3380CC4-5D6E-409C-BE32-E72D297353CC}">
                <c16:uniqueId val="{0000019B-1D81-40FA-98E8-636C23DC9EB6}"/>
              </c:ext>
            </c:extLst>
          </c:dPt>
          <c:dPt>
            <c:idx val="17"/>
            <c:invertIfNegative val="0"/>
            <c:bubble3D val="0"/>
            <c:extLst>
              <c:ext xmlns:c16="http://schemas.microsoft.com/office/drawing/2014/chart" uri="{C3380CC4-5D6E-409C-BE32-E72D297353CC}">
                <c16:uniqueId val="{0000019D-1D81-40FA-98E8-636C23DC9EB6}"/>
              </c:ext>
            </c:extLst>
          </c:dPt>
          <c:dPt>
            <c:idx val="18"/>
            <c:invertIfNegative val="0"/>
            <c:bubble3D val="0"/>
            <c:extLst>
              <c:ext xmlns:c16="http://schemas.microsoft.com/office/drawing/2014/chart" uri="{C3380CC4-5D6E-409C-BE32-E72D297353CC}">
                <c16:uniqueId val="{0000019F-1D81-40FA-98E8-636C23DC9EB6}"/>
              </c:ext>
            </c:extLst>
          </c:dPt>
          <c:dPt>
            <c:idx val="19"/>
            <c:invertIfNegative val="0"/>
            <c:bubble3D val="0"/>
            <c:extLst>
              <c:ext xmlns:c16="http://schemas.microsoft.com/office/drawing/2014/chart" uri="{C3380CC4-5D6E-409C-BE32-E72D297353CC}">
                <c16:uniqueId val="{000001A1-1D81-40FA-98E8-636C23DC9EB6}"/>
              </c:ext>
            </c:extLst>
          </c:dPt>
          <c:dPt>
            <c:idx val="20"/>
            <c:invertIfNegative val="0"/>
            <c:bubble3D val="0"/>
            <c:extLst>
              <c:ext xmlns:c16="http://schemas.microsoft.com/office/drawing/2014/chart" uri="{C3380CC4-5D6E-409C-BE32-E72D297353CC}">
                <c16:uniqueId val="{000001A3-1D81-40FA-98E8-636C23DC9EB6}"/>
              </c:ext>
            </c:extLst>
          </c:dPt>
          <c:dPt>
            <c:idx val="21"/>
            <c:invertIfNegative val="0"/>
            <c:bubble3D val="0"/>
            <c:extLst>
              <c:ext xmlns:c16="http://schemas.microsoft.com/office/drawing/2014/chart" uri="{C3380CC4-5D6E-409C-BE32-E72D297353CC}">
                <c16:uniqueId val="{000001A5-1D81-40FA-98E8-636C23DC9EB6}"/>
              </c:ext>
            </c:extLst>
          </c:dPt>
          <c:dPt>
            <c:idx val="22"/>
            <c:invertIfNegative val="0"/>
            <c:bubble3D val="0"/>
            <c:extLst>
              <c:ext xmlns:c16="http://schemas.microsoft.com/office/drawing/2014/chart" uri="{C3380CC4-5D6E-409C-BE32-E72D297353CC}">
                <c16:uniqueId val="{000001A7-1D81-40FA-98E8-636C23DC9EB6}"/>
              </c:ext>
            </c:extLst>
          </c:dPt>
          <c:dPt>
            <c:idx val="23"/>
            <c:invertIfNegative val="0"/>
            <c:bubble3D val="0"/>
            <c:extLst>
              <c:ext xmlns:c16="http://schemas.microsoft.com/office/drawing/2014/chart" uri="{C3380CC4-5D6E-409C-BE32-E72D297353CC}">
                <c16:uniqueId val="{000001A9-1D81-40FA-98E8-636C23DC9EB6}"/>
              </c:ext>
            </c:extLst>
          </c:dPt>
          <c:dPt>
            <c:idx val="24"/>
            <c:invertIfNegative val="0"/>
            <c:bubble3D val="0"/>
            <c:extLst>
              <c:ext xmlns:c16="http://schemas.microsoft.com/office/drawing/2014/chart" uri="{C3380CC4-5D6E-409C-BE32-E72D297353CC}">
                <c16:uniqueId val="{000001AB-1D81-40FA-98E8-636C23DC9EB6}"/>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Data'!$C$4:$X$4</c:f>
              <c:numCache>
                <c:formatCode>#,##0_ ;\-#,##0\ </c:formatCode>
                <c:ptCount val="22"/>
                <c:pt idx="0">
                  <c:v>4808</c:v>
                </c:pt>
                <c:pt idx="1">
                  <c:v>4808</c:v>
                </c:pt>
                <c:pt idx="2">
                  <c:v>4808</c:v>
                </c:pt>
                <c:pt idx="3">
                  <c:v>4808</c:v>
                </c:pt>
                <c:pt idx="4">
                  <c:v>4808</c:v>
                </c:pt>
                <c:pt idx="5">
                  <c:v>4808</c:v>
                </c:pt>
                <c:pt idx="6">
                  <c:v>4808</c:v>
                </c:pt>
                <c:pt idx="7">
                  <c:v>4808</c:v>
                </c:pt>
                <c:pt idx="8">
                  <c:v>4808</c:v>
                </c:pt>
                <c:pt idx="9">
                  <c:v>4808</c:v>
                </c:pt>
                <c:pt idx="10">
                  <c:v>4808</c:v>
                </c:pt>
                <c:pt idx="11">
                  <c:v>4808</c:v>
                </c:pt>
                <c:pt idx="12">
                  <c:v>4808</c:v>
                </c:pt>
                <c:pt idx="13">
                  <c:v>4808</c:v>
                </c:pt>
                <c:pt idx="14">
                  <c:v>3280</c:v>
                </c:pt>
                <c:pt idx="15">
                  <c:v>3280</c:v>
                </c:pt>
                <c:pt idx="16">
                  <c:v>3280</c:v>
                </c:pt>
                <c:pt idx="17">
                  <c:v>3280</c:v>
                </c:pt>
                <c:pt idx="18">
                  <c:v>3280</c:v>
                </c:pt>
                <c:pt idx="19">
                  <c:v>3280</c:v>
                </c:pt>
                <c:pt idx="20">
                  <c:v>3280</c:v>
                </c:pt>
                <c:pt idx="21">
                  <c:v>3280</c:v>
                </c:pt>
              </c:numCache>
            </c:numRef>
          </c:val>
          <c:extLst>
            <c:ext xmlns:c16="http://schemas.microsoft.com/office/drawing/2014/chart" uri="{C3380CC4-5D6E-409C-BE32-E72D297353CC}">
              <c16:uniqueId val="{000001AC-1D81-40FA-98E8-636C23DC9EB6}"/>
            </c:ext>
          </c:extLst>
        </c:ser>
        <c:ser>
          <c:idx val="2"/>
          <c:order val="2"/>
          <c:tx>
            <c:strRef>
              <c:f>'NEMInstalledCapacity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1AF-1D81-40FA-98E8-636C23DC9EB6}"/>
              </c:ext>
            </c:extLst>
          </c:dPt>
          <c:dPt>
            <c:idx val="1"/>
            <c:invertIfNegative val="0"/>
            <c:bubble3D val="0"/>
            <c:extLst>
              <c:ext xmlns:c16="http://schemas.microsoft.com/office/drawing/2014/chart" uri="{C3380CC4-5D6E-409C-BE32-E72D297353CC}">
                <c16:uniqueId val="{000001B1-1D81-40FA-98E8-636C23DC9EB6}"/>
              </c:ext>
            </c:extLst>
          </c:dPt>
          <c:dPt>
            <c:idx val="2"/>
            <c:invertIfNegative val="0"/>
            <c:bubble3D val="0"/>
            <c:extLst>
              <c:ext xmlns:c16="http://schemas.microsoft.com/office/drawing/2014/chart" uri="{C3380CC4-5D6E-409C-BE32-E72D297353CC}">
                <c16:uniqueId val="{000001B3-1D81-40FA-98E8-636C23DC9EB6}"/>
              </c:ext>
            </c:extLst>
          </c:dPt>
          <c:dPt>
            <c:idx val="3"/>
            <c:invertIfNegative val="0"/>
            <c:bubble3D val="0"/>
            <c:extLst>
              <c:ext xmlns:c16="http://schemas.microsoft.com/office/drawing/2014/chart" uri="{C3380CC4-5D6E-409C-BE32-E72D297353CC}">
                <c16:uniqueId val="{000001B5-1D81-40FA-98E8-636C23DC9EB6}"/>
              </c:ext>
            </c:extLst>
          </c:dPt>
          <c:dPt>
            <c:idx val="4"/>
            <c:invertIfNegative val="0"/>
            <c:bubble3D val="0"/>
            <c:extLst>
              <c:ext xmlns:c16="http://schemas.microsoft.com/office/drawing/2014/chart" uri="{C3380CC4-5D6E-409C-BE32-E72D297353CC}">
                <c16:uniqueId val="{000001B7-1D81-40FA-98E8-636C23DC9EB6}"/>
              </c:ext>
            </c:extLst>
          </c:dPt>
          <c:dPt>
            <c:idx val="5"/>
            <c:invertIfNegative val="0"/>
            <c:bubble3D val="0"/>
            <c:extLst>
              <c:ext xmlns:c16="http://schemas.microsoft.com/office/drawing/2014/chart" uri="{C3380CC4-5D6E-409C-BE32-E72D297353CC}">
                <c16:uniqueId val="{000001B9-1D81-40FA-98E8-636C23DC9EB6}"/>
              </c:ext>
            </c:extLst>
          </c:dPt>
          <c:dPt>
            <c:idx val="6"/>
            <c:invertIfNegative val="0"/>
            <c:bubble3D val="0"/>
            <c:extLst>
              <c:ext xmlns:c16="http://schemas.microsoft.com/office/drawing/2014/chart" uri="{C3380CC4-5D6E-409C-BE32-E72D297353CC}">
                <c16:uniqueId val="{000001BB-1D81-40FA-98E8-636C23DC9EB6}"/>
              </c:ext>
            </c:extLst>
          </c:dPt>
          <c:dPt>
            <c:idx val="7"/>
            <c:invertIfNegative val="0"/>
            <c:bubble3D val="0"/>
            <c:extLst>
              <c:ext xmlns:c16="http://schemas.microsoft.com/office/drawing/2014/chart" uri="{C3380CC4-5D6E-409C-BE32-E72D297353CC}">
                <c16:uniqueId val="{000001BD-1D81-40FA-98E8-636C23DC9EB6}"/>
              </c:ext>
            </c:extLst>
          </c:dPt>
          <c:dPt>
            <c:idx val="8"/>
            <c:invertIfNegative val="0"/>
            <c:bubble3D val="0"/>
            <c:extLst>
              <c:ext xmlns:c16="http://schemas.microsoft.com/office/drawing/2014/chart" uri="{C3380CC4-5D6E-409C-BE32-E72D297353CC}">
                <c16:uniqueId val="{000001BF-1D81-40FA-98E8-636C23DC9EB6}"/>
              </c:ext>
            </c:extLst>
          </c:dPt>
          <c:dPt>
            <c:idx val="9"/>
            <c:invertIfNegative val="0"/>
            <c:bubble3D val="0"/>
            <c:extLst>
              <c:ext xmlns:c16="http://schemas.microsoft.com/office/drawing/2014/chart" uri="{C3380CC4-5D6E-409C-BE32-E72D297353CC}">
                <c16:uniqueId val="{000001C1-1D81-40FA-98E8-636C23DC9EB6}"/>
              </c:ext>
            </c:extLst>
          </c:dPt>
          <c:dPt>
            <c:idx val="10"/>
            <c:invertIfNegative val="0"/>
            <c:bubble3D val="0"/>
            <c:extLst>
              <c:ext xmlns:c16="http://schemas.microsoft.com/office/drawing/2014/chart" uri="{C3380CC4-5D6E-409C-BE32-E72D297353CC}">
                <c16:uniqueId val="{000001C3-1D81-40FA-98E8-636C23DC9EB6}"/>
              </c:ext>
            </c:extLst>
          </c:dPt>
          <c:dPt>
            <c:idx val="11"/>
            <c:invertIfNegative val="0"/>
            <c:bubble3D val="0"/>
            <c:extLst>
              <c:ext xmlns:c16="http://schemas.microsoft.com/office/drawing/2014/chart" uri="{C3380CC4-5D6E-409C-BE32-E72D297353CC}">
                <c16:uniqueId val="{000001C5-1D81-40FA-98E8-636C23DC9EB6}"/>
              </c:ext>
            </c:extLst>
          </c:dPt>
          <c:dPt>
            <c:idx val="12"/>
            <c:invertIfNegative val="0"/>
            <c:bubble3D val="0"/>
            <c:extLst>
              <c:ext xmlns:c16="http://schemas.microsoft.com/office/drawing/2014/chart" uri="{C3380CC4-5D6E-409C-BE32-E72D297353CC}">
                <c16:uniqueId val="{000001C7-1D81-40FA-98E8-636C23DC9EB6}"/>
              </c:ext>
            </c:extLst>
          </c:dPt>
          <c:dPt>
            <c:idx val="13"/>
            <c:invertIfNegative val="0"/>
            <c:bubble3D val="0"/>
            <c:extLst>
              <c:ext xmlns:c16="http://schemas.microsoft.com/office/drawing/2014/chart" uri="{C3380CC4-5D6E-409C-BE32-E72D297353CC}">
                <c16:uniqueId val="{000001C9-1D81-40FA-98E8-636C23DC9EB6}"/>
              </c:ext>
            </c:extLst>
          </c:dPt>
          <c:dPt>
            <c:idx val="14"/>
            <c:invertIfNegative val="0"/>
            <c:bubble3D val="0"/>
            <c:extLst>
              <c:ext xmlns:c16="http://schemas.microsoft.com/office/drawing/2014/chart" uri="{C3380CC4-5D6E-409C-BE32-E72D297353CC}">
                <c16:uniqueId val="{000001CB-1D81-40FA-98E8-636C23DC9EB6}"/>
              </c:ext>
            </c:extLst>
          </c:dPt>
          <c:dPt>
            <c:idx val="15"/>
            <c:invertIfNegative val="0"/>
            <c:bubble3D val="0"/>
            <c:extLst>
              <c:ext xmlns:c16="http://schemas.microsoft.com/office/drawing/2014/chart" uri="{C3380CC4-5D6E-409C-BE32-E72D297353CC}">
                <c16:uniqueId val="{000001CD-1D81-40FA-98E8-636C23DC9EB6}"/>
              </c:ext>
            </c:extLst>
          </c:dPt>
          <c:dPt>
            <c:idx val="16"/>
            <c:invertIfNegative val="0"/>
            <c:bubble3D val="0"/>
            <c:extLst>
              <c:ext xmlns:c16="http://schemas.microsoft.com/office/drawing/2014/chart" uri="{C3380CC4-5D6E-409C-BE32-E72D297353CC}">
                <c16:uniqueId val="{000001CF-1D81-40FA-98E8-636C23DC9EB6}"/>
              </c:ext>
            </c:extLst>
          </c:dPt>
          <c:dPt>
            <c:idx val="17"/>
            <c:invertIfNegative val="0"/>
            <c:bubble3D val="0"/>
            <c:extLst>
              <c:ext xmlns:c16="http://schemas.microsoft.com/office/drawing/2014/chart" uri="{C3380CC4-5D6E-409C-BE32-E72D297353CC}">
                <c16:uniqueId val="{000001D1-1D81-40FA-98E8-636C23DC9EB6}"/>
              </c:ext>
            </c:extLst>
          </c:dPt>
          <c:dPt>
            <c:idx val="18"/>
            <c:invertIfNegative val="0"/>
            <c:bubble3D val="0"/>
            <c:extLst>
              <c:ext xmlns:c16="http://schemas.microsoft.com/office/drawing/2014/chart" uri="{C3380CC4-5D6E-409C-BE32-E72D297353CC}">
                <c16:uniqueId val="{000001D3-1D81-40FA-98E8-636C23DC9EB6}"/>
              </c:ext>
            </c:extLst>
          </c:dPt>
          <c:dPt>
            <c:idx val="19"/>
            <c:invertIfNegative val="0"/>
            <c:bubble3D val="0"/>
            <c:extLst>
              <c:ext xmlns:c16="http://schemas.microsoft.com/office/drawing/2014/chart" uri="{C3380CC4-5D6E-409C-BE32-E72D297353CC}">
                <c16:uniqueId val="{000001D5-1D81-40FA-98E8-636C23DC9EB6}"/>
              </c:ext>
            </c:extLst>
          </c:dPt>
          <c:dPt>
            <c:idx val="20"/>
            <c:invertIfNegative val="0"/>
            <c:bubble3D val="0"/>
            <c:extLst>
              <c:ext xmlns:c16="http://schemas.microsoft.com/office/drawing/2014/chart" uri="{C3380CC4-5D6E-409C-BE32-E72D297353CC}">
                <c16:uniqueId val="{000001D7-1D81-40FA-98E8-636C23DC9EB6}"/>
              </c:ext>
            </c:extLst>
          </c:dPt>
          <c:dPt>
            <c:idx val="21"/>
            <c:invertIfNegative val="0"/>
            <c:bubble3D val="0"/>
            <c:extLst>
              <c:ext xmlns:c16="http://schemas.microsoft.com/office/drawing/2014/chart" uri="{C3380CC4-5D6E-409C-BE32-E72D297353CC}">
                <c16:uniqueId val="{000001D9-1D81-40FA-98E8-636C23DC9EB6}"/>
              </c:ext>
            </c:extLst>
          </c:dPt>
          <c:dPt>
            <c:idx val="22"/>
            <c:invertIfNegative val="0"/>
            <c:bubble3D val="0"/>
            <c:extLst>
              <c:ext xmlns:c16="http://schemas.microsoft.com/office/drawing/2014/chart" uri="{C3380CC4-5D6E-409C-BE32-E72D297353CC}">
                <c16:uniqueId val="{000001DB-1D81-40FA-98E8-636C23DC9EB6}"/>
              </c:ext>
            </c:extLst>
          </c:dPt>
          <c:dPt>
            <c:idx val="23"/>
            <c:invertIfNegative val="0"/>
            <c:bubble3D val="0"/>
            <c:extLst>
              <c:ext xmlns:c16="http://schemas.microsoft.com/office/drawing/2014/chart" uri="{C3380CC4-5D6E-409C-BE32-E72D297353CC}">
                <c16:uniqueId val="{000001DD-1D81-40FA-98E8-636C23DC9EB6}"/>
              </c:ext>
            </c:extLst>
          </c:dPt>
          <c:dPt>
            <c:idx val="24"/>
            <c:invertIfNegative val="0"/>
            <c:bubble3D val="0"/>
            <c:extLst>
              <c:ext xmlns:c16="http://schemas.microsoft.com/office/drawing/2014/chart" uri="{C3380CC4-5D6E-409C-BE32-E72D297353CC}">
                <c16:uniqueId val="{000001DF-1D81-40FA-98E8-636C23DC9EB6}"/>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Data'!$C$5:$X$5</c:f>
              <c:numCache>
                <c:formatCode>#,##0_ ;\-#,##0\ </c:formatCode>
                <c:ptCount val="22"/>
                <c:pt idx="0">
                  <c:v>5363.5</c:v>
                </c:pt>
                <c:pt idx="1">
                  <c:v>5363.5</c:v>
                </c:pt>
                <c:pt idx="2">
                  <c:v>5363.5</c:v>
                </c:pt>
                <c:pt idx="3">
                  <c:v>5363.5</c:v>
                </c:pt>
                <c:pt idx="4">
                  <c:v>5363.5</c:v>
                </c:pt>
                <c:pt idx="5">
                  <c:v>5363.5</c:v>
                </c:pt>
                <c:pt idx="6">
                  <c:v>5363.5</c:v>
                </c:pt>
                <c:pt idx="7">
                  <c:v>5363.5</c:v>
                </c:pt>
                <c:pt idx="8">
                  <c:v>5363.5</c:v>
                </c:pt>
                <c:pt idx="9">
                  <c:v>5363.5</c:v>
                </c:pt>
                <c:pt idx="10">
                  <c:v>5363.5</c:v>
                </c:pt>
                <c:pt idx="11">
                  <c:v>5363.5</c:v>
                </c:pt>
                <c:pt idx="12">
                  <c:v>5363.5</c:v>
                </c:pt>
                <c:pt idx="13">
                  <c:v>5363.5</c:v>
                </c:pt>
                <c:pt idx="14">
                  <c:v>5363.5</c:v>
                </c:pt>
                <c:pt idx="15">
                  <c:v>5363.5</c:v>
                </c:pt>
                <c:pt idx="16">
                  <c:v>5363.5</c:v>
                </c:pt>
                <c:pt idx="17">
                  <c:v>5363.5</c:v>
                </c:pt>
                <c:pt idx="18">
                  <c:v>5363.5</c:v>
                </c:pt>
                <c:pt idx="19">
                  <c:v>5363.5</c:v>
                </c:pt>
                <c:pt idx="20">
                  <c:v>5363.5</c:v>
                </c:pt>
                <c:pt idx="21">
                  <c:v>5363.5</c:v>
                </c:pt>
              </c:numCache>
            </c:numRef>
          </c:val>
          <c:extLst>
            <c:ext xmlns:c16="http://schemas.microsoft.com/office/drawing/2014/chart" uri="{C3380CC4-5D6E-409C-BE32-E72D297353CC}">
              <c16:uniqueId val="{000001E0-1D81-40FA-98E8-636C23DC9EB6}"/>
            </c:ext>
          </c:extLst>
        </c:ser>
        <c:ser>
          <c:idx val="3"/>
          <c:order val="3"/>
          <c:tx>
            <c:strRef>
              <c:f>'NEMInstalledCapacity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1E2-1D81-40FA-98E8-636C23DC9EB6}"/>
              </c:ext>
            </c:extLst>
          </c:dPt>
          <c:dPt>
            <c:idx val="1"/>
            <c:invertIfNegative val="0"/>
            <c:bubble3D val="0"/>
            <c:extLst>
              <c:ext xmlns:c16="http://schemas.microsoft.com/office/drawing/2014/chart" uri="{C3380CC4-5D6E-409C-BE32-E72D297353CC}">
                <c16:uniqueId val="{000001E3-1D81-40FA-98E8-636C23DC9EB6}"/>
              </c:ext>
            </c:extLst>
          </c:dPt>
          <c:dPt>
            <c:idx val="2"/>
            <c:invertIfNegative val="0"/>
            <c:bubble3D val="0"/>
            <c:extLst>
              <c:ext xmlns:c16="http://schemas.microsoft.com/office/drawing/2014/chart" uri="{C3380CC4-5D6E-409C-BE32-E72D297353CC}">
                <c16:uniqueId val="{000001E4-1D81-40FA-98E8-636C23DC9EB6}"/>
              </c:ext>
            </c:extLst>
          </c:dPt>
          <c:dPt>
            <c:idx val="3"/>
            <c:invertIfNegative val="0"/>
            <c:bubble3D val="0"/>
            <c:extLst>
              <c:ext xmlns:c16="http://schemas.microsoft.com/office/drawing/2014/chart" uri="{C3380CC4-5D6E-409C-BE32-E72D297353CC}">
                <c16:uniqueId val="{000001E5-1D81-40FA-98E8-636C23DC9EB6}"/>
              </c:ext>
            </c:extLst>
          </c:dPt>
          <c:dPt>
            <c:idx val="4"/>
            <c:invertIfNegative val="0"/>
            <c:bubble3D val="0"/>
            <c:extLst>
              <c:ext xmlns:c16="http://schemas.microsoft.com/office/drawing/2014/chart" uri="{C3380CC4-5D6E-409C-BE32-E72D297353CC}">
                <c16:uniqueId val="{000001E6-1D81-40FA-98E8-636C23DC9EB6}"/>
              </c:ext>
            </c:extLst>
          </c:dPt>
          <c:dPt>
            <c:idx val="5"/>
            <c:invertIfNegative val="0"/>
            <c:bubble3D val="0"/>
            <c:extLst>
              <c:ext xmlns:c16="http://schemas.microsoft.com/office/drawing/2014/chart" uri="{C3380CC4-5D6E-409C-BE32-E72D297353CC}">
                <c16:uniqueId val="{000001E7-1D81-40FA-98E8-636C23DC9EB6}"/>
              </c:ext>
            </c:extLst>
          </c:dPt>
          <c:dPt>
            <c:idx val="6"/>
            <c:invertIfNegative val="0"/>
            <c:bubble3D val="0"/>
            <c:extLst>
              <c:ext xmlns:c16="http://schemas.microsoft.com/office/drawing/2014/chart" uri="{C3380CC4-5D6E-409C-BE32-E72D297353CC}">
                <c16:uniqueId val="{000001E8-1D81-40FA-98E8-636C23DC9EB6}"/>
              </c:ext>
            </c:extLst>
          </c:dPt>
          <c:dPt>
            <c:idx val="7"/>
            <c:invertIfNegative val="0"/>
            <c:bubble3D val="0"/>
            <c:extLst>
              <c:ext xmlns:c16="http://schemas.microsoft.com/office/drawing/2014/chart" uri="{C3380CC4-5D6E-409C-BE32-E72D297353CC}">
                <c16:uniqueId val="{000001E9-1D81-40FA-98E8-636C23DC9EB6}"/>
              </c:ext>
            </c:extLst>
          </c:dPt>
          <c:dPt>
            <c:idx val="8"/>
            <c:invertIfNegative val="0"/>
            <c:bubble3D val="0"/>
            <c:extLst>
              <c:ext xmlns:c16="http://schemas.microsoft.com/office/drawing/2014/chart" uri="{C3380CC4-5D6E-409C-BE32-E72D297353CC}">
                <c16:uniqueId val="{000001EA-1D81-40FA-98E8-636C23DC9EB6}"/>
              </c:ext>
            </c:extLst>
          </c:dPt>
          <c:dPt>
            <c:idx val="9"/>
            <c:invertIfNegative val="0"/>
            <c:bubble3D val="0"/>
            <c:extLst>
              <c:ext xmlns:c16="http://schemas.microsoft.com/office/drawing/2014/chart" uri="{C3380CC4-5D6E-409C-BE32-E72D297353CC}">
                <c16:uniqueId val="{000001EB-1D81-40FA-98E8-636C23DC9EB6}"/>
              </c:ext>
            </c:extLst>
          </c:dPt>
          <c:dPt>
            <c:idx val="10"/>
            <c:invertIfNegative val="0"/>
            <c:bubble3D val="0"/>
            <c:extLst>
              <c:ext xmlns:c16="http://schemas.microsoft.com/office/drawing/2014/chart" uri="{C3380CC4-5D6E-409C-BE32-E72D297353CC}">
                <c16:uniqueId val="{000001EC-1D81-40FA-98E8-636C23DC9EB6}"/>
              </c:ext>
            </c:extLst>
          </c:dPt>
          <c:dPt>
            <c:idx val="11"/>
            <c:invertIfNegative val="0"/>
            <c:bubble3D val="0"/>
            <c:extLst>
              <c:ext xmlns:c16="http://schemas.microsoft.com/office/drawing/2014/chart" uri="{C3380CC4-5D6E-409C-BE32-E72D297353CC}">
                <c16:uniqueId val="{000001ED-1D81-40FA-98E8-636C23DC9EB6}"/>
              </c:ext>
            </c:extLst>
          </c:dPt>
          <c:dPt>
            <c:idx val="12"/>
            <c:invertIfNegative val="0"/>
            <c:bubble3D val="0"/>
            <c:extLst>
              <c:ext xmlns:c16="http://schemas.microsoft.com/office/drawing/2014/chart" uri="{C3380CC4-5D6E-409C-BE32-E72D297353CC}">
                <c16:uniqueId val="{000001EE-1D81-40FA-98E8-636C23DC9EB6}"/>
              </c:ext>
            </c:extLst>
          </c:dPt>
          <c:dPt>
            <c:idx val="13"/>
            <c:invertIfNegative val="0"/>
            <c:bubble3D val="0"/>
            <c:extLst>
              <c:ext xmlns:c16="http://schemas.microsoft.com/office/drawing/2014/chart" uri="{C3380CC4-5D6E-409C-BE32-E72D297353CC}">
                <c16:uniqueId val="{000001EF-1D81-40FA-98E8-636C23DC9EB6}"/>
              </c:ext>
            </c:extLst>
          </c:dPt>
          <c:dPt>
            <c:idx val="14"/>
            <c:invertIfNegative val="0"/>
            <c:bubble3D val="0"/>
            <c:extLst>
              <c:ext xmlns:c16="http://schemas.microsoft.com/office/drawing/2014/chart" uri="{C3380CC4-5D6E-409C-BE32-E72D297353CC}">
                <c16:uniqueId val="{000001F0-1D81-40FA-98E8-636C23DC9EB6}"/>
              </c:ext>
            </c:extLst>
          </c:dPt>
          <c:dPt>
            <c:idx val="15"/>
            <c:invertIfNegative val="0"/>
            <c:bubble3D val="0"/>
            <c:extLst>
              <c:ext xmlns:c16="http://schemas.microsoft.com/office/drawing/2014/chart" uri="{C3380CC4-5D6E-409C-BE32-E72D297353CC}">
                <c16:uniqueId val="{000001F1-1D81-40FA-98E8-636C23DC9EB6}"/>
              </c:ext>
            </c:extLst>
          </c:dPt>
          <c:dPt>
            <c:idx val="16"/>
            <c:invertIfNegative val="0"/>
            <c:bubble3D val="0"/>
            <c:extLst>
              <c:ext xmlns:c16="http://schemas.microsoft.com/office/drawing/2014/chart" uri="{C3380CC4-5D6E-409C-BE32-E72D297353CC}">
                <c16:uniqueId val="{000001F2-1D81-40FA-98E8-636C23DC9EB6}"/>
              </c:ext>
            </c:extLst>
          </c:dPt>
          <c:dPt>
            <c:idx val="17"/>
            <c:invertIfNegative val="0"/>
            <c:bubble3D val="0"/>
            <c:extLst>
              <c:ext xmlns:c16="http://schemas.microsoft.com/office/drawing/2014/chart" uri="{C3380CC4-5D6E-409C-BE32-E72D297353CC}">
                <c16:uniqueId val="{000001F3-1D81-40FA-98E8-636C23DC9EB6}"/>
              </c:ext>
            </c:extLst>
          </c:dPt>
          <c:dPt>
            <c:idx val="18"/>
            <c:invertIfNegative val="0"/>
            <c:bubble3D val="0"/>
            <c:extLst>
              <c:ext xmlns:c16="http://schemas.microsoft.com/office/drawing/2014/chart" uri="{C3380CC4-5D6E-409C-BE32-E72D297353CC}">
                <c16:uniqueId val="{000001F4-1D81-40FA-98E8-636C23DC9EB6}"/>
              </c:ext>
            </c:extLst>
          </c:dPt>
          <c:dPt>
            <c:idx val="19"/>
            <c:invertIfNegative val="0"/>
            <c:bubble3D val="0"/>
            <c:extLst>
              <c:ext xmlns:c16="http://schemas.microsoft.com/office/drawing/2014/chart" uri="{C3380CC4-5D6E-409C-BE32-E72D297353CC}">
                <c16:uniqueId val="{000001F5-1D81-40FA-98E8-636C23DC9EB6}"/>
              </c:ext>
            </c:extLst>
          </c:dPt>
          <c:dPt>
            <c:idx val="20"/>
            <c:invertIfNegative val="0"/>
            <c:bubble3D val="0"/>
            <c:extLst>
              <c:ext xmlns:c16="http://schemas.microsoft.com/office/drawing/2014/chart" uri="{C3380CC4-5D6E-409C-BE32-E72D297353CC}">
                <c16:uniqueId val="{000001F6-1D81-40FA-98E8-636C23DC9EB6}"/>
              </c:ext>
            </c:extLst>
          </c:dPt>
          <c:dPt>
            <c:idx val="21"/>
            <c:invertIfNegative val="0"/>
            <c:bubble3D val="0"/>
            <c:extLst>
              <c:ext xmlns:c16="http://schemas.microsoft.com/office/drawing/2014/chart" uri="{C3380CC4-5D6E-409C-BE32-E72D297353CC}">
                <c16:uniqueId val="{000001F7-1D81-40FA-98E8-636C23DC9EB6}"/>
              </c:ext>
            </c:extLst>
          </c:dPt>
          <c:dPt>
            <c:idx val="22"/>
            <c:invertIfNegative val="0"/>
            <c:bubble3D val="0"/>
            <c:extLst>
              <c:ext xmlns:c16="http://schemas.microsoft.com/office/drawing/2014/chart" uri="{C3380CC4-5D6E-409C-BE32-E72D297353CC}">
                <c16:uniqueId val="{000001F8-1D81-40FA-98E8-636C23DC9EB6}"/>
              </c:ext>
            </c:extLst>
          </c:dPt>
          <c:dPt>
            <c:idx val="23"/>
            <c:invertIfNegative val="0"/>
            <c:bubble3D val="0"/>
            <c:extLst>
              <c:ext xmlns:c16="http://schemas.microsoft.com/office/drawing/2014/chart" uri="{C3380CC4-5D6E-409C-BE32-E72D297353CC}">
                <c16:uniqueId val="{000001F9-1D81-40FA-98E8-636C23DC9EB6}"/>
              </c:ext>
            </c:extLst>
          </c:dPt>
          <c:dPt>
            <c:idx val="24"/>
            <c:invertIfNegative val="0"/>
            <c:bubble3D val="0"/>
            <c:extLst>
              <c:ext xmlns:c16="http://schemas.microsoft.com/office/drawing/2014/chart" uri="{C3380CC4-5D6E-409C-BE32-E72D297353CC}">
                <c16:uniqueId val="{000001FA-1D81-40FA-98E8-636C23DC9EB6}"/>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Data'!$C$6:$X$6</c:f>
              <c:numCache>
                <c:formatCode>#,##0_ ;\-#,##0\ </c:formatCode>
                <c:ptCount val="22"/>
                <c:pt idx="0">
                  <c:v>4111</c:v>
                </c:pt>
                <c:pt idx="1">
                  <c:v>4111</c:v>
                </c:pt>
                <c:pt idx="2">
                  <c:v>4111</c:v>
                </c:pt>
                <c:pt idx="3">
                  <c:v>4111</c:v>
                </c:pt>
                <c:pt idx="4">
                  <c:v>4111</c:v>
                </c:pt>
                <c:pt idx="5">
                  <c:v>4111</c:v>
                </c:pt>
                <c:pt idx="6">
                  <c:v>2649</c:v>
                </c:pt>
                <c:pt idx="7">
                  <c:v>2649</c:v>
                </c:pt>
                <c:pt idx="8">
                  <c:v>2649</c:v>
                </c:pt>
                <c:pt idx="9">
                  <c:v>2649</c:v>
                </c:pt>
                <c:pt idx="10">
                  <c:v>2649</c:v>
                </c:pt>
                <c:pt idx="11">
                  <c:v>2649</c:v>
                </c:pt>
                <c:pt idx="12">
                  <c:v>2649</c:v>
                </c:pt>
                <c:pt idx="13">
                  <c:v>2139</c:v>
                </c:pt>
                <c:pt idx="14">
                  <c:v>2139</c:v>
                </c:pt>
                <c:pt idx="15">
                  <c:v>2139</c:v>
                </c:pt>
                <c:pt idx="16">
                  <c:v>2139</c:v>
                </c:pt>
                <c:pt idx="17">
                  <c:v>2139</c:v>
                </c:pt>
                <c:pt idx="18">
                  <c:v>2139</c:v>
                </c:pt>
                <c:pt idx="19">
                  <c:v>2139</c:v>
                </c:pt>
                <c:pt idx="20">
                  <c:v>2139</c:v>
                </c:pt>
                <c:pt idx="21">
                  <c:v>2139</c:v>
                </c:pt>
              </c:numCache>
            </c:numRef>
          </c:val>
          <c:extLst>
            <c:ext xmlns:c16="http://schemas.microsoft.com/office/drawing/2014/chart" uri="{C3380CC4-5D6E-409C-BE32-E72D297353CC}">
              <c16:uniqueId val="{000001FB-1D81-40FA-98E8-636C23DC9EB6}"/>
            </c:ext>
          </c:extLst>
        </c:ser>
        <c:ser>
          <c:idx val="4"/>
          <c:order val="4"/>
          <c:tx>
            <c:strRef>
              <c:f>'NEMInstalledCapacity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1FE-1D81-40FA-98E8-636C23DC9EB6}"/>
              </c:ext>
            </c:extLst>
          </c:dPt>
          <c:dPt>
            <c:idx val="1"/>
            <c:invertIfNegative val="0"/>
            <c:bubble3D val="0"/>
            <c:extLst>
              <c:ext xmlns:c16="http://schemas.microsoft.com/office/drawing/2014/chart" uri="{C3380CC4-5D6E-409C-BE32-E72D297353CC}">
                <c16:uniqueId val="{00000200-1D81-40FA-98E8-636C23DC9EB6}"/>
              </c:ext>
            </c:extLst>
          </c:dPt>
          <c:dPt>
            <c:idx val="2"/>
            <c:invertIfNegative val="0"/>
            <c:bubble3D val="0"/>
            <c:extLst>
              <c:ext xmlns:c16="http://schemas.microsoft.com/office/drawing/2014/chart" uri="{C3380CC4-5D6E-409C-BE32-E72D297353CC}">
                <c16:uniqueId val="{00000202-1D81-40FA-98E8-636C23DC9EB6}"/>
              </c:ext>
            </c:extLst>
          </c:dPt>
          <c:dPt>
            <c:idx val="3"/>
            <c:invertIfNegative val="0"/>
            <c:bubble3D val="0"/>
            <c:extLst>
              <c:ext xmlns:c16="http://schemas.microsoft.com/office/drawing/2014/chart" uri="{C3380CC4-5D6E-409C-BE32-E72D297353CC}">
                <c16:uniqueId val="{00000204-1D81-40FA-98E8-636C23DC9EB6}"/>
              </c:ext>
            </c:extLst>
          </c:dPt>
          <c:dPt>
            <c:idx val="4"/>
            <c:invertIfNegative val="0"/>
            <c:bubble3D val="0"/>
            <c:extLst>
              <c:ext xmlns:c16="http://schemas.microsoft.com/office/drawing/2014/chart" uri="{C3380CC4-5D6E-409C-BE32-E72D297353CC}">
                <c16:uniqueId val="{00000206-1D81-40FA-98E8-636C23DC9EB6}"/>
              </c:ext>
            </c:extLst>
          </c:dPt>
          <c:dPt>
            <c:idx val="5"/>
            <c:invertIfNegative val="0"/>
            <c:bubble3D val="0"/>
            <c:extLst>
              <c:ext xmlns:c16="http://schemas.microsoft.com/office/drawing/2014/chart" uri="{C3380CC4-5D6E-409C-BE32-E72D297353CC}">
                <c16:uniqueId val="{00000208-1D81-40FA-98E8-636C23DC9EB6}"/>
              </c:ext>
            </c:extLst>
          </c:dPt>
          <c:dPt>
            <c:idx val="6"/>
            <c:invertIfNegative val="0"/>
            <c:bubble3D val="0"/>
            <c:extLst>
              <c:ext xmlns:c16="http://schemas.microsoft.com/office/drawing/2014/chart" uri="{C3380CC4-5D6E-409C-BE32-E72D297353CC}">
                <c16:uniqueId val="{0000020A-1D81-40FA-98E8-636C23DC9EB6}"/>
              </c:ext>
            </c:extLst>
          </c:dPt>
          <c:dPt>
            <c:idx val="7"/>
            <c:invertIfNegative val="0"/>
            <c:bubble3D val="0"/>
            <c:extLst>
              <c:ext xmlns:c16="http://schemas.microsoft.com/office/drawing/2014/chart" uri="{C3380CC4-5D6E-409C-BE32-E72D297353CC}">
                <c16:uniqueId val="{0000020C-1D81-40FA-98E8-636C23DC9EB6}"/>
              </c:ext>
            </c:extLst>
          </c:dPt>
          <c:dPt>
            <c:idx val="8"/>
            <c:invertIfNegative val="0"/>
            <c:bubble3D val="0"/>
            <c:extLst>
              <c:ext xmlns:c16="http://schemas.microsoft.com/office/drawing/2014/chart" uri="{C3380CC4-5D6E-409C-BE32-E72D297353CC}">
                <c16:uniqueId val="{0000020E-1D81-40FA-98E8-636C23DC9EB6}"/>
              </c:ext>
            </c:extLst>
          </c:dPt>
          <c:dPt>
            <c:idx val="9"/>
            <c:invertIfNegative val="0"/>
            <c:bubble3D val="0"/>
            <c:extLst>
              <c:ext xmlns:c16="http://schemas.microsoft.com/office/drawing/2014/chart" uri="{C3380CC4-5D6E-409C-BE32-E72D297353CC}">
                <c16:uniqueId val="{00000210-1D81-40FA-98E8-636C23DC9EB6}"/>
              </c:ext>
            </c:extLst>
          </c:dPt>
          <c:dPt>
            <c:idx val="10"/>
            <c:invertIfNegative val="0"/>
            <c:bubble3D val="0"/>
            <c:extLst>
              <c:ext xmlns:c16="http://schemas.microsoft.com/office/drawing/2014/chart" uri="{C3380CC4-5D6E-409C-BE32-E72D297353CC}">
                <c16:uniqueId val="{00000212-1D81-40FA-98E8-636C23DC9EB6}"/>
              </c:ext>
            </c:extLst>
          </c:dPt>
          <c:dPt>
            <c:idx val="11"/>
            <c:invertIfNegative val="0"/>
            <c:bubble3D val="0"/>
            <c:extLst>
              <c:ext xmlns:c16="http://schemas.microsoft.com/office/drawing/2014/chart" uri="{C3380CC4-5D6E-409C-BE32-E72D297353CC}">
                <c16:uniqueId val="{00000214-1D81-40FA-98E8-636C23DC9EB6}"/>
              </c:ext>
            </c:extLst>
          </c:dPt>
          <c:dPt>
            <c:idx val="12"/>
            <c:invertIfNegative val="0"/>
            <c:bubble3D val="0"/>
            <c:extLst>
              <c:ext xmlns:c16="http://schemas.microsoft.com/office/drawing/2014/chart" uri="{C3380CC4-5D6E-409C-BE32-E72D297353CC}">
                <c16:uniqueId val="{00000216-1D81-40FA-98E8-636C23DC9EB6}"/>
              </c:ext>
            </c:extLst>
          </c:dPt>
          <c:dPt>
            <c:idx val="13"/>
            <c:invertIfNegative val="0"/>
            <c:bubble3D val="0"/>
            <c:extLst>
              <c:ext xmlns:c16="http://schemas.microsoft.com/office/drawing/2014/chart" uri="{C3380CC4-5D6E-409C-BE32-E72D297353CC}">
                <c16:uniqueId val="{00000218-1D81-40FA-98E8-636C23DC9EB6}"/>
              </c:ext>
            </c:extLst>
          </c:dPt>
          <c:dPt>
            <c:idx val="14"/>
            <c:invertIfNegative val="0"/>
            <c:bubble3D val="0"/>
            <c:extLst>
              <c:ext xmlns:c16="http://schemas.microsoft.com/office/drawing/2014/chart" uri="{C3380CC4-5D6E-409C-BE32-E72D297353CC}">
                <c16:uniqueId val="{0000021A-1D81-40FA-98E8-636C23DC9EB6}"/>
              </c:ext>
            </c:extLst>
          </c:dPt>
          <c:dPt>
            <c:idx val="15"/>
            <c:invertIfNegative val="0"/>
            <c:bubble3D val="0"/>
            <c:extLst>
              <c:ext xmlns:c16="http://schemas.microsoft.com/office/drawing/2014/chart" uri="{C3380CC4-5D6E-409C-BE32-E72D297353CC}">
                <c16:uniqueId val="{0000021C-1D81-40FA-98E8-636C23DC9EB6}"/>
              </c:ext>
            </c:extLst>
          </c:dPt>
          <c:dPt>
            <c:idx val="16"/>
            <c:invertIfNegative val="0"/>
            <c:bubble3D val="0"/>
            <c:extLst>
              <c:ext xmlns:c16="http://schemas.microsoft.com/office/drawing/2014/chart" uri="{C3380CC4-5D6E-409C-BE32-E72D297353CC}">
                <c16:uniqueId val="{0000021E-1D81-40FA-98E8-636C23DC9EB6}"/>
              </c:ext>
            </c:extLst>
          </c:dPt>
          <c:dPt>
            <c:idx val="17"/>
            <c:invertIfNegative val="0"/>
            <c:bubble3D val="0"/>
            <c:extLst>
              <c:ext xmlns:c16="http://schemas.microsoft.com/office/drawing/2014/chart" uri="{C3380CC4-5D6E-409C-BE32-E72D297353CC}">
                <c16:uniqueId val="{00000220-1D81-40FA-98E8-636C23DC9EB6}"/>
              </c:ext>
            </c:extLst>
          </c:dPt>
          <c:dPt>
            <c:idx val="18"/>
            <c:invertIfNegative val="0"/>
            <c:bubble3D val="0"/>
            <c:extLst>
              <c:ext xmlns:c16="http://schemas.microsoft.com/office/drawing/2014/chart" uri="{C3380CC4-5D6E-409C-BE32-E72D297353CC}">
                <c16:uniqueId val="{00000222-1D81-40FA-98E8-636C23DC9EB6}"/>
              </c:ext>
            </c:extLst>
          </c:dPt>
          <c:dPt>
            <c:idx val="19"/>
            <c:invertIfNegative val="0"/>
            <c:bubble3D val="0"/>
            <c:extLst>
              <c:ext xmlns:c16="http://schemas.microsoft.com/office/drawing/2014/chart" uri="{C3380CC4-5D6E-409C-BE32-E72D297353CC}">
                <c16:uniqueId val="{00000224-1D81-40FA-98E8-636C23DC9EB6}"/>
              </c:ext>
            </c:extLst>
          </c:dPt>
          <c:dPt>
            <c:idx val="20"/>
            <c:invertIfNegative val="0"/>
            <c:bubble3D val="0"/>
            <c:extLst>
              <c:ext xmlns:c16="http://schemas.microsoft.com/office/drawing/2014/chart" uri="{C3380CC4-5D6E-409C-BE32-E72D297353CC}">
                <c16:uniqueId val="{00000226-1D81-40FA-98E8-636C23DC9EB6}"/>
              </c:ext>
            </c:extLst>
          </c:dPt>
          <c:dPt>
            <c:idx val="21"/>
            <c:invertIfNegative val="0"/>
            <c:bubble3D val="0"/>
            <c:extLst>
              <c:ext xmlns:c16="http://schemas.microsoft.com/office/drawing/2014/chart" uri="{C3380CC4-5D6E-409C-BE32-E72D297353CC}">
                <c16:uniqueId val="{00000228-1D81-40FA-98E8-636C23DC9EB6}"/>
              </c:ext>
            </c:extLst>
          </c:dPt>
          <c:dPt>
            <c:idx val="22"/>
            <c:invertIfNegative val="0"/>
            <c:bubble3D val="0"/>
            <c:extLst>
              <c:ext xmlns:c16="http://schemas.microsoft.com/office/drawing/2014/chart" uri="{C3380CC4-5D6E-409C-BE32-E72D297353CC}">
                <c16:uniqueId val="{0000022A-1D81-40FA-98E8-636C23DC9EB6}"/>
              </c:ext>
            </c:extLst>
          </c:dPt>
          <c:dPt>
            <c:idx val="23"/>
            <c:invertIfNegative val="0"/>
            <c:bubble3D val="0"/>
            <c:extLst>
              <c:ext xmlns:c16="http://schemas.microsoft.com/office/drawing/2014/chart" uri="{C3380CC4-5D6E-409C-BE32-E72D297353CC}">
                <c16:uniqueId val="{0000022C-1D81-40FA-98E8-636C23DC9EB6}"/>
              </c:ext>
            </c:extLst>
          </c:dPt>
          <c:dPt>
            <c:idx val="24"/>
            <c:invertIfNegative val="0"/>
            <c:bubble3D val="0"/>
            <c:extLst>
              <c:ext xmlns:c16="http://schemas.microsoft.com/office/drawing/2014/chart" uri="{C3380CC4-5D6E-409C-BE32-E72D297353CC}">
                <c16:uniqueId val="{0000022E-1D81-40FA-98E8-636C23DC9EB6}"/>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Data'!$C$7:$X$7</c:f>
              <c:numCache>
                <c:formatCode>#,##0_ ;\-#,##0\ </c:formatCode>
                <c:ptCount val="22"/>
                <c:pt idx="0">
                  <c:v>6967</c:v>
                </c:pt>
                <c:pt idx="1">
                  <c:v>6943</c:v>
                </c:pt>
                <c:pt idx="2">
                  <c:v>6943</c:v>
                </c:pt>
                <c:pt idx="3">
                  <c:v>6669</c:v>
                </c:pt>
                <c:pt idx="4">
                  <c:v>6955</c:v>
                </c:pt>
                <c:pt idx="5">
                  <c:v>7070</c:v>
                </c:pt>
                <c:pt idx="6">
                  <c:v>7070</c:v>
                </c:pt>
                <c:pt idx="7">
                  <c:v>7070</c:v>
                </c:pt>
                <c:pt idx="8">
                  <c:v>7070</c:v>
                </c:pt>
                <c:pt idx="9">
                  <c:v>7070</c:v>
                </c:pt>
                <c:pt idx="10">
                  <c:v>7070</c:v>
                </c:pt>
                <c:pt idx="11">
                  <c:v>7070</c:v>
                </c:pt>
                <c:pt idx="12">
                  <c:v>7070</c:v>
                </c:pt>
                <c:pt idx="13">
                  <c:v>7070</c:v>
                </c:pt>
                <c:pt idx="14">
                  <c:v>7070</c:v>
                </c:pt>
                <c:pt idx="15">
                  <c:v>7070</c:v>
                </c:pt>
                <c:pt idx="16">
                  <c:v>7070</c:v>
                </c:pt>
                <c:pt idx="17">
                  <c:v>7070</c:v>
                </c:pt>
                <c:pt idx="18">
                  <c:v>7070</c:v>
                </c:pt>
                <c:pt idx="19">
                  <c:v>7070</c:v>
                </c:pt>
                <c:pt idx="20">
                  <c:v>7070</c:v>
                </c:pt>
                <c:pt idx="21">
                  <c:v>7070</c:v>
                </c:pt>
              </c:numCache>
            </c:numRef>
          </c:val>
          <c:extLst>
            <c:ext xmlns:c16="http://schemas.microsoft.com/office/drawing/2014/chart" uri="{C3380CC4-5D6E-409C-BE32-E72D297353CC}">
              <c16:uniqueId val="{0000022F-1D81-40FA-98E8-636C23DC9EB6}"/>
            </c:ext>
          </c:extLst>
        </c:ser>
        <c:ser>
          <c:idx val="5"/>
          <c:order val="5"/>
          <c:tx>
            <c:strRef>
              <c:f>'NEMInstalledCapacity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231-1D81-40FA-98E8-636C23DC9EB6}"/>
              </c:ext>
            </c:extLst>
          </c:dPt>
          <c:dPt>
            <c:idx val="1"/>
            <c:invertIfNegative val="0"/>
            <c:bubble3D val="0"/>
            <c:extLst>
              <c:ext xmlns:c16="http://schemas.microsoft.com/office/drawing/2014/chart" uri="{C3380CC4-5D6E-409C-BE32-E72D297353CC}">
                <c16:uniqueId val="{00000232-1D81-40FA-98E8-636C23DC9EB6}"/>
              </c:ext>
            </c:extLst>
          </c:dPt>
          <c:dPt>
            <c:idx val="2"/>
            <c:invertIfNegative val="0"/>
            <c:bubble3D val="0"/>
            <c:extLst>
              <c:ext xmlns:c16="http://schemas.microsoft.com/office/drawing/2014/chart" uri="{C3380CC4-5D6E-409C-BE32-E72D297353CC}">
                <c16:uniqueId val="{00000233-1D81-40FA-98E8-636C23DC9EB6}"/>
              </c:ext>
            </c:extLst>
          </c:dPt>
          <c:dPt>
            <c:idx val="3"/>
            <c:invertIfNegative val="0"/>
            <c:bubble3D val="0"/>
            <c:extLst>
              <c:ext xmlns:c16="http://schemas.microsoft.com/office/drawing/2014/chart" uri="{C3380CC4-5D6E-409C-BE32-E72D297353CC}">
                <c16:uniqueId val="{00000234-1D81-40FA-98E8-636C23DC9EB6}"/>
              </c:ext>
            </c:extLst>
          </c:dPt>
          <c:dPt>
            <c:idx val="4"/>
            <c:invertIfNegative val="0"/>
            <c:bubble3D val="0"/>
            <c:extLst>
              <c:ext xmlns:c16="http://schemas.microsoft.com/office/drawing/2014/chart" uri="{C3380CC4-5D6E-409C-BE32-E72D297353CC}">
                <c16:uniqueId val="{00000235-1D81-40FA-98E8-636C23DC9EB6}"/>
              </c:ext>
            </c:extLst>
          </c:dPt>
          <c:dPt>
            <c:idx val="5"/>
            <c:invertIfNegative val="0"/>
            <c:bubble3D val="0"/>
            <c:extLst>
              <c:ext xmlns:c16="http://schemas.microsoft.com/office/drawing/2014/chart" uri="{C3380CC4-5D6E-409C-BE32-E72D297353CC}">
                <c16:uniqueId val="{00000236-1D81-40FA-98E8-636C23DC9EB6}"/>
              </c:ext>
            </c:extLst>
          </c:dPt>
          <c:dPt>
            <c:idx val="6"/>
            <c:invertIfNegative val="0"/>
            <c:bubble3D val="0"/>
            <c:extLst>
              <c:ext xmlns:c16="http://schemas.microsoft.com/office/drawing/2014/chart" uri="{C3380CC4-5D6E-409C-BE32-E72D297353CC}">
                <c16:uniqueId val="{00000237-1D81-40FA-98E8-636C23DC9EB6}"/>
              </c:ext>
            </c:extLst>
          </c:dPt>
          <c:dPt>
            <c:idx val="7"/>
            <c:invertIfNegative val="0"/>
            <c:bubble3D val="0"/>
            <c:extLst>
              <c:ext xmlns:c16="http://schemas.microsoft.com/office/drawing/2014/chart" uri="{C3380CC4-5D6E-409C-BE32-E72D297353CC}">
                <c16:uniqueId val="{00000238-1D81-40FA-98E8-636C23DC9EB6}"/>
              </c:ext>
            </c:extLst>
          </c:dPt>
          <c:dPt>
            <c:idx val="8"/>
            <c:invertIfNegative val="0"/>
            <c:bubble3D val="0"/>
            <c:extLst>
              <c:ext xmlns:c16="http://schemas.microsoft.com/office/drawing/2014/chart" uri="{C3380CC4-5D6E-409C-BE32-E72D297353CC}">
                <c16:uniqueId val="{00000239-1D81-40FA-98E8-636C23DC9EB6}"/>
              </c:ext>
            </c:extLst>
          </c:dPt>
          <c:dPt>
            <c:idx val="9"/>
            <c:invertIfNegative val="0"/>
            <c:bubble3D val="0"/>
            <c:extLst>
              <c:ext xmlns:c16="http://schemas.microsoft.com/office/drawing/2014/chart" uri="{C3380CC4-5D6E-409C-BE32-E72D297353CC}">
                <c16:uniqueId val="{0000023A-1D81-40FA-98E8-636C23DC9EB6}"/>
              </c:ext>
            </c:extLst>
          </c:dPt>
          <c:dPt>
            <c:idx val="10"/>
            <c:invertIfNegative val="0"/>
            <c:bubble3D val="0"/>
            <c:extLst>
              <c:ext xmlns:c16="http://schemas.microsoft.com/office/drawing/2014/chart" uri="{C3380CC4-5D6E-409C-BE32-E72D297353CC}">
                <c16:uniqueId val="{0000023B-1D81-40FA-98E8-636C23DC9EB6}"/>
              </c:ext>
            </c:extLst>
          </c:dPt>
          <c:dPt>
            <c:idx val="11"/>
            <c:invertIfNegative val="0"/>
            <c:bubble3D val="0"/>
            <c:extLst>
              <c:ext xmlns:c16="http://schemas.microsoft.com/office/drawing/2014/chart" uri="{C3380CC4-5D6E-409C-BE32-E72D297353CC}">
                <c16:uniqueId val="{0000023C-1D81-40FA-98E8-636C23DC9EB6}"/>
              </c:ext>
            </c:extLst>
          </c:dPt>
          <c:dPt>
            <c:idx val="12"/>
            <c:invertIfNegative val="0"/>
            <c:bubble3D val="0"/>
            <c:extLst>
              <c:ext xmlns:c16="http://schemas.microsoft.com/office/drawing/2014/chart" uri="{C3380CC4-5D6E-409C-BE32-E72D297353CC}">
                <c16:uniqueId val="{0000023D-1D81-40FA-98E8-636C23DC9EB6}"/>
              </c:ext>
            </c:extLst>
          </c:dPt>
          <c:dPt>
            <c:idx val="13"/>
            <c:invertIfNegative val="0"/>
            <c:bubble3D val="0"/>
            <c:extLst>
              <c:ext xmlns:c16="http://schemas.microsoft.com/office/drawing/2014/chart" uri="{C3380CC4-5D6E-409C-BE32-E72D297353CC}">
                <c16:uniqueId val="{0000023E-1D81-40FA-98E8-636C23DC9EB6}"/>
              </c:ext>
            </c:extLst>
          </c:dPt>
          <c:dPt>
            <c:idx val="14"/>
            <c:invertIfNegative val="0"/>
            <c:bubble3D val="0"/>
            <c:extLst>
              <c:ext xmlns:c16="http://schemas.microsoft.com/office/drawing/2014/chart" uri="{C3380CC4-5D6E-409C-BE32-E72D297353CC}">
                <c16:uniqueId val="{0000023F-1D81-40FA-98E8-636C23DC9EB6}"/>
              </c:ext>
            </c:extLst>
          </c:dPt>
          <c:dPt>
            <c:idx val="15"/>
            <c:invertIfNegative val="0"/>
            <c:bubble3D val="0"/>
            <c:extLst>
              <c:ext xmlns:c16="http://schemas.microsoft.com/office/drawing/2014/chart" uri="{C3380CC4-5D6E-409C-BE32-E72D297353CC}">
                <c16:uniqueId val="{00000240-1D81-40FA-98E8-636C23DC9EB6}"/>
              </c:ext>
            </c:extLst>
          </c:dPt>
          <c:dPt>
            <c:idx val="16"/>
            <c:invertIfNegative val="0"/>
            <c:bubble3D val="0"/>
            <c:extLst>
              <c:ext xmlns:c16="http://schemas.microsoft.com/office/drawing/2014/chart" uri="{C3380CC4-5D6E-409C-BE32-E72D297353CC}">
                <c16:uniqueId val="{00000241-1D81-40FA-98E8-636C23DC9EB6}"/>
              </c:ext>
            </c:extLst>
          </c:dPt>
          <c:dPt>
            <c:idx val="17"/>
            <c:invertIfNegative val="0"/>
            <c:bubble3D val="0"/>
            <c:extLst>
              <c:ext xmlns:c16="http://schemas.microsoft.com/office/drawing/2014/chart" uri="{C3380CC4-5D6E-409C-BE32-E72D297353CC}">
                <c16:uniqueId val="{00000242-1D81-40FA-98E8-636C23DC9EB6}"/>
              </c:ext>
            </c:extLst>
          </c:dPt>
          <c:dPt>
            <c:idx val="18"/>
            <c:invertIfNegative val="0"/>
            <c:bubble3D val="0"/>
            <c:extLst>
              <c:ext xmlns:c16="http://schemas.microsoft.com/office/drawing/2014/chart" uri="{C3380CC4-5D6E-409C-BE32-E72D297353CC}">
                <c16:uniqueId val="{00000243-1D81-40FA-98E8-636C23DC9EB6}"/>
              </c:ext>
            </c:extLst>
          </c:dPt>
          <c:dPt>
            <c:idx val="19"/>
            <c:invertIfNegative val="0"/>
            <c:bubble3D val="0"/>
            <c:extLst>
              <c:ext xmlns:c16="http://schemas.microsoft.com/office/drawing/2014/chart" uri="{C3380CC4-5D6E-409C-BE32-E72D297353CC}">
                <c16:uniqueId val="{00000244-1D81-40FA-98E8-636C23DC9EB6}"/>
              </c:ext>
            </c:extLst>
          </c:dPt>
          <c:dPt>
            <c:idx val="20"/>
            <c:invertIfNegative val="0"/>
            <c:bubble3D val="0"/>
            <c:extLst>
              <c:ext xmlns:c16="http://schemas.microsoft.com/office/drawing/2014/chart" uri="{C3380CC4-5D6E-409C-BE32-E72D297353CC}">
                <c16:uniqueId val="{00000245-1D81-40FA-98E8-636C23DC9EB6}"/>
              </c:ext>
            </c:extLst>
          </c:dPt>
          <c:dPt>
            <c:idx val="21"/>
            <c:invertIfNegative val="0"/>
            <c:bubble3D val="0"/>
            <c:extLst>
              <c:ext xmlns:c16="http://schemas.microsoft.com/office/drawing/2014/chart" uri="{C3380CC4-5D6E-409C-BE32-E72D297353CC}">
                <c16:uniqueId val="{00000246-1D81-40FA-98E8-636C23DC9EB6}"/>
              </c:ext>
            </c:extLst>
          </c:dPt>
          <c:dPt>
            <c:idx val="22"/>
            <c:invertIfNegative val="0"/>
            <c:bubble3D val="0"/>
            <c:extLst>
              <c:ext xmlns:c16="http://schemas.microsoft.com/office/drawing/2014/chart" uri="{C3380CC4-5D6E-409C-BE32-E72D297353CC}">
                <c16:uniqueId val="{00000247-1D81-40FA-98E8-636C23DC9EB6}"/>
              </c:ext>
            </c:extLst>
          </c:dPt>
          <c:dPt>
            <c:idx val="23"/>
            <c:invertIfNegative val="0"/>
            <c:bubble3D val="0"/>
            <c:extLst>
              <c:ext xmlns:c16="http://schemas.microsoft.com/office/drawing/2014/chart" uri="{C3380CC4-5D6E-409C-BE32-E72D297353CC}">
                <c16:uniqueId val="{00000248-1D81-40FA-98E8-636C23DC9EB6}"/>
              </c:ext>
            </c:extLst>
          </c:dPt>
          <c:dPt>
            <c:idx val="24"/>
            <c:invertIfNegative val="0"/>
            <c:bubble3D val="0"/>
            <c:extLst>
              <c:ext xmlns:c16="http://schemas.microsoft.com/office/drawing/2014/chart" uri="{C3380CC4-5D6E-409C-BE32-E72D297353CC}">
                <c16:uniqueId val="{00000249-1D81-40FA-98E8-636C23DC9EB6}"/>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Data'!$C$8:$X$8</c:f>
              <c:numCache>
                <c:formatCode>#,##0_ ;\-#,##0\ </c:formatCode>
                <c:ptCount val="22"/>
                <c:pt idx="0">
                  <c:v>5824.2999999999993</c:v>
                </c:pt>
                <c:pt idx="1">
                  <c:v>7718.3</c:v>
                </c:pt>
                <c:pt idx="2">
                  <c:v>8118.3</c:v>
                </c:pt>
                <c:pt idx="3">
                  <c:v>8518.2999999999993</c:v>
                </c:pt>
                <c:pt idx="4">
                  <c:v>8918.2999999999993</c:v>
                </c:pt>
                <c:pt idx="5">
                  <c:v>9811.2999999999993</c:v>
                </c:pt>
                <c:pt idx="6">
                  <c:v>10211.299999999999</c:v>
                </c:pt>
                <c:pt idx="7">
                  <c:v>10211.299999999999</c:v>
                </c:pt>
                <c:pt idx="8">
                  <c:v>10336.82978624</c:v>
                </c:pt>
                <c:pt idx="9">
                  <c:v>10469.34557831</c:v>
                </c:pt>
                <c:pt idx="10">
                  <c:v>10644.89050025</c:v>
                </c:pt>
                <c:pt idx="11">
                  <c:v>10747.39872764</c:v>
                </c:pt>
                <c:pt idx="12">
                  <c:v>10747.39872764</c:v>
                </c:pt>
                <c:pt idx="13">
                  <c:v>10747.39872764</c:v>
                </c:pt>
                <c:pt idx="14">
                  <c:v>10871.878368600001</c:v>
                </c:pt>
                <c:pt idx="15">
                  <c:v>11252.035500760001</c:v>
                </c:pt>
                <c:pt idx="16">
                  <c:v>11964.853830030001</c:v>
                </c:pt>
                <c:pt idx="17">
                  <c:v>13699.853830030001</c:v>
                </c:pt>
                <c:pt idx="18">
                  <c:v>13796.91856509</c:v>
                </c:pt>
                <c:pt idx="19">
                  <c:v>13945.819837449999</c:v>
                </c:pt>
                <c:pt idx="20">
                  <c:v>14132.825395389998</c:v>
                </c:pt>
                <c:pt idx="21">
                  <c:v>14132.825395389998</c:v>
                </c:pt>
              </c:numCache>
            </c:numRef>
          </c:val>
          <c:extLst>
            <c:ext xmlns:c16="http://schemas.microsoft.com/office/drawing/2014/chart" uri="{C3380CC4-5D6E-409C-BE32-E72D297353CC}">
              <c16:uniqueId val="{0000024A-1D81-40FA-98E8-636C23DC9EB6}"/>
            </c:ext>
          </c:extLst>
        </c:ser>
        <c:ser>
          <c:idx val="9"/>
          <c:order val="6"/>
          <c:tx>
            <c:strRef>
              <c:f>'NEMInstalledCapacity Data'!$B$11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24D-1D81-40FA-98E8-636C23DC9EB6}"/>
              </c:ext>
            </c:extLst>
          </c:dPt>
          <c:dPt>
            <c:idx val="1"/>
            <c:invertIfNegative val="0"/>
            <c:bubble3D val="0"/>
            <c:extLst>
              <c:ext xmlns:c16="http://schemas.microsoft.com/office/drawing/2014/chart" uri="{C3380CC4-5D6E-409C-BE32-E72D297353CC}">
                <c16:uniqueId val="{0000024F-1D81-40FA-98E8-636C23DC9EB6}"/>
              </c:ext>
            </c:extLst>
          </c:dPt>
          <c:dPt>
            <c:idx val="2"/>
            <c:invertIfNegative val="0"/>
            <c:bubble3D val="0"/>
            <c:extLst>
              <c:ext xmlns:c16="http://schemas.microsoft.com/office/drawing/2014/chart" uri="{C3380CC4-5D6E-409C-BE32-E72D297353CC}">
                <c16:uniqueId val="{00000251-1D81-40FA-98E8-636C23DC9EB6}"/>
              </c:ext>
            </c:extLst>
          </c:dPt>
          <c:dPt>
            <c:idx val="3"/>
            <c:invertIfNegative val="0"/>
            <c:bubble3D val="0"/>
            <c:extLst>
              <c:ext xmlns:c16="http://schemas.microsoft.com/office/drawing/2014/chart" uri="{C3380CC4-5D6E-409C-BE32-E72D297353CC}">
                <c16:uniqueId val="{00000253-1D81-40FA-98E8-636C23DC9EB6}"/>
              </c:ext>
            </c:extLst>
          </c:dPt>
          <c:dPt>
            <c:idx val="4"/>
            <c:invertIfNegative val="0"/>
            <c:bubble3D val="0"/>
            <c:extLst>
              <c:ext xmlns:c16="http://schemas.microsoft.com/office/drawing/2014/chart" uri="{C3380CC4-5D6E-409C-BE32-E72D297353CC}">
                <c16:uniqueId val="{00000255-1D81-40FA-98E8-636C23DC9EB6}"/>
              </c:ext>
            </c:extLst>
          </c:dPt>
          <c:dPt>
            <c:idx val="5"/>
            <c:invertIfNegative val="0"/>
            <c:bubble3D val="0"/>
            <c:extLst>
              <c:ext xmlns:c16="http://schemas.microsoft.com/office/drawing/2014/chart" uri="{C3380CC4-5D6E-409C-BE32-E72D297353CC}">
                <c16:uniqueId val="{00000257-1D81-40FA-98E8-636C23DC9EB6}"/>
              </c:ext>
            </c:extLst>
          </c:dPt>
          <c:dPt>
            <c:idx val="6"/>
            <c:invertIfNegative val="0"/>
            <c:bubble3D val="0"/>
            <c:extLst>
              <c:ext xmlns:c16="http://schemas.microsoft.com/office/drawing/2014/chart" uri="{C3380CC4-5D6E-409C-BE32-E72D297353CC}">
                <c16:uniqueId val="{00000259-1D81-40FA-98E8-636C23DC9EB6}"/>
              </c:ext>
            </c:extLst>
          </c:dPt>
          <c:dPt>
            <c:idx val="7"/>
            <c:invertIfNegative val="0"/>
            <c:bubble3D val="0"/>
            <c:extLst>
              <c:ext xmlns:c16="http://schemas.microsoft.com/office/drawing/2014/chart" uri="{C3380CC4-5D6E-409C-BE32-E72D297353CC}">
                <c16:uniqueId val="{0000025B-1D81-40FA-98E8-636C23DC9EB6}"/>
              </c:ext>
            </c:extLst>
          </c:dPt>
          <c:dPt>
            <c:idx val="8"/>
            <c:invertIfNegative val="0"/>
            <c:bubble3D val="0"/>
            <c:extLst>
              <c:ext xmlns:c16="http://schemas.microsoft.com/office/drawing/2014/chart" uri="{C3380CC4-5D6E-409C-BE32-E72D297353CC}">
                <c16:uniqueId val="{0000025D-1D81-40FA-98E8-636C23DC9EB6}"/>
              </c:ext>
            </c:extLst>
          </c:dPt>
          <c:dPt>
            <c:idx val="9"/>
            <c:invertIfNegative val="0"/>
            <c:bubble3D val="0"/>
            <c:extLst>
              <c:ext xmlns:c16="http://schemas.microsoft.com/office/drawing/2014/chart" uri="{C3380CC4-5D6E-409C-BE32-E72D297353CC}">
                <c16:uniqueId val="{0000025F-1D81-40FA-98E8-636C23DC9EB6}"/>
              </c:ext>
            </c:extLst>
          </c:dPt>
          <c:dPt>
            <c:idx val="10"/>
            <c:invertIfNegative val="0"/>
            <c:bubble3D val="0"/>
            <c:extLst>
              <c:ext xmlns:c16="http://schemas.microsoft.com/office/drawing/2014/chart" uri="{C3380CC4-5D6E-409C-BE32-E72D297353CC}">
                <c16:uniqueId val="{00000261-1D81-40FA-98E8-636C23DC9EB6}"/>
              </c:ext>
            </c:extLst>
          </c:dPt>
          <c:dPt>
            <c:idx val="11"/>
            <c:invertIfNegative val="0"/>
            <c:bubble3D val="0"/>
            <c:extLst>
              <c:ext xmlns:c16="http://schemas.microsoft.com/office/drawing/2014/chart" uri="{C3380CC4-5D6E-409C-BE32-E72D297353CC}">
                <c16:uniqueId val="{00000263-1D81-40FA-98E8-636C23DC9EB6}"/>
              </c:ext>
            </c:extLst>
          </c:dPt>
          <c:dPt>
            <c:idx val="12"/>
            <c:invertIfNegative val="0"/>
            <c:bubble3D val="0"/>
            <c:extLst>
              <c:ext xmlns:c16="http://schemas.microsoft.com/office/drawing/2014/chart" uri="{C3380CC4-5D6E-409C-BE32-E72D297353CC}">
                <c16:uniqueId val="{00000265-1D81-40FA-98E8-636C23DC9EB6}"/>
              </c:ext>
            </c:extLst>
          </c:dPt>
          <c:dPt>
            <c:idx val="13"/>
            <c:invertIfNegative val="0"/>
            <c:bubble3D val="0"/>
            <c:extLst>
              <c:ext xmlns:c16="http://schemas.microsoft.com/office/drawing/2014/chart" uri="{C3380CC4-5D6E-409C-BE32-E72D297353CC}">
                <c16:uniqueId val="{00000267-1D81-40FA-98E8-636C23DC9EB6}"/>
              </c:ext>
            </c:extLst>
          </c:dPt>
          <c:dPt>
            <c:idx val="14"/>
            <c:invertIfNegative val="0"/>
            <c:bubble3D val="0"/>
            <c:extLst>
              <c:ext xmlns:c16="http://schemas.microsoft.com/office/drawing/2014/chart" uri="{C3380CC4-5D6E-409C-BE32-E72D297353CC}">
                <c16:uniqueId val="{00000269-1D81-40FA-98E8-636C23DC9EB6}"/>
              </c:ext>
            </c:extLst>
          </c:dPt>
          <c:dPt>
            <c:idx val="15"/>
            <c:invertIfNegative val="0"/>
            <c:bubble3D val="0"/>
            <c:extLst>
              <c:ext xmlns:c16="http://schemas.microsoft.com/office/drawing/2014/chart" uri="{C3380CC4-5D6E-409C-BE32-E72D297353CC}">
                <c16:uniqueId val="{0000026B-1D81-40FA-98E8-636C23DC9EB6}"/>
              </c:ext>
            </c:extLst>
          </c:dPt>
          <c:dPt>
            <c:idx val="16"/>
            <c:invertIfNegative val="0"/>
            <c:bubble3D val="0"/>
            <c:extLst>
              <c:ext xmlns:c16="http://schemas.microsoft.com/office/drawing/2014/chart" uri="{C3380CC4-5D6E-409C-BE32-E72D297353CC}">
                <c16:uniqueId val="{0000026D-1D81-40FA-98E8-636C23DC9EB6}"/>
              </c:ext>
            </c:extLst>
          </c:dPt>
          <c:dPt>
            <c:idx val="17"/>
            <c:invertIfNegative val="0"/>
            <c:bubble3D val="0"/>
            <c:extLst>
              <c:ext xmlns:c16="http://schemas.microsoft.com/office/drawing/2014/chart" uri="{C3380CC4-5D6E-409C-BE32-E72D297353CC}">
                <c16:uniqueId val="{0000026F-1D81-40FA-98E8-636C23DC9EB6}"/>
              </c:ext>
            </c:extLst>
          </c:dPt>
          <c:dPt>
            <c:idx val="18"/>
            <c:invertIfNegative val="0"/>
            <c:bubble3D val="0"/>
            <c:extLst>
              <c:ext xmlns:c16="http://schemas.microsoft.com/office/drawing/2014/chart" uri="{C3380CC4-5D6E-409C-BE32-E72D297353CC}">
                <c16:uniqueId val="{00000271-1D81-40FA-98E8-636C23DC9EB6}"/>
              </c:ext>
            </c:extLst>
          </c:dPt>
          <c:dPt>
            <c:idx val="19"/>
            <c:invertIfNegative val="0"/>
            <c:bubble3D val="0"/>
            <c:extLst>
              <c:ext xmlns:c16="http://schemas.microsoft.com/office/drawing/2014/chart" uri="{C3380CC4-5D6E-409C-BE32-E72D297353CC}">
                <c16:uniqueId val="{00000273-1D81-40FA-98E8-636C23DC9EB6}"/>
              </c:ext>
            </c:extLst>
          </c:dPt>
          <c:dPt>
            <c:idx val="20"/>
            <c:invertIfNegative val="0"/>
            <c:bubble3D val="0"/>
            <c:extLst>
              <c:ext xmlns:c16="http://schemas.microsoft.com/office/drawing/2014/chart" uri="{C3380CC4-5D6E-409C-BE32-E72D297353CC}">
                <c16:uniqueId val="{00000275-1D81-40FA-98E8-636C23DC9EB6}"/>
              </c:ext>
            </c:extLst>
          </c:dPt>
          <c:dPt>
            <c:idx val="21"/>
            <c:invertIfNegative val="0"/>
            <c:bubble3D val="0"/>
            <c:extLst>
              <c:ext xmlns:c16="http://schemas.microsoft.com/office/drawing/2014/chart" uri="{C3380CC4-5D6E-409C-BE32-E72D297353CC}">
                <c16:uniqueId val="{00000277-1D81-40FA-98E8-636C23DC9EB6}"/>
              </c:ext>
            </c:extLst>
          </c:dPt>
          <c:dPt>
            <c:idx val="22"/>
            <c:invertIfNegative val="0"/>
            <c:bubble3D val="0"/>
            <c:extLst>
              <c:ext xmlns:c16="http://schemas.microsoft.com/office/drawing/2014/chart" uri="{C3380CC4-5D6E-409C-BE32-E72D297353CC}">
                <c16:uniqueId val="{00000279-1D81-40FA-98E8-636C23DC9EB6}"/>
              </c:ext>
            </c:extLst>
          </c:dPt>
          <c:dPt>
            <c:idx val="23"/>
            <c:invertIfNegative val="0"/>
            <c:bubble3D val="0"/>
            <c:extLst>
              <c:ext xmlns:c16="http://schemas.microsoft.com/office/drawing/2014/chart" uri="{C3380CC4-5D6E-409C-BE32-E72D297353CC}">
                <c16:uniqueId val="{0000027B-1D81-40FA-98E8-636C23DC9EB6}"/>
              </c:ext>
            </c:extLst>
          </c:dPt>
          <c:dPt>
            <c:idx val="24"/>
            <c:invertIfNegative val="0"/>
            <c:bubble3D val="0"/>
            <c:extLst>
              <c:ext xmlns:c16="http://schemas.microsoft.com/office/drawing/2014/chart" uri="{C3380CC4-5D6E-409C-BE32-E72D297353CC}">
                <c16:uniqueId val="{0000027D-1D81-40FA-98E8-636C23DC9EB6}"/>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Data'!$C$11:$X$11</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114.28591900000001</c:v>
                </c:pt>
                <c:pt idx="18">
                  <c:v>194.46087225000002</c:v>
                </c:pt>
                <c:pt idx="19">
                  <c:v>194.46087225000002</c:v>
                </c:pt>
                <c:pt idx="20">
                  <c:v>294.82928600000002</c:v>
                </c:pt>
                <c:pt idx="21">
                  <c:v>294.82928600000002</c:v>
                </c:pt>
              </c:numCache>
            </c:numRef>
          </c:val>
          <c:extLst>
            <c:ext xmlns:c16="http://schemas.microsoft.com/office/drawing/2014/chart" uri="{C3380CC4-5D6E-409C-BE32-E72D297353CC}">
              <c16:uniqueId val="{0000027E-1D81-40FA-98E8-636C23DC9EB6}"/>
            </c:ext>
          </c:extLst>
        </c:ser>
        <c:ser>
          <c:idx val="6"/>
          <c:order val="7"/>
          <c:tx>
            <c:strRef>
              <c:f>'NEMInstalledCapacity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81-1D81-40FA-98E8-636C23DC9EB6}"/>
              </c:ext>
            </c:extLst>
          </c:dPt>
          <c:dPt>
            <c:idx val="1"/>
            <c:invertIfNegative val="0"/>
            <c:bubble3D val="0"/>
            <c:extLst>
              <c:ext xmlns:c16="http://schemas.microsoft.com/office/drawing/2014/chart" uri="{C3380CC4-5D6E-409C-BE32-E72D297353CC}">
                <c16:uniqueId val="{00000283-1D81-40FA-98E8-636C23DC9EB6}"/>
              </c:ext>
            </c:extLst>
          </c:dPt>
          <c:dPt>
            <c:idx val="2"/>
            <c:invertIfNegative val="0"/>
            <c:bubble3D val="0"/>
            <c:extLst>
              <c:ext xmlns:c16="http://schemas.microsoft.com/office/drawing/2014/chart" uri="{C3380CC4-5D6E-409C-BE32-E72D297353CC}">
                <c16:uniqueId val="{00000285-1D81-40FA-98E8-636C23DC9EB6}"/>
              </c:ext>
            </c:extLst>
          </c:dPt>
          <c:dPt>
            <c:idx val="3"/>
            <c:invertIfNegative val="0"/>
            <c:bubble3D val="0"/>
            <c:extLst>
              <c:ext xmlns:c16="http://schemas.microsoft.com/office/drawing/2014/chart" uri="{C3380CC4-5D6E-409C-BE32-E72D297353CC}">
                <c16:uniqueId val="{00000287-1D81-40FA-98E8-636C23DC9EB6}"/>
              </c:ext>
            </c:extLst>
          </c:dPt>
          <c:dPt>
            <c:idx val="4"/>
            <c:invertIfNegative val="0"/>
            <c:bubble3D val="0"/>
            <c:extLst>
              <c:ext xmlns:c16="http://schemas.microsoft.com/office/drawing/2014/chart" uri="{C3380CC4-5D6E-409C-BE32-E72D297353CC}">
                <c16:uniqueId val="{00000289-1D81-40FA-98E8-636C23DC9EB6}"/>
              </c:ext>
            </c:extLst>
          </c:dPt>
          <c:dPt>
            <c:idx val="5"/>
            <c:invertIfNegative val="0"/>
            <c:bubble3D val="0"/>
            <c:extLst>
              <c:ext xmlns:c16="http://schemas.microsoft.com/office/drawing/2014/chart" uri="{C3380CC4-5D6E-409C-BE32-E72D297353CC}">
                <c16:uniqueId val="{0000028B-1D81-40FA-98E8-636C23DC9EB6}"/>
              </c:ext>
            </c:extLst>
          </c:dPt>
          <c:dPt>
            <c:idx val="6"/>
            <c:invertIfNegative val="0"/>
            <c:bubble3D val="0"/>
            <c:extLst>
              <c:ext xmlns:c16="http://schemas.microsoft.com/office/drawing/2014/chart" uri="{C3380CC4-5D6E-409C-BE32-E72D297353CC}">
                <c16:uniqueId val="{0000028D-1D81-40FA-98E8-636C23DC9EB6}"/>
              </c:ext>
            </c:extLst>
          </c:dPt>
          <c:dPt>
            <c:idx val="7"/>
            <c:invertIfNegative val="0"/>
            <c:bubble3D val="0"/>
            <c:extLst>
              <c:ext xmlns:c16="http://schemas.microsoft.com/office/drawing/2014/chart" uri="{C3380CC4-5D6E-409C-BE32-E72D297353CC}">
                <c16:uniqueId val="{0000028F-1D81-40FA-98E8-636C23DC9EB6}"/>
              </c:ext>
            </c:extLst>
          </c:dPt>
          <c:dPt>
            <c:idx val="8"/>
            <c:invertIfNegative val="0"/>
            <c:bubble3D val="0"/>
            <c:extLst>
              <c:ext xmlns:c16="http://schemas.microsoft.com/office/drawing/2014/chart" uri="{C3380CC4-5D6E-409C-BE32-E72D297353CC}">
                <c16:uniqueId val="{00000291-1D81-40FA-98E8-636C23DC9EB6}"/>
              </c:ext>
            </c:extLst>
          </c:dPt>
          <c:dPt>
            <c:idx val="9"/>
            <c:invertIfNegative val="0"/>
            <c:bubble3D val="0"/>
            <c:extLst>
              <c:ext xmlns:c16="http://schemas.microsoft.com/office/drawing/2014/chart" uri="{C3380CC4-5D6E-409C-BE32-E72D297353CC}">
                <c16:uniqueId val="{00000293-1D81-40FA-98E8-636C23DC9EB6}"/>
              </c:ext>
            </c:extLst>
          </c:dPt>
          <c:dPt>
            <c:idx val="10"/>
            <c:invertIfNegative val="0"/>
            <c:bubble3D val="0"/>
            <c:extLst>
              <c:ext xmlns:c16="http://schemas.microsoft.com/office/drawing/2014/chart" uri="{C3380CC4-5D6E-409C-BE32-E72D297353CC}">
                <c16:uniqueId val="{00000295-1D81-40FA-98E8-636C23DC9EB6}"/>
              </c:ext>
            </c:extLst>
          </c:dPt>
          <c:dPt>
            <c:idx val="11"/>
            <c:invertIfNegative val="0"/>
            <c:bubble3D val="0"/>
            <c:extLst>
              <c:ext xmlns:c16="http://schemas.microsoft.com/office/drawing/2014/chart" uri="{C3380CC4-5D6E-409C-BE32-E72D297353CC}">
                <c16:uniqueId val="{00000297-1D81-40FA-98E8-636C23DC9EB6}"/>
              </c:ext>
            </c:extLst>
          </c:dPt>
          <c:dPt>
            <c:idx val="12"/>
            <c:invertIfNegative val="0"/>
            <c:bubble3D val="0"/>
            <c:extLst>
              <c:ext xmlns:c16="http://schemas.microsoft.com/office/drawing/2014/chart" uri="{C3380CC4-5D6E-409C-BE32-E72D297353CC}">
                <c16:uniqueId val="{00000299-1D81-40FA-98E8-636C23DC9EB6}"/>
              </c:ext>
            </c:extLst>
          </c:dPt>
          <c:dPt>
            <c:idx val="13"/>
            <c:invertIfNegative val="0"/>
            <c:bubble3D val="0"/>
            <c:extLst>
              <c:ext xmlns:c16="http://schemas.microsoft.com/office/drawing/2014/chart" uri="{C3380CC4-5D6E-409C-BE32-E72D297353CC}">
                <c16:uniqueId val="{0000029B-1D81-40FA-98E8-636C23DC9EB6}"/>
              </c:ext>
            </c:extLst>
          </c:dPt>
          <c:dPt>
            <c:idx val="14"/>
            <c:invertIfNegative val="0"/>
            <c:bubble3D val="0"/>
            <c:extLst>
              <c:ext xmlns:c16="http://schemas.microsoft.com/office/drawing/2014/chart" uri="{C3380CC4-5D6E-409C-BE32-E72D297353CC}">
                <c16:uniqueId val="{0000029D-1D81-40FA-98E8-636C23DC9EB6}"/>
              </c:ext>
            </c:extLst>
          </c:dPt>
          <c:dPt>
            <c:idx val="15"/>
            <c:invertIfNegative val="0"/>
            <c:bubble3D val="0"/>
            <c:extLst>
              <c:ext xmlns:c16="http://schemas.microsoft.com/office/drawing/2014/chart" uri="{C3380CC4-5D6E-409C-BE32-E72D297353CC}">
                <c16:uniqueId val="{0000029F-1D81-40FA-98E8-636C23DC9EB6}"/>
              </c:ext>
            </c:extLst>
          </c:dPt>
          <c:dPt>
            <c:idx val="16"/>
            <c:invertIfNegative val="0"/>
            <c:bubble3D val="0"/>
            <c:extLst>
              <c:ext xmlns:c16="http://schemas.microsoft.com/office/drawing/2014/chart" uri="{C3380CC4-5D6E-409C-BE32-E72D297353CC}">
                <c16:uniqueId val="{000002A1-1D81-40FA-98E8-636C23DC9EB6}"/>
              </c:ext>
            </c:extLst>
          </c:dPt>
          <c:dPt>
            <c:idx val="17"/>
            <c:invertIfNegative val="0"/>
            <c:bubble3D val="0"/>
            <c:extLst>
              <c:ext xmlns:c16="http://schemas.microsoft.com/office/drawing/2014/chart" uri="{C3380CC4-5D6E-409C-BE32-E72D297353CC}">
                <c16:uniqueId val="{000002A3-1D81-40FA-98E8-636C23DC9EB6}"/>
              </c:ext>
            </c:extLst>
          </c:dPt>
          <c:dPt>
            <c:idx val="18"/>
            <c:invertIfNegative val="0"/>
            <c:bubble3D val="0"/>
            <c:extLst>
              <c:ext xmlns:c16="http://schemas.microsoft.com/office/drawing/2014/chart" uri="{C3380CC4-5D6E-409C-BE32-E72D297353CC}">
                <c16:uniqueId val="{000002A5-1D81-40FA-98E8-636C23DC9EB6}"/>
              </c:ext>
            </c:extLst>
          </c:dPt>
          <c:dPt>
            <c:idx val="19"/>
            <c:invertIfNegative val="0"/>
            <c:bubble3D val="0"/>
            <c:extLst>
              <c:ext xmlns:c16="http://schemas.microsoft.com/office/drawing/2014/chart" uri="{C3380CC4-5D6E-409C-BE32-E72D297353CC}">
                <c16:uniqueId val="{000002A7-1D81-40FA-98E8-636C23DC9EB6}"/>
              </c:ext>
            </c:extLst>
          </c:dPt>
          <c:dPt>
            <c:idx val="20"/>
            <c:invertIfNegative val="0"/>
            <c:bubble3D val="0"/>
            <c:extLst>
              <c:ext xmlns:c16="http://schemas.microsoft.com/office/drawing/2014/chart" uri="{C3380CC4-5D6E-409C-BE32-E72D297353CC}">
                <c16:uniqueId val="{000002A9-1D81-40FA-98E8-636C23DC9EB6}"/>
              </c:ext>
            </c:extLst>
          </c:dPt>
          <c:dPt>
            <c:idx val="21"/>
            <c:invertIfNegative val="0"/>
            <c:bubble3D val="0"/>
            <c:extLst>
              <c:ext xmlns:c16="http://schemas.microsoft.com/office/drawing/2014/chart" uri="{C3380CC4-5D6E-409C-BE32-E72D297353CC}">
                <c16:uniqueId val="{000002AB-1D81-40FA-98E8-636C23DC9EB6}"/>
              </c:ext>
            </c:extLst>
          </c:dPt>
          <c:dPt>
            <c:idx val="22"/>
            <c:invertIfNegative val="0"/>
            <c:bubble3D val="0"/>
            <c:extLst>
              <c:ext xmlns:c16="http://schemas.microsoft.com/office/drawing/2014/chart" uri="{C3380CC4-5D6E-409C-BE32-E72D297353CC}">
                <c16:uniqueId val="{000002AD-1D81-40FA-98E8-636C23DC9EB6}"/>
              </c:ext>
            </c:extLst>
          </c:dPt>
          <c:dPt>
            <c:idx val="23"/>
            <c:invertIfNegative val="0"/>
            <c:bubble3D val="0"/>
            <c:extLst>
              <c:ext xmlns:c16="http://schemas.microsoft.com/office/drawing/2014/chart" uri="{C3380CC4-5D6E-409C-BE32-E72D297353CC}">
                <c16:uniqueId val="{000002AF-1D81-40FA-98E8-636C23DC9EB6}"/>
              </c:ext>
            </c:extLst>
          </c:dPt>
          <c:dPt>
            <c:idx val="24"/>
            <c:invertIfNegative val="0"/>
            <c:bubble3D val="0"/>
            <c:extLst>
              <c:ext xmlns:c16="http://schemas.microsoft.com/office/drawing/2014/chart" uri="{C3380CC4-5D6E-409C-BE32-E72D297353CC}">
                <c16:uniqueId val="{000002B1-1D81-40FA-98E8-636C23DC9EB6}"/>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Data'!$C$9:$X$9</c:f>
              <c:numCache>
                <c:formatCode>#,##0_ ;\-#,##0\ </c:formatCode>
                <c:ptCount val="22"/>
                <c:pt idx="0">
                  <c:v>2211.9</c:v>
                </c:pt>
                <c:pt idx="1">
                  <c:v>2686.5024586800005</c:v>
                </c:pt>
                <c:pt idx="2">
                  <c:v>2686.5024586800005</c:v>
                </c:pt>
                <c:pt idx="3">
                  <c:v>2782.5024586800005</c:v>
                </c:pt>
                <c:pt idx="4">
                  <c:v>3761.5816337400001</c:v>
                </c:pt>
                <c:pt idx="5">
                  <c:v>4345.5816337400001</c:v>
                </c:pt>
                <c:pt idx="6">
                  <c:v>5671.5116768899998</c:v>
                </c:pt>
                <c:pt idx="7">
                  <c:v>6932.2290502799997</c:v>
                </c:pt>
                <c:pt idx="8">
                  <c:v>7578.9802352299994</c:v>
                </c:pt>
                <c:pt idx="9">
                  <c:v>8140.2672412900001</c:v>
                </c:pt>
                <c:pt idx="10">
                  <c:v>8747.6106210399994</c:v>
                </c:pt>
                <c:pt idx="11">
                  <c:v>9328.0324114899995</c:v>
                </c:pt>
                <c:pt idx="12">
                  <c:v>9328.0324114899995</c:v>
                </c:pt>
                <c:pt idx="13">
                  <c:v>9328.0324114899995</c:v>
                </c:pt>
                <c:pt idx="14">
                  <c:v>9328.0324114899995</c:v>
                </c:pt>
                <c:pt idx="15">
                  <c:v>9328.0324114899995</c:v>
                </c:pt>
                <c:pt idx="16">
                  <c:v>10510.523072100001</c:v>
                </c:pt>
                <c:pt idx="17">
                  <c:v>13866.824073329999</c:v>
                </c:pt>
                <c:pt idx="18">
                  <c:v>17621.903112779997</c:v>
                </c:pt>
                <c:pt idx="19">
                  <c:v>18146.257155890002</c:v>
                </c:pt>
                <c:pt idx="20">
                  <c:v>19376.82819208</c:v>
                </c:pt>
                <c:pt idx="21">
                  <c:v>19661.50894399</c:v>
                </c:pt>
              </c:numCache>
            </c:numRef>
          </c:val>
          <c:extLst>
            <c:ext xmlns:c16="http://schemas.microsoft.com/office/drawing/2014/chart" uri="{C3380CC4-5D6E-409C-BE32-E72D297353CC}">
              <c16:uniqueId val="{000002B2-1D81-40FA-98E8-636C23DC9EB6}"/>
            </c:ext>
          </c:extLst>
        </c:ser>
        <c:ser>
          <c:idx val="7"/>
          <c:order val="8"/>
          <c:tx>
            <c:strRef>
              <c:f>'NEMInstalledCapacity Data'!$B$10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B5-1D81-40FA-98E8-636C23DC9EB6}"/>
              </c:ext>
            </c:extLst>
          </c:dPt>
          <c:dPt>
            <c:idx val="1"/>
            <c:invertIfNegative val="0"/>
            <c:bubble3D val="0"/>
            <c:extLst>
              <c:ext xmlns:c16="http://schemas.microsoft.com/office/drawing/2014/chart" uri="{C3380CC4-5D6E-409C-BE32-E72D297353CC}">
                <c16:uniqueId val="{000002B7-1D81-40FA-98E8-636C23DC9EB6}"/>
              </c:ext>
            </c:extLst>
          </c:dPt>
          <c:dPt>
            <c:idx val="2"/>
            <c:invertIfNegative val="0"/>
            <c:bubble3D val="0"/>
            <c:extLst>
              <c:ext xmlns:c16="http://schemas.microsoft.com/office/drawing/2014/chart" uri="{C3380CC4-5D6E-409C-BE32-E72D297353CC}">
                <c16:uniqueId val="{000002B9-1D81-40FA-98E8-636C23DC9EB6}"/>
              </c:ext>
            </c:extLst>
          </c:dPt>
          <c:dPt>
            <c:idx val="3"/>
            <c:invertIfNegative val="0"/>
            <c:bubble3D val="0"/>
            <c:extLst>
              <c:ext xmlns:c16="http://schemas.microsoft.com/office/drawing/2014/chart" uri="{C3380CC4-5D6E-409C-BE32-E72D297353CC}">
                <c16:uniqueId val="{000002BB-1D81-40FA-98E8-636C23DC9EB6}"/>
              </c:ext>
            </c:extLst>
          </c:dPt>
          <c:dPt>
            <c:idx val="4"/>
            <c:invertIfNegative val="0"/>
            <c:bubble3D val="0"/>
            <c:extLst>
              <c:ext xmlns:c16="http://schemas.microsoft.com/office/drawing/2014/chart" uri="{C3380CC4-5D6E-409C-BE32-E72D297353CC}">
                <c16:uniqueId val="{000002BD-1D81-40FA-98E8-636C23DC9EB6}"/>
              </c:ext>
            </c:extLst>
          </c:dPt>
          <c:dPt>
            <c:idx val="5"/>
            <c:invertIfNegative val="0"/>
            <c:bubble3D val="0"/>
            <c:extLst>
              <c:ext xmlns:c16="http://schemas.microsoft.com/office/drawing/2014/chart" uri="{C3380CC4-5D6E-409C-BE32-E72D297353CC}">
                <c16:uniqueId val="{000002BF-1D81-40FA-98E8-636C23DC9EB6}"/>
              </c:ext>
            </c:extLst>
          </c:dPt>
          <c:dPt>
            <c:idx val="6"/>
            <c:invertIfNegative val="0"/>
            <c:bubble3D val="0"/>
            <c:extLst>
              <c:ext xmlns:c16="http://schemas.microsoft.com/office/drawing/2014/chart" uri="{C3380CC4-5D6E-409C-BE32-E72D297353CC}">
                <c16:uniqueId val="{000002C1-1D81-40FA-98E8-636C23DC9EB6}"/>
              </c:ext>
            </c:extLst>
          </c:dPt>
          <c:dPt>
            <c:idx val="7"/>
            <c:invertIfNegative val="0"/>
            <c:bubble3D val="0"/>
            <c:extLst>
              <c:ext xmlns:c16="http://schemas.microsoft.com/office/drawing/2014/chart" uri="{C3380CC4-5D6E-409C-BE32-E72D297353CC}">
                <c16:uniqueId val="{000002C3-1D81-40FA-98E8-636C23DC9EB6}"/>
              </c:ext>
            </c:extLst>
          </c:dPt>
          <c:dPt>
            <c:idx val="8"/>
            <c:invertIfNegative val="0"/>
            <c:bubble3D val="0"/>
            <c:extLst>
              <c:ext xmlns:c16="http://schemas.microsoft.com/office/drawing/2014/chart" uri="{C3380CC4-5D6E-409C-BE32-E72D297353CC}">
                <c16:uniqueId val="{000002C5-1D81-40FA-98E8-636C23DC9EB6}"/>
              </c:ext>
            </c:extLst>
          </c:dPt>
          <c:dPt>
            <c:idx val="9"/>
            <c:invertIfNegative val="0"/>
            <c:bubble3D val="0"/>
            <c:extLst>
              <c:ext xmlns:c16="http://schemas.microsoft.com/office/drawing/2014/chart" uri="{C3380CC4-5D6E-409C-BE32-E72D297353CC}">
                <c16:uniqueId val="{000002C7-1D81-40FA-98E8-636C23DC9EB6}"/>
              </c:ext>
            </c:extLst>
          </c:dPt>
          <c:dPt>
            <c:idx val="10"/>
            <c:invertIfNegative val="0"/>
            <c:bubble3D val="0"/>
            <c:extLst>
              <c:ext xmlns:c16="http://schemas.microsoft.com/office/drawing/2014/chart" uri="{C3380CC4-5D6E-409C-BE32-E72D297353CC}">
                <c16:uniqueId val="{000002C9-1D81-40FA-98E8-636C23DC9EB6}"/>
              </c:ext>
            </c:extLst>
          </c:dPt>
          <c:dPt>
            <c:idx val="11"/>
            <c:invertIfNegative val="0"/>
            <c:bubble3D val="0"/>
            <c:extLst>
              <c:ext xmlns:c16="http://schemas.microsoft.com/office/drawing/2014/chart" uri="{C3380CC4-5D6E-409C-BE32-E72D297353CC}">
                <c16:uniqueId val="{000002CB-1D81-40FA-98E8-636C23DC9EB6}"/>
              </c:ext>
            </c:extLst>
          </c:dPt>
          <c:dPt>
            <c:idx val="12"/>
            <c:invertIfNegative val="0"/>
            <c:bubble3D val="0"/>
            <c:extLst>
              <c:ext xmlns:c16="http://schemas.microsoft.com/office/drawing/2014/chart" uri="{C3380CC4-5D6E-409C-BE32-E72D297353CC}">
                <c16:uniqueId val="{000002CD-1D81-40FA-98E8-636C23DC9EB6}"/>
              </c:ext>
            </c:extLst>
          </c:dPt>
          <c:dPt>
            <c:idx val="13"/>
            <c:invertIfNegative val="0"/>
            <c:bubble3D val="0"/>
            <c:extLst>
              <c:ext xmlns:c16="http://schemas.microsoft.com/office/drawing/2014/chart" uri="{C3380CC4-5D6E-409C-BE32-E72D297353CC}">
                <c16:uniqueId val="{000002CF-1D81-40FA-98E8-636C23DC9EB6}"/>
              </c:ext>
            </c:extLst>
          </c:dPt>
          <c:dPt>
            <c:idx val="14"/>
            <c:invertIfNegative val="0"/>
            <c:bubble3D val="0"/>
            <c:extLst>
              <c:ext xmlns:c16="http://schemas.microsoft.com/office/drawing/2014/chart" uri="{C3380CC4-5D6E-409C-BE32-E72D297353CC}">
                <c16:uniqueId val="{000002D1-1D81-40FA-98E8-636C23DC9EB6}"/>
              </c:ext>
            </c:extLst>
          </c:dPt>
          <c:dPt>
            <c:idx val="15"/>
            <c:invertIfNegative val="0"/>
            <c:bubble3D val="0"/>
            <c:extLst>
              <c:ext xmlns:c16="http://schemas.microsoft.com/office/drawing/2014/chart" uri="{C3380CC4-5D6E-409C-BE32-E72D297353CC}">
                <c16:uniqueId val="{000002D3-1D81-40FA-98E8-636C23DC9EB6}"/>
              </c:ext>
            </c:extLst>
          </c:dPt>
          <c:dPt>
            <c:idx val="16"/>
            <c:invertIfNegative val="0"/>
            <c:bubble3D val="0"/>
            <c:extLst>
              <c:ext xmlns:c16="http://schemas.microsoft.com/office/drawing/2014/chart" uri="{C3380CC4-5D6E-409C-BE32-E72D297353CC}">
                <c16:uniqueId val="{000002D5-1D81-40FA-98E8-636C23DC9EB6}"/>
              </c:ext>
            </c:extLst>
          </c:dPt>
          <c:dPt>
            <c:idx val="17"/>
            <c:invertIfNegative val="0"/>
            <c:bubble3D val="0"/>
            <c:extLst>
              <c:ext xmlns:c16="http://schemas.microsoft.com/office/drawing/2014/chart" uri="{C3380CC4-5D6E-409C-BE32-E72D297353CC}">
                <c16:uniqueId val="{000002D7-1D81-40FA-98E8-636C23DC9EB6}"/>
              </c:ext>
            </c:extLst>
          </c:dPt>
          <c:dPt>
            <c:idx val="18"/>
            <c:invertIfNegative val="0"/>
            <c:bubble3D val="0"/>
            <c:extLst>
              <c:ext xmlns:c16="http://schemas.microsoft.com/office/drawing/2014/chart" uri="{C3380CC4-5D6E-409C-BE32-E72D297353CC}">
                <c16:uniqueId val="{000002D9-1D81-40FA-98E8-636C23DC9EB6}"/>
              </c:ext>
            </c:extLst>
          </c:dPt>
          <c:dPt>
            <c:idx val="19"/>
            <c:invertIfNegative val="0"/>
            <c:bubble3D val="0"/>
            <c:extLst>
              <c:ext xmlns:c16="http://schemas.microsoft.com/office/drawing/2014/chart" uri="{C3380CC4-5D6E-409C-BE32-E72D297353CC}">
                <c16:uniqueId val="{000002DB-1D81-40FA-98E8-636C23DC9EB6}"/>
              </c:ext>
            </c:extLst>
          </c:dPt>
          <c:dPt>
            <c:idx val="20"/>
            <c:invertIfNegative val="0"/>
            <c:bubble3D val="0"/>
            <c:extLst>
              <c:ext xmlns:c16="http://schemas.microsoft.com/office/drawing/2014/chart" uri="{C3380CC4-5D6E-409C-BE32-E72D297353CC}">
                <c16:uniqueId val="{000002DD-1D81-40FA-98E8-636C23DC9EB6}"/>
              </c:ext>
            </c:extLst>
          </c:dPt>
          <c:dPt>
            <c:idx val="21"/>
            <c:invertIfNegative val="0"/>
            <c:bubble3D val="0"/>
            <c:extLst>
              <c:ext xmlns:c16="http://schemas.microsoft.com/office/drawing/2014/chart" uri="{C3380CC4-5D6E-409C-BE32-E72D297353CC}">
                <c16:uniqueId val="{000002DF-1D81-40FA-98E8-636C23DC9EB6}"/>
              </c:ext>
            </c:extLst>
          </c:dPt>
          <c:dPt>
            <c:idx val="22"/>
            <c:invertIfNegative val="0"/>
            <c:bubble3D val="0"/>
            <c:extLst>
              <c:ext xmlns:c16="http://schemas.microsoft.com/office/drawing/2014/chart" uri="{C3380CC4-5D6E-409C-BE32-E72D297353CC}">
                <c16:uniqueId val="{000002E1-1D81-40FA-98E8-636C23DC9EB6}"/>
              </c:ext>
            </c:extLst>
          </c:dPt>
          <c:dPt>
            <c:idx val="23"/>
            <c:invertIfNegative val="0"/>
            <c:bubble3D val="0"/>
            <c:extLst>
              <c:ext xmlns:c16="http://schemas.microsoft.com/office/drawing/2014/chart" uri="{C3380CC4-5D6E-409C-BE32-E72D297353CC}">
                <c16:uniqueId val="{000002E3-1D81-40FA-98E8-636C23DC9EB6}"/>
              </c:ext>
            </c:extLst>
          </c:dPt>
          <c:dPt>
            <c:idx val="24"/>
            <c:invertIfNegative val="0"/>
            <c:bubble3D val="0"/>
            <c:extLst>
              <c:ext xmlns:c16="http://schemas.microsoft.com/office/drawing/2014/chart" uri="{C3380CC4-5D6E-409C-BE32-E72D297353CC}">
                <c16:uniqueId val="{000002E5-1D81-40FA-98E8-636C23DC9EB6}"/>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Data'!$C$10:$X$10</c:f>
              <c:numCache>
                <c:formatCode>#,##0_ ;\-#,##0\ </c:formatCode>
                <c:ptCount val="22"/>
                <c:pt idx="0">
                  <c:v>2681.4</c:v>
                </c:pt>
                <c:pt idx="1">
                  <c:v>2701.4</c:v>
                </c:pt>
                <c:pt idx="2">
                  <c:v>2801.4</c:v>
                </c:pt>
                <c:pt idx="3">
                  <c:v>2801.4</c:v>
                </c:pt>
                <c:pt idx="4">
                  <c:v>2801.4</c:v>
                </c:pt>
                <c:pt idx="5">
                  <c:v>2801.4</c:v>
                </c:pt>
                <c:pt idx="6">
                  <c:v>3003.77628</c:v>
                </c:pt>
                <c:pt idx="7">
                  <c:v>3169.2785800000001</c:v>
                </c:pt>
                <c:pt idx="8">
                  <c:v>3169.2785800000001</c:v>
                </c:pt>
                <c:pt idx="9">
                  <c:v>3169.2785800000001</c:v>
                </c:pt>
                <c:pt idx="10">
                  <c:v>3169.2785800000001</c:v>
                </c:pt>
                <c:pt idx="11">
                  <c:v>3793.6205090000003</c:v>
                </c:pt>
                <c:pt idx="12">
                  <c:v>3793.6205090000003</c:v>
                </c:pt>
                <c:pt idx="13">
                  <c:v>3793.6205090000003</c:v>
                </c:pt>
                <c:pt idx="14">
                  <c:v>4240.7442959999998</c:v>
                </c:pt>
                <c:pt idx="15">
                  <c:v>4503.248619</c:v>
                </c:pt>
                <c:pt idx="16">
                  <c:v>6276.03874</c:v>
                </c:pt>
                <c:pt idx="17">
                  <c:v>8548.6803309999996</c:v>
                </c:pt>
                <c:pt idx="18">
                  <c:v>11421.849156999999</c:v>
                </c:pt>
                <c:pt idx="19">
                  <c:v>11848.310302</c:v>
                </c:pt>
                <c:pt idx="20">
                  <c:v>12795.426132999999</c:v>
                </c:pt>
                <c:pt idx="21">
                  <c:v>12976.218201999998</c:v>
                </c:pt>
              </c:numCache>
            </c:numRef>
          </c:val>
          <c:extLst>
            <c:ext xmlns:c16="http://schemas.microsoft.com/office/drawing/2014/chart" uri="{C3380CC4-5D6E-409C-BE32-E72D297353CC}">
              <c16:uniqueId val="{000002E6-1D81-40FA-98E8-636C23DC9EB6}"/>
            </c:ext>
          </c:extLst>
        </c:ser>
        <c:ser>
          <c:idx val="10"/>
          <c:order val="9"/>
          <c:tx>
            <c:strRef>
              <c:f>'NEMInstalledCapacity Data'!$B$12</c:f>
              <c:strCache>
                <c:ptCount val="1"/>
                <c:pt idx="0">
                  <c:v>Distributed storage</c:v>
                </c:pt>
              </c:strCache>
            </c:strRef>
          </c:tx>
          <c:spPr>
            <a:solidFill>
              <a:srgbClr val="92D050"/>
            </a:solidFill>
            <a:ln>
              <a:noFill/>
            </a:ln>
            <a:effectLst/>
          </c:spPr>
          <c:invertIfNegative val="0"/>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Data'!$C$12:$X$12</c:f>
              <c:numCache>
                <c:formatCode>#,##0_ ;\-#,##0\ </c:formatCode>
                <c:ptCount val="22"/>
                <c:pt idx="0">
                  <c:v>259.63</c:v>
                </c:pt>
                <c:pt idx="1">
                  <c:v>398.25</c:v>
                </c:pt>
                <c:pt idx="2">
                  <c:v>565.20000000000005</c:v>
                </c:pt>
                <c:pt idx="3">
                  <c:v>781.34</c:v>
                </c:pt>
                <c:pt idx="4">
                  <c:v>1039.3599999999999</c:v>
                </c:pt>
                <c:pt idx="5">
                  <c:v>1347.47</c:v>
                </c:pt>
                <c:pt idx="6">
                  <c:v>1703.64</c:v>
                </c:pt>
                <c:pt idx="7">
                  <c:v>2110.77</c:v>
                </c:pt>
                <c:pt idx="8">
                  <c:v>2569.42</c:v>
                </c:pt>
                <c:pt idx="9">
                  <c:v>3078.39</c:v>
                </c:pt>
                <c:pt idx="10">
                  <c:v>3640.22</c:v>
                </c:pt>
                <c:pt idx="11">
                  <c:v>4267.41</c:v>
                </c:pt>
                <c:pt idx="12">
                  <c:v>4969.24</c:v>
                </c:pt>
                <c:pt idx="13">
                  <c:v>5778.19</c:v>
                </c:pt>
                <c:pt idx="14">
                  <c:v>6730.19</c:v>
                </c:pt>
                <c:pt idx="15">
                  <c:v>7848.85</c:v>
                </c:pt>
                <c:pt idx="16">
                  <c:v>9141.2800000000007</c:v>
                </c:pt>
                <c:pt idx="17">
                  <c:v>10536.55</c:v>
                </c:pt>
                <c:pt idx="18">
                  <c:v>11950.73</c:v>
                </c:pt>
                <c:pt idx="19">
                  <c:v>13290.9</c:v>
                </c:pt>
                <c:pt idx="20">
                  <c:v>14468.35</c:v>
                </c:pt>
                <c:pt idx="21">
                  <c:v>15476.55</c:v>
                </c:pt>
              </c:numCache>
            </c:numRef>
          </c:val>
          <c:extLst>
            <c:ext xmlns:c16="http://schemas.microsoft.com/office/drawing/2014/chart" uri="{C3380CC4-5D6E-409C-BE32-E72D297353CC}">
              <c16:uniqueId val="{000002E8-1D81-40FA-98E8-636C23DC9EB6}"/>
            </c:ext>
          </c:extLst>
        </c:ser>
        <c:ser>
          <c:idx val="8"/>
          <c:order val="10"/>
          <c:tx>
            <c:strRef>
              <c:f>'NEMInstalledCapacity Data'!$B$13</c:f>
              <c:strCache>
                <c:ptCount val="1"/>
                <c:pt idx="0">
                  <c:v>Rooftop PV</c:v>
                </c:pt>
              </c:strCache>
            </c:strRef>
          </c:tx>
          <c:spPr>
            <a:solidFill>
              <a:srgbClr val="FFE7A7"/>
            </a:solidFill>
            <a:ln>
              <a:noFill/>
            </a:ln>
            <a:effectLst/>
          </c:spPr>
          <c:invertIfNegative val="0"/>
          <c:dPt>
            <c:idx val="0"/>
            <c:invertIfNegative val="0"/>
            <c:bubble3D val="0"/>
            <c:extLst>
              <c:ext xmlns:c16="http://schemas.microsoft.com/office/drawing/2014/chart" uri="{C3380CC4-5D6E-409C-BE32-E72D297353CC}">
                <c16:uniqueId val="{000002EB-1D81-40FA-98E8-636C23DC9EB6}"/>
              </c:ext>
            </c:extLst>
          </c:dPt>
          <c:dPt>
            <c:idx val="1"/>
            <c:invertIfNegative val="0"/>
            <c:bubble3D val="0"/>
            <c:extLst>
              <c:ext xmlns:c16="http://schemas.microsoft.com/office/drawing/2014/chart" uri="{C3380CC4-5D6E-409C-BE32-E72D297353CC}">
                <c16:uniqueId val="{000002ED-1D81-40FA-98E8-636C23DC9EB6}"/>
              </c:ext>
            </c:extLst>
          </c:dPt>
          <c:dPt>
            <c:idx val="2"/>
            <c:invertIfNegative val="0"/>
            <c:bubble3D val="0"/>
            <c:extLst>
              <c:ext xmlns:c16="http://schemas.microsoft.com/office/drawing/2014/chart" uri="{C3380CC4-5D6E-409C-BE32-E72D297353CC}">
                <c16:uniqueId val="{000002EF-1D81-40FA-98E8-636C23DC9EB6}"/>
              </c:ext>
            </c:extLst>
          </c:dPt>
          <c:dPt>
            <c:idx val="3"/>
            <c:invertIfNegative val="0"/>
            <c:bubble3D val="0"/>
            <c:extLst>
              <c:ext xmlns:c16="http://schemas.microsoft.com/office/drawing/2014/chart" uri="{C3380CC4-5D6E-409C-BE32-E72D297353CC}">
                <c16:uniqueId val="{000002F1-1D81-40FA-98E8-636C23DC9EB6}"/>
              </c:ext>
            </c:extLst>
          </c:dPt>
          <c:dPt>
            <c:idx val="4"/>
            <c:invertIfNegative val="0"/>
            <c:bubble3D val="0"/>
            <c:extLst>
              <c:ext xmlns:c16="http://schemas.microsoft.com/office/drawing/2014/chart" uri="{C3380CC4-5D6E-409C-BE32-E72D297353CC}">
                <c16:uniqueId val="{000002F3-1D81-40FA-98E8-636C23DC9EB6}"/>
              </c:ext>
            </c:extLst>
          </c:dPt>
          <c:dPt>
            <c:idx val="5"/>
            <c:invertIfNegative val="0"/>
            <c:bubble3D val="0"/>
            <c:extLst>
              <c:ext xmlns:c16="http://schemas.microsoft.com/office/drawing/2014/chart" uri="{C3380CC4-5D6E-409C-BE32-E72D297353CC}">
                <c16:uniqueId val="{000002F5-1D81-40FA-98E8-636C23DC9EB6}"/>
              </c:ext>
            </c:extLst>
          </c:dPt>
          <c:dPt>
            <c:idx val="6"/>
            <c:invertIfNegative val="0"/>
            <c:bubble3D val="0"/>
            <c:extLst>
              <c:ext xmlns:c16="http://schemas.microsoft.com/office/drawing/2014/chart" uri="{C3380CC4-5D6E-409C-BE32-E72D297353CC}">
                <c16:uniqueId val="{000002F7-1D81-40FA-98E8-636C23DC9EB6}"/>
              </c:ext>
            </c:extLst>
          </c:dPt>
          <c:dPt>
            <c:idx val="7"/>
            <c:invertIfNegative val="0"/>
            <c:bubble3D val="0"/>
            <c:extLst>
              <c:ext xmlns:c16="http://schemas.microsoft.com/office/drawing/2014/chart" uri="{C3380CC4-5D6E-409C-BE32-E72D297353CC}">
                <c16:uniqueId val="{000002F9-1D81-40FA-98E8-636C23DC9EB6}"/>
              </c:ext>
            </c:extLst>
          </c:dPt>
          <c:dPt>
            <c:idx val="8"/>
            <c:invertIfNegative val="0"/>
            <c:bubble3D val="0"/>
            <c:extLst>
              <c:ext xmlns:c16="http://schemas.microsoft.com/office/drawing/2014/chart" uri="{C3380CC4-5D6E-409C-BE32-E72D297353CC}">
                <c16:uniqueId val="{000002FB-1D81-40FA-98E8-636C23DC9EB6}"/>
              </c:ext>
            </c:extLst>
          </c:dPt>
          <c:dPt>
            <c:idx val="9"/>
            <c:invertIfNegative val="0"/>
            <c:bubble3D val="0"/>
            <c:extLst>
              <c:ext xmlns:c16="http://schemas.microsoft.com/office/drawing/2014/chart" uri="{C3380CC4-5D6E-409C-BE32-E72D297353CC}">
                <c16:uniqueId val="{000002FD-1D81-40FA-98E8-636C23DC9EB6}"/>
              </c:ext>
            </c:extLst>
          </c:dPt>
          <c:dPt>
            <c:idx val="10"/>
            <c:invertIfNegative val="0"/>
            <c:bubble3D val="0"/>
            <c:extLst>
              <c:ext xmlns:c16="http://schemas.microsoft.com/office/drawing/2014/chart" uri="{C3380CC4-5D6E-409C-BE32-E72D297353CC}">
                <c16:uniqueId val="{000002FF-1D81-40FA-98E8-636C23DC9EB6}"/>
              </c:ext>
            </c:extLst>
          </c:dPt>
          <c:dPt>
            <c:idx val="11"/>
            <c:invertIfNegative val="0"/>
            <c:bubble3D val="0"/>
            <c:extLst>
              <c:ext xmlns:c16="http://schemas.microsoft.com/office/drawing/2014/chart" uri="{C3380CC4-5D6E-409C-BE32-E72D297353CC}">
                <c16:uniqueId val="{00000301-1D81-40FA-98E8-636C23DC9EB6}"/>
              </c:ext>
            </c:extLst>
          </c:dPt>
          <c:dPt>
            <c:idx val="12"/>
            <c:invertIfNegative val="0"/>
            <c:bubble3D val="0"/>
            <c:extLst>
              <c:ext xmlns:c16="http://schemas.microsoft.com/office/drawing/2014/chart" uri="{C3380CC4-5D6E-409C-BE32-E72D297353CC}">
                <c16:uniqueId val="{00000303-1D81-40FA-98E8-636C23DC9EB6}"/>
              </c:ext>
            </c:extLst>
          </c:dPt>
          <c:dPt>
            <c:idx val="13"/>
            <c:invertIfNegative val="0"/>
            <c:bubble3D val="0"/>
            <c:extLst>
              <c:ext xmlns:c16="http://schemas.microsoft.com/office/drawing/2014/chart" uri="{C3380CC4-5D6E-409C-BE32-E72D297353CC}">
                <c16:uniqueId val="{00000305-1D81-40FA-98E8-636C23DC9EB6}"/>
              </c:ext>
            </c:extLst>
          </c:dPt>
          <c:dPt>
            <c:idx val="14"/>
            <c:invertIfNegative val="0"/>
            <c:bubble3D val="0"/>
            <c:extLst>
              <c:ext xmlns:c16="http://schemas.microsoft.com/office/drawing/2014/chart" uri="{C3380CC4-5D6E-409C-BE32-E72D297353CC}">
                <c16:uniqueId val="{00000307-1D81-40FA-98E8-636C23DC9EB6}"/>
              </c:ext>
            </c:extLst>
          </c:dPt>
          <c:dPt>
            <c:idx val="15"/>
            <c:invertIfNegative val="0"/>
            <c:bubble3D val="0"/>
            <c:extLst>
              <c:ext xmlns:c16="http://schemas.microsoft.com/office/drawing/2014/chart" uri="{C3380CC4-5D6E-409C-BE32-E72D297353CC}">
                <c16:uniqueId val="{00000309-1D81-40FA-98E8-636C23DC9EB6}"/>
              </c:ext>
            </c:extLst>
          </c:dPt>
          <c:dPt>
            <c:idx val="16"/>
            <c:invertIfNegative val="0"/>
            <c:bubble3D val="0"/>
            <c:extLst>
              <c:ext xmlns:c16="http://schemas.microsoft.com/office/drawing/2014/chart" uri="{C3380CC4-5D6E-409C-BE32-E72D297353CC}">
                <c16:uniqueId val="{0000030B-1D81-40FA-98E8-636C23DC9EB6}"/>
              </c:ext>
            </c:extLst>
          </c:dPt>
          <c:dPt>
            <c:idx val="17"/>
            <c:invertIfNegative val="0"/>
            <c:bubble3D val="0"/>
            <c:extLst>
              <c:ext xmlns:c16="http://schemas.microsoft.com/office/drawing/2014/chart" uri="{C3380CC4-5D6E-409C-BE32-E72D297353CC}">
                <c16:uniqueId val="{0000030D-1D81-40FA-98E8-636C23DC9EB6}"/>
              </c:ext>
            </c:extLst>
          </c:dPt>
          <c:dPt>
            <c:idx val="18"/>
            <c:invertIfNegative val="0"/>
            <c:bubble3D val="0"/>
            <c:extLst>
              <c:ext xmlns:c16="http://schemas.microsoft.com/office/drawing/2014/chart" uri="{C3380CC4-5D6E-409C-BE32-E72D297353CC}">
                <c16:uniqueId val="{0000030F-1D81-40FA-98E8-636C23DC9EB6}"/>
              </c:ext>
            </c:extLst>
          </c:dPt>
          <c:dPt>
            <c:idx val="19"/>
            <c:invertIfNegative val="0"/>
            <c:bubble3D val="0"/>
            <c:extLst>
              <c:ext xmlns:c16="http://schemas.microsoft.com/office/drawing/2014/chart" uri="{C3380CC4-5D6E-409C-BE32-E72D297353CC}">
                <c16:uniqueId val="{00000311-1D81-40FA-98E8-636C23DC9EB6}"/>
              </c:ext>
            </c:extLst>
          </c:dPt>
          <c:dPt>
            <c:idx val="20"/>
            <c:invertIfNegative val="0"/>
            <c:bubble3D val="0"/>
            <c:extLst>
              <c:ext xmlns:c16="http://schemas.microsoft.com/office/drawing/2014/chart" uri="{C3380CC4-5D6E-409C-BE32-E72D297353CC}">
                <c16:uniqueId val="{00000313-1D81-40FA-98E8-636C23DC9EB6}"/>
              </c:ext>
            </c:extLst>
          </c:dPt>
          <c:dPt>
            <c:idx val="21"/>
            <c:invertIfNegative val="0"/>
            <c:bubble3D val="0"/>
            <c:extLst>
              <c:ext xmlns:c16="http://schemas.microsoft.com/office/drawing/2014/chart" uri="{C3380CC4-5D6E-409C-BE32-E72D297353CC}">
                <c16:uniqueId val="{00000315-1D81-40FA-98E8-636C23DC9EB6}"/>
              </c:ext>
            </c:extLst>
          </c:dPt>
          <c:dPt>
            <c:idx val="22"/>
            <c:invertIfNegative val="0"/>
            <c:bubble3D val="0"/>
            <c:extLst>
              <c:ext xmlns:c16="http://schemas.microsoft.com/office/drawing/2014/chart" uri="{C3380CC4-5D6E-409C-BE32-E72D297353CC}">
                <c16:uniqueId val="{00000317-1D81-40FA-98E8-636C23DC9EB6}"/>
              </c:ext>
            </c:extLst>
          </c:dPt>
          <c:dPt>
            <c:idx val="23"/>
            <c:invertIfNegative val="0"/>
            <c:bubble3D val="0"/>
            <c:extLst>
              <c:ext xmlns:c16="http://schemas.microsoft.com/office/drawing/2014/chart" uri="{C3380CC4-5D6E-409C-BE32-E72D297353CC}">
                <c16:uniqueId val="{00000319-1D81-40FA-98E8-636C23DC9EB6}"/>
              </c:ext>
            </c:extLst>
          </c:dPt>
          <c:dPt>
            <c:idx val="24"/>
            <c:invertIfNegative val="0"/>
            <c:bubble3D val="0"/>
            <c:extLst>
              <c:ext xmlns:c16="http://schemas.microsoft.com/office/drawing/2014/chart" uri="{C3380CC4-5D6E-409C-BE32-E72D297353CC}">
                <c16:uniqueId val="{0000031B-1D81-40FA-98E8-636C23DC9EB6}"/>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Data'!$C$13:$X$13</c:f>
              <c:numCache>
                <c:formatCode>#,##0_ ;\-#,##0\ </c:formatCode>
                <c:ptCount val="22"/>
                <c:pt idx="0">
                  <c:v>7332</c:v>
                </c:pt>
                <c:pt idx="1">
                  <c:v>8210</c:v>
                </c:pt>
                <c:pt idx="2">
                  <c:v>9131</c:v>
                </c:pt>
                <c:pt idx="3">
                  <c:v>10122</c:v>
                </c:pt>
                <c:pt idx="4">
                  <c:v>11218</c:v>
                </c:pt>
                <c:pt idx="5">
                  <c:v>12488</c:v>
                </c:pt>
                <c:pt idx="6">
                  <c:v>13966</c:v>
                </c:pt>
                <c:pt idx="7">
                  <c:v>15736</c:v>
                </c:pt>
                <c:pt idx="8">
                  <c:v>17932</c:v>
                </c:pt>
                <c:pt idx="9">
                  <c:v>20707</c:v>
                </c:pt>
                <c:pt idx="10">
                  <c:v>24204</c:v>
                </c:pt>
                <c:pt idx="11">
                  <c:v>28428</c:v>
                </c:pt>
                <c:pt idx="12">
                  <c:v>33136</c:v>
                </c:pt>
                <c:pt idx="13">
                  <c:v>37912</c:v>
                </c:pt>
                <c:pt idx="14">
                  <c:v>42298</c:v>
                </c:pt>
                <c:pt idx="15">
                  <c:v>45952</c:v>
                </c:pt>
                <c:pt idx="16">
                  <c:v>48867</c:v>
                </c:pt>
                <c:pt idx="17">
                  <c:v>51014</c:v>
                </c:pt>
                <c:pt idx="18">
                  <c:v>52660</c:v>
                </c:pt>
                <c:pt idx="19">
                  <c:v>54079</c:v>
                </c:pt>
                <c:pt idx="20">
                  <c:v>55232</c:v>
                </c:pt>
                <c:pt idx="21">
                  <c:v>56228</c:v>
                </c:pt>
              </c:numCache>
            </c:numRef>
          </c:val>
          <c:extLst>
            <c:ext xmlns:c16="http://schemas.microsoft.com/office/drawing/2014/chart" uri="{C3380CC4-5D6E-409C-BE32-E72D297353CC}">
              <c16:uniqueId val="{0000031C-1D81-40FA-98E8-636C23DC9EB6}"/>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9636411161955318"/>
              <c:y val="0.80159096108997518"/>
            </c:manualLayout>
          </c:layout>
          <c:overlay val="0"/>
          <c:spPr>
            <a:noFill/>
            <a:ln>
              <a:noFill/>
            </a:ln>
            <a:effectLst/>
          </c:sp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1879026354856696"/>
          <c:y val="0.85445706781823372"/>
          <c:w val="0.81068934425818839"/>
          <c:h val="0.12773471268354208"/>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82001628509222"/>
          <c:y val="3.2567640214531464E-2"/>
          <c:w val="0.83509542536485004"/>
          <c:h val="0.60776182214664809"/>
        </c:manualLayout>
      </c:layout>
      <c:barChart>
        <c:barDir val="col"/>
        <c:grouping val="stacked"/>
        <c:varyColors val="0"/>
        <c:ser>
          <c:idx val="0"/>
          <c:order val="0"/>
          <c:tx>
            <c:strRef>
              <c:f>'NEMEnergyGenerated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F5-65EE-4C4E-AC0B-4B3C8E73F656}"/>
              </c:ext>
            </c:extLst>
          </c:dPt>
          <c:dPt>
            <c:idx val="1"/>
            <c:invertIfNegative val="0"/>
            <c:bubble3D val="0"/>
            <c:extLst>
              <c:ext xmlns:c16="http://schemas.microsoft.com/office/drawing/2014/chart" uri="{C3380CC4-5D6E-409C-BE32-E72D297353CC}">
                <c16:uniqueId val="{000001F6-65EE-4C4E-AC0B-4B3C8E73F656}"/>
              </c:ext>
            </c:extLst>
          </c:dPt>
          <c:dPt>
            <c:idx val="2"/>
            <c:invertIfNegative val="0"/>
            <c:bubble3D val="0"/>
            <c:extLst>
              <c:ext xmlns:c16="http://schemas.microsoft.com/office/drawing/2014/chart" uri="{C3380CC4-5D6E-409C-BE32-E72D297353CC}">
                <c16:uniqueId val="{000001F7-65EE-4C4E-AC0B-4B3C8E73F656}"/>
              </c:ext>
            </c:extLst>
          </c:dPt>
          <c:dPt>
            <c:idx val="3"/>
            <c:invertIfNegative val="0"/>
            <c:bubble3D val="0"/>
            <c:extLst>
              <c:ext xmlns:c16="http://schemas.microsoft.com/office/drawing/2014/chart" uri="{C3380CC4-5D6E-409C-BE32-E72D297353CC}">
                <c16:uniqueId val="{000001F8-65EE-4C4E-AC0B-4B3C8E73F656}"/>
              </c:ext>
            </c:extLst>
          </c:dPt>
          <c:dPt>
            <c:idx val="4"/>
            <c:invertIfNegative val="0"/>
            <c:bubble3D val="0"/>
            <c:extLst>
              <c:ext xmlns:c16="http://schemas.microsoft.com/office/drawing/2014/chart" uri="{C3380CC4-5D6E-409C-BE32-E72D297353CC}">
                <c16:uniqueId val="{000001F9-65EE-4C4E-AC0B-4B3C8E73F656}"/>
              </c:ext>
            </c:extLst>
          </c:dPt>
          <c:dPt>
            <c:idx val="5"/>
            <c:invertIfNegative val="0"/>
            <c:bubble3D val="0"/>
            <c:extLst>
              <c:ext xmlns:c16="http://schemas.microsoft.com/office/drawing/2014/chart" uri="{C3380CC4-5D6E-409C-BE32-E72D297353CC}">
                <c16:uniqueId val="{000001FA-65EE-4C4E-AC0B-4B3C8E73F656}"/>
              </c:ext>
            </c:extLst>
          </c:dPt>
          <c:dPt>
            <c:idx val="6"/>
            <c:invertIfNegative val="0"/>
            <c:bubble3D val="0"/>
            <c:extLst>
              <c:ext xmlns:c16="http://schemas.microsoft.com/office/drawing/2014/chart" uri="{C3380CC4-5D6E-409C-BE32-E72D297353CC}">
                <c16:uniqueId val="{000001FB-65EE-4C4E-AC0B-4B3C8E73F656}"/>
              </c:ext>
            </c:extLst>
          </c:dPt>
          <c:dPt>
            <c:idx val="7"/>
            <c:invertIfNegative val="0"/>
            <c:bubble3D val="0"/>
            <c:extLst>
              <c:ext xmlns:c16="http://schemas.microsoft.com/office/drawing/2014/chart" uri="{C3380CC4-5D6E-409C-BE32-E72D297353CC}">
                <c16:uniqueId val="{000001FC-65EE-4C4E-AC0B-4B3C8E73F656}"/>
              </c:ext>
            </c:extLst>
          </c:dPt>
          <c:dPt>
            <c:idx val="8"/>
            <c:invertIfNegative val="0"/>
            <c:bubble3D val="0"/>
            <c:extLst>
              <c:ext xmlns:c16="http://schemas.microsoft.com/office/drawing/2014/chart" uri="{C3380CC4-5D6E-409C-BE32-E72D297353CC}">
                <c16:uniqueId val="{000001FD-65EE-4C4E-AC0B-4B3C8E73F656}"/>
              </c:ext>
            </c:extLst>
          </c:dPt>
          <c:dPt>
            <c:idx val="9"/>
            <c:invertIfNegative val="0"/>
            <c:bubble3D val="0"/>
            <c:extLst>
              <c:ext xmlns:c16="http://schemas.microsoft.com/office/drawing/2014/chart" uri="{C3380CC4-5D6E-409C-BE32-E72D297353CC}">
                <c16:uniqueId val="{000001FE-65EE-4C4E-AC0B-4B3C8E73F656}"/>
              </c:ext>
            </c:extLst>
          </c:dPt>
          <c:dPt>
            <c:idx val="10"/>
            <c:invertIfNegative val="0"/>
            <c:bubble3D val="0"/>
            <c:extLst>
              <c:ext xmlns:c16="http://schemas.microsoft.com/office/drawing/2014/chart" uri="{C3380CC4-5D6E-409C-BE32-E72D297353CC}">
                <c16:uniqueId val="{000001FF-65EE-4C4E-AC0B-4B3C8E73F656}"/>
              </c:ext>
            </c:extLst>
          </c:dPt>
          <c:dPt>
            <c:idx val="11"/>
            <c:invertIfNegative val="0"/>
            <c:bubble3D val="0"/>
            <c:extLst>
              <c:ext xmlns:c16="http://schemas.microsoft.com/office/drawing/2014/chart" uri="{C3380CC4-5D6E-409C-BE32-E72D297353CC}">
                <c16:uniqueId val="{00000200-65EE-4C4E-AC0B-4B3C8E73F656}"/>
              </c:ext>
            </c:extLst>
          </c:dPt>
          <c:dPt>
            <c:idx val="12"/>
            <c:invertIfNegative val="0"/>
            <c:bubble3D val="0"/>
            <c:extLst>
              <c:ext xmlns:c16="http://schemas.microsoft.com/office/drawing/2014/chart" uri="{C3380CC4-5D6E-409C-BE32-E72D297353CC}">
                <c16:uniqueId val="{00000201-65EE-4C4E-AC0B-4B3C8E73F656}"/>
              </c:ext>
            </c:extLst>
          </c:dPt>
          <c:dPt>
            <c:idx val="13"/>
            <c:invertIfNegative val="0"/>
            <c:bubble3D val="0"/>
            <c:extLst>
              <c:ext xmlns:c16="http://schemas.microsoft.com/office/drawing/2014/chart" uri="{C3380CC4-5D6E-409C-BE32-E72D297353CC}">
                <c16:uniqueId val="{00000202-65EE-4C4E-AC0B-4B3C8E73F656}"/>
              </c:ext>
            </c:extLst>
          </c:dPt>
          <c:dPt>
            <c:idx val="14"/>
            <c:invertIfNegative val="0"/>
            <c:bubble3D val="0"/>
            <c:extLst>
              <c:ext xmlns:c16="http://schemas.microsoft.com/office/drawing/2014/chart" uri="{C3380CC4-5D6E-409C-BE32-E72D297353CC}">
                <c16:uniqueId val="{00000203-65EE-4C4E-AC0B-4B3C8E73F656}"/>
              </c:ext>
            </c:extLst>
          </c:dPt>
          <c:dPt>
            <c:idx val="15"/>
            <c:invertIfNegative val="0"/>
            <c:bubble3D val="0"/>
            <c:extLst>
              <c:ext xmlns:c16="http://schemas.microsoft.com/office/drawing/2014/chart" uri="{C3380CC4-5D6E-409C-BE32-E72D297353CC}">
                <c16:uniqueId val="{00000204-65EE-4C4E-AC0B-4B3C8E73F656}"/>
              </c:ext>
            </c:extLst>
          </c:dPt>
          <c:dPt>
            <c:idx val="16"/>
            <c:invertIfNegative val="0"/>
            <c:bubble3D val="0"/>
            <c:extLst>
              <c:ext xmlns:c16="http://schemas.microsoft.com/office/drawing/2014/chart" uri="{C3380CC4-5D6E-409C-BE32-E72D297353CC}">
                <c16:uniqueId val="{00000205-65EE-4C4E-AC0B-4B3C8E73F656}"/>
              </c:ext>
            </c:extLst>
          </c:dPt>
          <c:dPt>
            <c:idx val="17"/>
            <c:invertIfNegative val="0"/>
            <c:bubble3D val="0"/>
            <c:extLst>
              <c:ext xmlns:c16="http://schemas.microsoft.com/office/drawing/2014/chart" uri="{C3380CC4-5D6E-409C-BE32-E72D297353CC}">
                <c16:uniqueId val="{00000206-65EE-4C4E-AC0B-4B3C8E73F656}"/>
              </c:ext>
            </c:extLst>
          </c:dPt>
          <c:dPt>
            <c:idx val="18"/>
            <c:invertIfNegative val="0"/>
            <c:bubble3D val="0"/>
            <c:extLst>
              <c:ext xmlns:c16="http://schemas.microsoft.com/office/drawing/2014/chart" uri="{C3380CC4-5D6E-409C-BE32-E72D297353CC}">
                <c16:uniqueId val="{00000207-65EE-4C4E-AC0B-4B3C8E73F656}"/>
              </c:ext>
            </c:extLst>
          </c:dPt>
          <c:dPt>
            <c:idx val="19"/>
            <c:invertIfNegative val="0"/>
            <c:bubble3D val="0"/>
            <c:extLst>
              <c:ext xmlns:c16="http://schemas.microsoft.com/office/drawing/2014/chart" uri="{C3380CC4-5D6E-409C-BE32-E72D297353CC}">
                <c16:uniqueId val="{00000208-65EE-4C4E-AC0B-4B3C8E73F656}"/>
              </c:ext>
            </c:extLst>
          </c:dPt>
          <c:dPt>
            <c:idx val="20"/>
            <c:invertIfNegative val="0"/>
            <c:bubble3D val="0"/>
            <c:extLst>
              <c:ext xmlns:c16="http://schemas.microsoft.com/office/drawing/2014/chart" uri="{C3380CC4-5D6E-409C-BE32-E72D297353CC}">
                <c16:uniqueId val="{00000209-65EE-4C4E-AC0B-4B3C8E73F656}"/>
              </c:ext>
            </c:extLst>
          </c:dPt>
          <c:dPt>
            <c:idx val="21"/>
            <c:invertIfNegative val="0"/>
            <c:bubble3D val="0"/>
            <c:extLst>
              <c:ext xmlns:c16="http://schemas.microsoft.com/office/drawing/2014/chart" uri="{C3380CC4-5D6E-409C-BE32-E72D297353CC}">
                <c16:uniqueId val="{0000020A-65EE-4C4E-AC0B-4B3C8E73F656}"/>
              </c:ext>
            </c:extLst>
          </c:dPt>
          <c:dPt>
            <c:idx val="22"/>
            <c:invertIfNegative val="0"/>
            <c:bubble3D val="0"/>
            <c:extLst>
              <c:ext xmlns:c16="http://schemas.microsoft.com/office/drawing/2014/chart" uri="{C3380CC4-5D6E-409C-BE32-E72D297353CC}">
                <c16:uniqueId val="{0000020B-65EE-4C4E-AC0B-4B3C8E73F656}"/>
              </c:ext>
            </c:extLst>
          </c:dPt>
          <c:dPt>
            <c:idx val="23"/>
            <c:invertIfNegative val="0"/>
            <c:bubble3D val="0"/>
            <c:extLst>
              <c:ext xmlns:c16="http://schemas.microsoft.com/office/drawing/2014/chart" uri="{C3380CC4-5D6E-409C-BE32-E72D297353CC}">
                <c16:uniqueId val="{0000020C-65EE-4C4E-AC0B-4B3C8E73F656}"/>
              </c:ext>
            </c:extLst>
          </c:dPt>
          <c:dPt>
            <c:idx val="24"/>
            <c:invertIfNegative val="0"/>
            <c:bubble3D val="0"/>
            <c:extLst>
              <c:ext xmlns:c16="http://schemas.microsoft.com/office/drawing/2014/chart" uri="{C3380CC4-5D6E-409C-BE32-E72D297353CC}">
                <c16:uniqueId val="{0000020D-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Data'!$C$3:$X$3</c:f>
              <c:numCache>
                <c:formatCode>#,##0_ ;\-#,##0\ </c:formatCode>
                <c:ptCount val="22"/>
                <c:pt idx="0">
                  <c:v>105840.34005889265</c:v>
                </c:pt>
                <c:pt idx="1">
                  <c:v>102468.95805563562</c:v>
                </c:pt>
                <c:pt idx="2">
                  <c:v>100336.38260555643</c:v>
                </c:pt>
                <c:pt idx="3">
                  <c:v>102945.69097894954</c:v>
                </c:pt>
                <c:pt idx="4">
                  <c:v>96894.988121134535</c:v>
                </c:pt>
                <c:pt idx="5">
                  <c:v>95942.892747804115</c:v>
                </c:pt>
                <c:pt idx="6">
                  <c:v>92785.781472009694</c:v>
                </c:pt>
                <c:pt idx="7">
                  <c:v>88841.682754010573</c:v>
                </c:pt>
                <c:pt idx="8">
                  <c:v>86646.947465834019</c:v>
                </c:pt>
                <c:pt idx="9">
                  <c:v>85343.375285258109</c:v>
                </c:pt>
                <c:pt idx="10">
                  <c:v>80278.973059258642</c:v>
                </c:pt>
                <c:pt idx="11">
                  <c:v>73463.32829121378</c:v>
                </c:pt>
                <c:pt idx="12">
                  <c:v>72137.532762629562</c:v>
                </c:pt>
                <c:pt idx="13">
                  <c:v>68985.998770514372</c:v>
                </c:pt>
                <c:pt idx="14">
                  <c:v>69318.157814840975</c:v>
                </c:pt>
                <c:pt idx="15">
                  <c:v>66768.427859824442</c:v>
                </c:pt>
                <c:pt idx="16">
                  <c:v>57242.676540203487</c:v>
                </c:pt>
                <c:pt idx="17">
                  <c:v>43227.902216989933</c:v>
                </c:pt>
                <c:pt idx="18">
                  <c:v>35079.767872867626</c:v>
                </c:pt>
                <c:pt idx="19">
                  <c:v>31731.597293238738</c:v>
                </c:pt>
                <c:pt idx="20">
                  <c:v>31846.564479272231</c:v>
                </c:pt>
                <c:pt idx="21">
                  <c:v>31943.295977276903</c:v>
                </c:pt>
              </c:numCache>
            </c:numRef>
          </c:val>
          <c:extLst>
            <c:ext xmlns:c16="http://schemas.microsoft.com/office/drawing/2014/chart" uri="{C3380CC4-5D6E-409C-BE32-E72D297353CC}">
              <c16:uniqueId val="{0000020E-65EE-4C4E-AC0B-4B3C8E73F656}"/>
            </c:ext>
          </c:extLst>
        </c:ser>
        <c:ser>
          <c:idx val="1"/>
          <c:order val="1"/>
          <c:tx>
            <c:strRef>
              <c:f>'NEMEnergyGenerated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210-65EE-4C4E-AC0B-4B3C8E73F656}"/>
              </c:ext>
            </c:extLst>
          </c:dPt>
          <c:dPt>
            <c:idx val="1"/>
            <c:invertIfNegative val="0"/>
            <c:bubble3D val="0"/>
            <c:extLst>
              <c:ext xmlns:c16="http://schemas.microsoft.com/office/drawing/2014/chart" uri="{C3380CC4-5D6E-409C-BE32-E72D297353CC}">
                <c16:uniqueId val="{00000211-65EE-4C4E-AC0B-4B3C8E73F656}"/>
              </c:ext>
            </c:extLst>
          </c:dPt>
          <c:dPt>
            <c:idx val="2"/>
            <c:invertIfNegative val="0"/>
            <c:bubble3D val="0"/>
            <c:extLst>
              <c:ext xmlns:c16="http://schemas.microsoft.com/office/drawing/2014/chart" uri="{C3380CC4-5D6E-409C-BE32-E72D297353CC}">
                <c16:uniqueId val="{00000212-65EE-4C4E-AC0B-4B3C8E73F656}"/>
              </c:ext>
            </c:extLst>
          </c:dPt>
          <c:dPt>
            <c:idx val="3"/>
            <c:invertIfNegative val="0"/>
            <c:bubble3D val="0"/>
            <c:extLst>
              <c:ext xmlns:c16="http://schemas.microsoft.com/office/drawing/2014/chart" uri="{C3380CC4-5D6E-409C-BE32-E72D297353CC}">
                <c16:uniqueId val="{00000213-65EE-4C4E-AC0B-4B3C8E73F656}"/>
              </c:ext>
            </c:extLst>
          </c:dPt>
          <c:dPt>
            <c:idx val="4"/>
            <c:invertIfNegative val="0"/>
            <c:bubble3D val="0"/>
            <c:extLst>
              <c:ext xmlns:c16="http://schemas.microsoft.com/office/drawing/2014/chart" uri="{C3380CC4-5D6E-409C-BE32-E72D297353CC}">
                <c16:uniqueId val="{00000214-65EE-4C4E-AC0B-4B3C8E73F656}"/>
              </c:ext>
            </c:extLst>
          </c:dPt>
          <c:dPt>
            <c:idx val="5"/>
            <c:invertIfNegative val="0"/>
            <c:bubble3D val="0"/>
            <c:extLst>
              <c:ext xmlns:c16="http://schemas.microsoft.com/office/drawing/2014/chart" uri="{C3380CC4-5D6E-409C-BE32-E72D297353CC}">
                <c16:uniqueId val="{00000215-65EE-4C4E-AC0B-4B3C8E73F656}"/>
              </c:ext>
            </c:extLst>
          </c:dPt>
          <c:dPt>
            <c:idx val="6"/>
            <c:invertIfNegative val="0"/>
            <c:bubble3D val="0"/>
            <c:extLst>
              <c:ext xmlns:c16="http://schemas.microsoft.com/office/drawing/2014/chart" uri="{C3380CC4-5D6E-409C-BE32-E72D297353CC}">
                <c16:uniqueId val="{00000216-65EE-4C4E-AC0B-4B3C8E73F656}"/>
              </c:ext>
            </c:extLst>
          </c:dPt>
          <c:dPt>
            <c:idx val="7"/>
            <c:invertIfNegative val="0"/>
            <c:bubble3D val="0"/>
            <c:extLst>
              <c:ext xmlns:c16="http://schemas.microsoft.com/office/drawing/2014/chart" uri="{C3380CC4-5D6E-409C-BE32-E72D297353CC}">
                <c16:uniqueId val="{00000217-65EE-4C4E-AC0B-4B3C8E73F656}"/>
              </c:ext>
            </c:extLst>
          </c:dPt>
          <c:dPt>
            <c:idx val="8"/>
            <c:invertIfNegative val="0"/>
            <c:bubble3D val="0"/>
            <c:extLst>
              <c:ext xmlns:c16="http://schemas.microsoft.com/office/drawing/2014/chart" uri="{C3380CC4-5D6E-409C-BE32-E72D297353CC}">
                <c16:uniqueId val="{00000218-65EE-4C4E-AC0B-4B3C8E73F656}"/>
              </c:ext>
            </c:extLst>
          </c:dPt>
          <c:dPt>
            <c:idx val="9"/>
            <c:invertIfNegative val="0"/>
            <c:bubble3D val="0"/>
            <c:extLst>
              <c:ext xmlns:c16="http://schemas.microsoft.com/office/drawing/2014/chart" uri="{C3380CC4-5D6E-409C-BE32-E72D297353CC}">
                <c16:uniqueId val="{00000219-65EE-4C4E-AC0B-4B3C8E73F656}"/>
              </c:ext>
            </c:extLst>
          </c:dPt>
          <c:dPt>
            <c:idx val="10"/>
            <c:invertIfNegative val="0"/>
            <c:bubble3D val="0"/>
            <c:extLst>
              <c:ext xmlns:c16="http://schemas.microsoft.com/office/drawing/2014/chart" uri="{C3380CC4-5D6E-409C-BE32-E72D297353CC}">
                <c16:uniqueId val="{0000021A-65EE-4C4E-AC0B-4B3C8E73F656}"/>
              </c:ext>
            </c:extLst>
          </c:dPt>
          <c:dPt>
            <c:idx val="11"/>
            <c:invertIfNegative val="0"/>
            <c:bubble3D val="0"/>
            <c:extLst>
              <c:ext xmlns:c16="http://schemas.microsoft.com/office/drawing/2014/chart" uri="{C3380CC4-5D6E-409C-BE32-E72D297353CC}">
                <c16:uniqueId val="{0000021B-65EE-4C4E-AC0B-4B3C8E73F656}"/>
              </c:ext>
            </c:extLst>
          </c:dPt>
          <c:dPt>
            <c:idx val="12"/>
            <c:invertIfNegative val="0"/>
            <c:bubble3D val="0"/>
            <c:extLst>
              <c:ext xmlns:c16="http://schemas.microsoft.com/office/drawing/2014/chart" uri="{C3380CC4-5D6E-409C-BE32-E72D297353CC}">
                <c16:uniqueId val="{0000021C-65EE-4C4E-AC0B-4B3C8E73F656}"/>
              </c:ext>
            </c:extLst>
          </c:dPt>
          <c:dPt>
            <c:idx val="13"/>
            <c:invertIfNegative val="0"/>
            <c:bubble3D val="0"/>
            <c:extLst>
              <c:ext xmlns:c16="http://schemas.microsoft.com/office/drawing/2014/chart" uri="{C3380CC4-5D6E-409C-BE32-E72D297353CC}">
                <c16:uniqueId val="{0000021D-65EE-4C4E-AC0B-4B3C8E73F656}"/>
              </c:ext>
            </c:extLst>
          </c:dPt>
          <c:dPt>
            <c:idx val="14"/>
            <c:invertIfNegative val="0"/>
            <c:bubble3D val="0"/>
            <c:extLst>
              <c:ext xmlns:c16="http://schemas.microsoft.com/office/drawing/2014/chart" uri="{C3380CC4-5D6E-409C-BE32-E72D297353CC}">
                <c16:uniqueId val="{0000021E-65EE-4C4E-AC0B-4B3C8E73F656}"/>
              </c:ext>
            </c:extLst>
          </c:dPt>
          <c:dPt>
            <c:idx val="15"/>
            <c:invertIfNegative val="0"/>
            <c:bubble3D val="0"/>
            <c:extLst>
              <c:ext xmlns:c16="http://schemas.microsoft.com/office/drawing/2014/chart" uri="{C3380CC4-5D6E-409C-BE32-E72D297353CC}">
                <c16:uniqueId val="{0000021F-65EE-4C4E-AC0B-4B3C8E73F656}"/>
              </c:ext>
            </c:extLst>
          </c:dPt>
          <c:dPt>
            <c:idx val="16"/>
            <c:invertIfNegative val="0"/>
            <c:bubble3D val="0"/>
            <c:extLst>
              <c:ext xmlns:c16="http://schemas.microsoft.com/office/drawing/2014/chart" uri="{C3380CC4-5D6E-409C-BE32-E72D297353CC}">
                <c16:uniqueId val="{00000220-65EE-4C4E-AC0B-4B3C8E73F656}"/>
              </c:ext>
            </c:extLst>
          </c:dPt>
          <c:dPt>
            <c:idx val="17"/>
            <c:invertIfNegative val="0"/>
            <c:bubble3D val="0"/>
            <c:extLst>
              <c:ext xmlns:c16="http://schemas.microsoft.com/office/drawing/2014/chart" uri="{C3380CC4-5D6E-409C-BE32-E72D297353CC}">
                <c16:uniqueId val="{00000221-65EE-4C4E-AC0B-4B3C8E73F656}"/>
              </c:ext>
            </c:extLst>
          </c:dPt>
          <c:dPt>
            <c:idx val="18"/>
            <c:invertIfNegative val="0"/>
            <c:bubble3D val="0"/>
            <c:extLst>
              <c:ext xmlns:c16="http://schemas.microsoft.com/office/drawing/2014/chart" uri="{C3380CC4-5D6E-409C-BE32-E72D297353CC}">
                <c16:uniqueId val="{00000222-65EE-4C4E-AC0B-4B3C8E73F656}"/>
              </c:ext>
            </c:extLst>
          </c:dPt>
          <c:dPt>
            <c:idx val="19"/>
            <c:invertIfNegative val="0"/>
            <c:bubble3D val="0"/>
            <c:extLst>
              <c:ext xmlns:c16="http://schemas.microsoft.com/office/drawing/2014/chart" uri="{C3380CC4-5D6E-409C-BE32-E72D297353CC}">
                <c16:uniqueId val="{00000223-65EE-4C4E-AC0B-4B3C8E73F656}"/>
              </c:ext>
            </c:extLst>
          </c:dPt>
          <c:dPt>
            <c:idx val="20"/>
            <c:invertIfNegative val="0"/>
            <c:bubble3D val="0"/>
            <c:extLst>
              <c:ext xmlns:c16="http://schemas.microsoft.com/office/drawing/2014/chart" uri="{C3380CC4-5D6E-409C-BE32-E72D297353CC}">
                <c16:uniqueId val="{00000224-65EE-4C4E-AC0B-4B3C8E73F656}"/>
              </c:ext>
            </c:extLst>
          </c:dPt>
          <c:dPt>
            <c:idx val="21"/>
            <c:invertIfNegative val="0"/>
            <c:bubble3D val="0"/>
            <c:extLst>
              <c:ext xmlns:c16="http://schemas.microsoft.com/office/drawing/2014/chart" uri="{C3380CC4-5D6E-409C-BE32-E72D297353CC}">
                <c16:uniqueId val="{00000225-65EE-4C4E-AC0B-4B3C8E73F656}"/>
              </c:ext>
            </c:extLst>
          </c:dPt>
          <c:dPt>
            <c:idx val="22"/>
            <c:invertIfNegative val="0"/>
            <c:bubble3D val="0"/>
            <c:extLst>
              <c:ext xmlns:c16="http://schemas.microsoft.com/office/drawing/2014/chart" uri="{C3380CC4-5D6E-409C-BE32-E72D297353CC}">
                <c16:uniqueId val="{00000226-65EE-4C4E-AC0B-4B3C8E73F656}"/>
              </c:ext>
            </c:extLst>
          </c:dPt>
          <c:dPt>
            <c:idx val="23"/>
            <c:invertIfNegative val="0"/>
            <c:bubble3D val="0"/>
            <c:extLst>
              <c:ext xmlns:c16="http://schemas.microsoft.com/office/drawing/2014/chart" uri="{C3380CC4-5D6E-409C-BE32-E72D297353CC}">
                <c16:uniqueId val="{00000227-65EE-4C4E-AC0B-4B3C8E73F656}"/>
              </c:ext>
            </c:extLst>
          </c:dPt>
          <c:dPt>
            <c:idx val="24"/>
            <c:invertIfNegative val="0"/>
            <c:bubble3D val="0"/>
            <c:extLst>
              <c:ext xmlns:c16="http://schemas.microsoft.com/office/drawing/2014/chart" uri="{C3380CC4-5D6E-409C-BE32-E72D297353CC}">
                <c16:uniqueId val="{00000228-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Data'!$C$4:$X$4</c:f>
              <c:numCache>
                <c:formatCode>#,##0_ ;\-#,##0\ </c:formatCode>
                <c:ptCount val="22"/>
                <c:pt idx="0">
                  <c:v>32184.062386328314</c:v>
                </c:pt>
                <c:pt idx="1">
                  <c:v>32206.094726852367</c:v>
                </c:pt>
                <c:pt idx="2">
                  <c:v>32274.23653694128</c:v>
                </c:pt>
                <c:pt idx="3">
                  <c:v>32555.085013768148</c:v>
                </c:pt>
                <c:pt idx="4">
                  <c:v>30105.323360174269</c:v>
                </c:pt>
                <c:pt idx="5">
                  <c:v>29989.804677856642</c:v>
                </c:pt>
                <c:pt idx="6">
                  <c:v>32488.630940312229</c:v>
                </c:pt>
                <c:pt idx="7">
                  <c:v>32434.573343128541</c:v>
                </c:pt>
                <c:pt idx="8">
                  <c:v>28664.14542335759</c:v>
                </c:pt>
                <c:pt idx="9">
                  <c:v>32225.258772444005</c:v>
                </c:pt>
                <c:pt idx="10">
                  <c:v>28438.872259134991</c:v>
                </c:pt>
                <c:pt idx="11">
                  <c:v>28183.298716143396</c:v>
                </c:pt>
                <c:pt idx="12">
                  <c:v>31212.698059205293</c:v>
                </c:pt>
                <c:pt idx="13">
                  <c:v>30972.612787147482</c:v>
                </c:pt>
                <c:pt idx="14">
                  <c:v>21475.964897320217</c:v>
                </c:pt>
                <c:pt idx="15">
                  <c:v>21348.175117458701</c:v>
                </c:pt>
                <c:pt idx="16">
                  <c:v>21829.854062997612</c:v>
                </c:pt>
                <c:pt idx="17">
                  <c:v>21835.319887130889</c:v>
                </c:pt>
                <c:pt idx="18">
                  <c:v>18123.28025657987</c:v>
                </c:pt>
                <c:pt idx="19">
                  <c:v>21671.805101117188</c:v>
                </c:pt>
                <c:pt idx="20">
                  <c:v>18088.893635741581</c:v>
                </c:pt>
                <c:pt idx="21">
                  <c:v>18043.131809828097</c:v>
                </c:pt>
              </c:numCache>
            </c:numRef>
          </c:val>
          <c:extLst>
            <c:ext xmlns:c16="http://schemas.microsoft.com/office/drawing/2014/chart" uri="{C3380CC4-5D6E-409C-BE32-E72D297353CC}">
              <c16:uniqueId val="{00000229-65EE-4C4E-AC0B-4B3C8E73F656}"/>
            </c:ext>
          </c:extLst>
        </c:ser>
        <c:ser>
          <c:idx val="2"/>
          <c:order val="2"/>
          <c:tx>
            <c:strRef>
              <c:f>'NEMEnergyGenerated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22B-65EE-4C4E-AC0B-4B3C8E73F656}"/>
              </c:ext>
            </c:extLst>
          </c:dPt>
          <c:dPt>
            <c:idx val="1"/>
            <c:invertIfNegative val="0"/>
            <c:bubble3D val="0"/>
            <c:extLst>
              <c:ext xmlns:c16="http://schemas.microsoft.com/office/drawing/2014/chart" uri="{C3380CC4-5D6E-409C-BE32-E72D297353CC}">
                <c16:uniqueId val="{0000022C-65EE-4C4E-AC0B-4B3C8E73F656}"/>
              </c:ext>
            </c:extLst>
          </c:dPt>
          <c:dPt>
            <c:idx val="2"/>
            <c:invertIfNegative val="0"/>
            <c:bubble3D val="0"/>
            <c:extLst>
              <c:ext xmlns:c16="http://schemas.microsoft.com/office/drawing/2014/chart" uri="{C3380CC4-5D6E-409C-BE32-E72D297353CC}">
                <c16:uniqueId val="{0000022D-65EE-4C4E-AC0B-4B3C8E73F656}"/>
              </c:ext>
            </c:extLst>
          </c:dPt>
          <c:dPt>
            <c:idx val="3"/>
            <c:invertIfNegative val="0"/>
            <c:bubble3D val="0"/>
            <c:extLst>
              <c:ext xmlns:c16="http://schemas.microsoft.com/office/drawing/2014/chart" uri="{C3380CC4-5D6E-409C-BE32-E72D297353CC}">
                <c16:uniqueId val="{0000022E-65EE-4C4E-AC0B-4B3C8E73F656}"/>
              </c:ext>
            </c:extLst>
          </c:dPt>
          <c:dPt>
            <c:idx val="4"/>
            <c:invertIfNegative val="0"/>
            <c:bubble3D val="0"/>
            <c:extLst>
              <c:ext xmlns:c16="http://schemas.microsoft.com/office/drawing/2014/chart" uri="{C3380CC4-5D6E-409C-BE32-E72D297353CC}">
                <c16:uniqueId val="{0000022F-65EE-4C4E-AC0B-4B3C8E73F656}"/>
              </c:ext>
            </c:extLst>
          </c:dPt>
          <c:dPt>
            <c:idx val="5"/>
            <c:invertIfNegative val="0"/>
            <c:bubble3D val="0"/>
            <c:extLst>
              <c:ext xmlns:c16="http://schemas.microsoft.com/office/drawing/2014/chart" uri="{C3380CC4-5D6E-409C-BE32-E72D297353CC}">
                <c16:uniqueId val="{00000230-65EE-4C4E-AC0B-4B3C8E73F656}"/>
              </c:ext>
            </c:extLst>
          </c:dPt>
          <c:dPt>
            <c:idx val="6"/>
            <c:invertIfNegative val="0"/>
            <c:bubble3D val="0"/>
            <c:extLst>
              <c:ext xmlns:c16="http://schemas.microsoft.com/office/drawing/2014/chart" uri="{C3380CC4-5D6E-409C-BE32-E72D297353CC}">
                <c16:uniqueId val="{00000231-65EE-4C4E-AC0B-4B3C8E73F656}"/>
              </c:ext>
            </c:extLst>
          </c:dPt>
          <c:dPt>
            <c:idx val="7"/>
            <c:invertIfNegative val="0"/>
            <c:bubble3D val="0"/>
            <c:extLst>
              <c:ext xmlns:c16="http://schemas.microsoft.com/office/drawing/2014/chart" uri="{C3380CC4-5D6E-409C-BE32-E72D297353CC}">
                <c16:uniqueId val="{00000232-65EE-4C4E-AC0B-4B3C8E73F656}"/>
              </c:ext>
            </c:extLst>
          </c:dPt>
          <c:dPt>
            <c:idx val="8"/>
            <c:invertIfNegative val="0"/>
            <c:bubble3D val="0"/>
            <c:extLst>
              <c:ext xmlns:c16="http://schemas.microsoft.com/office/drawing/2014/chart" uri="{C3380CC4-5D6E-409C-BE32-E72D297353CC}">
                <c16:uniqueId val="{00000233-65EE-4C4E-AC0B-4B3C8E73F656}"/>
              </c:ext>
            </c:extLst>
          </c:dPt>
          <c:dPt>
            <c:idx val="9"/>
            <c:invertIfNegative val="0"/>
            <c:bubble3D val="0"/>
            <c:extLst>
              <c:ext xmlns:c16="http://schemas.microsoft.com/office/drawing/2014/chart" uri="{C3380CC4-5D6E-409C-BE32-E72D297353CC}">
                <c16:uniqueId val="{00000234-65EE-4C4E-AC0B-4B3C8E73F656}"/>
              </c:ext>
            </c:extLst>
          </c:dPt>
          <c:dPt>
            <c:idx val="10"/>
            <c:invertIfNegative val="0"/>
            <c:bubble3D val="0"/>
            <c:extLst>
              <c:ext xmlns:c16="http://schemas.microsoft.com/office/drawing/2014/chart" uri="{C3380CC4-5D6E-409C-BE32-E72D297353CC}">
                <c16:uniqueId val="{00000235-65EE-4C4E-AC0B-4B3C8E73F656}"/>
              </c:ext>
            </c:extLst>
          </c:dPt>
          <c:dPt>
            <c:idx val="11"/>
            <c:invertIfNegative val="0"/>
            <c:bubble3D val="0"/>
            <c:extLst>
              <c:ext xmlns:c16="http://schemas.microsoft.com/office/drawing/2014/chart" uri="{C3380CC4-5D6E-409C-BE32-E72D297353CC}">
                <c16:uniqueId val="{00000236-65EE-4C4E-AC0B-4B3C8E73F656}"/>
              </c:ext>
            </c:extLst>
          </c:dPt>
          <c:dPt>
            <c:idx val="12"/>
            <c:invertIfNegative val="0"/>
            <c:bubble3D val="0"/>
            <c:extLst>
              <c:ext xmlns:c16="http://schemas.microsoft.com/office/drawing/2014/chart" uri="{C3380CC4-5D6E-409C-BE32-E72D297353CC}">
                <c16:uniqueId val="{00000237-65EE-4C4E-AC0B-4B3C8E73F656}"/>
              </c:ext>
            </c:extLst>
          </c:dPt>
          <c:dPt>
            <c:idx val="13"/>
            <c:invertIfNegative val="0"/>
            <c:bubble3D val="0"/>
            <c:extLst>
              <c:ext xmlns:c16="http://schemas.microsoft.com/office/drawing/2014/chart" uri="{C3380CC4-5D6E-409C-BE32-E72D297353CC}">
                <c16:uniqueId val="{00000238-65EE-4C4E-AC0B-4B3C8E73F656}"/>
              </c:ext>
            </c:extLst>
          </c:dPt>
          <c:dPt>
            <c:idx val="14"/>
            <c:invertIfNegative val="0"/>
            <c:bubble3D val="0"/>
            <c:extLst>
              <c:ext xmlns:c16="http://schemas.microsoft.com/office/drawing/2014/chart" uri="{C3380CC4-5D6E-409C-BE32-E72D297353CC}">
                <c16:uniqueId val="{00000239-65EE-4C4E-AC0B-4B3C8E73F656}"/>
              </c:ext>
            </c:extLst>
          </c:dPt>
          <c:dPt>
            <c:idx val="15"/>
            <c:invertIfNegative val="0"/>
            <c:bubble3D val="0"/>
            <c:extLst>
              <c:ext xmlns:c16="http://schemas.microsoft.com/office/drawing/2014/chart" uri="{C3380CC4-5D6E-409C-BE32-E72D297353CC}">
                <c16:uniqueId val="{0000023A-65EE-4C4E-AC0B-4B3C8E73F656}"/>
              </c:ext>
            </c:extLst>
          </c:dPt>
          <c:dPt>
            <c:idx val="16"/>
            <c:invertIfNegative val="0"/>
            <c:bubble3D val="0"/>
            <c:extLst>
              <c:ext xmlns:c16="http://schemas.microsoft.com/office/drawing/2014/chart" uri="{C3380CC4-5D6E-409C-BE32-E72D297353CC}">
                <c16:uniqueId val="{0000023B-65EE-4C4E-AC0B-4B3C8E73F656}"/>
              </c:ext>
            </c:extLst>
          </c:dPt>
          <c:dPt>
            <c:idx val="17"/>
            <c:invertIfNegative val="0"/>
            <c:bubble3D val="0"/>
            <c:extLst>
              <c:ext xmlns:c16="http://schemas.microsoft.com/office/drawing/2014/chart" uri="{C3380CC4-5D6E-409C-BE32-E72D297353CC}">
                <c16:uniqueId val="{0000023C-65EE-4C4E-AC0B-4B3C8E73F656}"/>
              </c:ext>
            </c:extLst>
          </c:dPt>
          <c:dPt>
            <c:idx val="18"/>
            <c:invertIfNegative val="0"/>
            <c:bubble3D val="0"/>
            <c:extLst>
              <c:ext xmlns:c16="http://schemas.microsoft.com/office/drawing/2014/chart" uri="{C3380CC4-5D6E-409C-BE32-E72D297353CC}">
                <c16:uniqueId val="{0000023D-65EE-4C4E-AC0B-4B3C8E73F656}"/>
              </c:ext>
            </c:extLst>
          </c:dPt>
          <c:dPt>
            <c:idx val="19"/>
            <c:invertIfNegative val="0"/>
            <c:bubble3D val="0"/>
            <c:extLst>
              <c:ext xmlns:c16="http://schemas.microsoft.com/office/drawing/2014/chart" uri="{C3380CC4-5D6E-409C-BE32-E72D297353CC}">
                <c16:uniqueId val="{0000023E-65EE-4C4E-AC0B-4B3C8E73F656}"/>
              </c:ext>
            </c:extLst>
          </c:dPt>
          <c:dPt>
            <c:idx val="20"/>
            <c:invertIfNegative val="0"/>
            <c:bubble3D val="0"/>
            <c:extLst>
              <c:ext xmlns:c16="http://schemas.microsoft.com/office/drawing/2014/chart" uri="{C3380CC4-5D6E-409C-BE32-E72D297353CC}">
                <c16:uniqueId val="{0000023F-65EE-4C4E-AC0B-4B3C8E73F656}"/>
              </c:ext>
            </c:extLst>
          </c:dPt>
          <c:dPt>
            <c:idx val="21"/>
            <c:invertIfNegative val="0"/>
            <c:bubble3D val="0"/>
            <c:extLst>
              <c:ext xmlns:c16="http://schemas.microsoft.com/office/drawing/2014/chart" uri="{C3380CC4-5D6E-409C-BE32-E72D297353CC}">
                <c16:uniqueId val="{00000240-65EE-4C4E-AC0B-4B3C8E73F656}"/>
              </c:ext>
            </c:extLst>
          </c:dPt>
          <c:dPt>
            <c:idx val="22"/>
            <c:invertIfNegative val="0"/>
            <c:bubble3D val="0"/>
            <c:extLst>
              <c:ext xmlns:c16="http://schemas.microsoft.com/office/drawing/2014/chart" uri="{C3380CC4-5D6E-409C-BE32-E72D297353CC}">
                <c16:uniqueId val="{00000241-65EE-4C4E-AC0B-4B3C8E73F656}"/>
              </c:ext>
            </c:extLst>
          </c:dPt>
          <c:dPt>
            <c:idx val="23"/>
            <c:invertIfNegative val="0"/>
            <c:bubble3D val="0"/>
            <c:extLst>
              <c:ext xmlns:c16="http://schemas.microsoft.com/office/drawing/2014/chart" uri="{C3380CC4-5D6E-409C-BE32-E72D297353CC}">
                <c16:uniqueId val="{00000242-65EE-4C4E-AC0B-4B3C8E73F656}"/>
              </c:ext>
            </c:extLst>
          </c:dPt>
          <c:dPt>
            <c:idx val="24"/>
            <c:invertIfNegative val="0"/>
            <c:bubble3D val="0"/>
            <c:extLst>
              <c:ext xmlns:c16="http://schemas.microsoft.com/office/drawing/2014/chart" uri="{C3380CC4-5D6E-409C-BE32-E72D297353CC}">
                <c16:uniqueId val="{00000243-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Data'!$C$5:$X$5</c:f>
              <c:numCache>
                <c:formatCode>#,##0_ ;\-#,##0\ </c:formatCode>
                <c:ptCount val="22"/>
                <c:pt idx="0">
                  <c:v>15797.150798449293</c:v>
                </c:pt>
                <c:pt idx="1">
                  <c:v>15840.430663649991</c:v>
                </c:pt>
                <c:pt idx="2">
                  <c:v>15797.150798448993</c:v>
                </c:pt>
                <c:pt idx="3">
                  <c:v>15797.150798448942</c:v>
                </c:pt>
                <c:pt idx="4">
                  <c:v>15797.150798448931</c:v>
                </c:pt>
                <c:pt idx="5">
                  <c:v>15840.430663650302</c:v>
                </c:pt>
                <c:pt idx="6">
                  <c:v>15729.268557402862</c:v>
                </c:pt>
                <c:pt idx="7">
                  <c:v>15797.1507984491</c:v>
                </c:pt>
                <c:pt idx="8">
                  <c:v>15797.150798449073</c:v>
                </c:pt>
                <c:pt idx="9">
                  <c:v>15840.430663650301</c:v>
                </c:pt>
                <c:pt idx="10">
                  <c:v>15797.150798449042</c:v>
                </c:pt>
                <c:pt idx="11">
                  <c:v>15797.150798449029</c:v>
                </c:pt>
                <c:pt idx="12">
                  <c:v>15797.150798449</c:v>
                </c:pt>
                <c:pt idx="13">
                  <c:v>15840.43066365043</c:v>
                </c:pt>
                <c:pt idx="14">
                  <c:v>15797.15079844902</c:v>
                </c:pt>
                <c:pt idx="15">
                  <c:v>15797.15079844914</c:v>
                </c:pt>
                <c:pt idx="16">
                  <c:v>15797.150798449102</c:v>
                </c:pt>
                <c:pt idx="17">
                  <c:v>15840.430663650268</c:v>
                </c:pt>
                <c:pt idx="18">
                  <c:v>15797.150798448851</c:v>
                </c:pt>
                <c:pt idx="19">
                  <c:v>15797.150798449073</c:v>
                </c:pt>
                <c:pt idx="20">
                  <c:v>15797.15079844902</c:v>
                </c:pt>
                <c:pt idx="21">
                  <c:v>15840.430663650312</c:v>
                </c:pt>
              </c:numCache>
            </c:numRef>
          </c:val>
          <c:extLst>
            <c:ext xmlns:c16="http://schemas.microsoft.com/office/drawing/2014/chart" uri="{C3380CC4-5D6E-409C-BE32-E72D297353CC}">
              <c16:uniqueId val="{00000244-65EE-4C4E-AC0B-4B3C8E73F656}"/>
            </c:ext>
          </c:extLst>
        </c:ser>
        <c:ser>
          <c:idx val="3"/>
          <c:order val="3"/>
          <c:tx>
            <c:strRef>
              <c:f>'NEMEnergyGenerated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246-65EE-4C4E-AC0B-4B3C8E73F656}"/>
              </c:ext>
            </c:extLst>
          </c:dPt>
          <c:dPt>
            <c:idx val="1"/>
            <c:invertIfNegative val="0"/>
            <c:bubble3D val="0"/>
            <c:extLst>
              <c:ext xmlns:c16="http://schemas.microsoft.com/office/drawing/2014/chart" uri="{C3380CC4-5D6E-409C-BE32-E72D297353CC}">
                <c16:uniqueId val="{00000247-65EE-4C4E-AC0B-4B3C8E73F656}"/>
              </c:ext>
            </c:extLst>
          </c:dPt>
          <c:dPt>
            <c:idx val="2"/>
            <c:invertIfNegative val="0"/>
            <c:bubble3D val="0"/>
            <c:extLst>
              <c:ext xmlns:c16="http://schemas.microsoft.com/office/drawing/2014/chart" uri="{C3380CC4-5D6E-409C-BE32-E72D297353CC}">
                <c16:uniqueId val="{00000248-65EE-4C4E-AC0B-4B3C8E73F656}"/>
              </c:ext>
            </c:extLst>
          </c:dPt>
          <c:dPt>
            <c:idx val="3"/>
            <c:invertIfNegative val="0"/>
            <c:bubble3D val="0"/>
            <c:extLst>
              <c:ext xmlns:c16="http://schemas.microsoft.com/office/drawing/2014/chart" uri="{C3380CC4-5D6E-409C-BE32-E72D297353CC}">
                <c16:uniqueId val="{00000249-65EE-4C4E-AC0B-4B3C8E73F656}"/>
              </c:ext>
            </c:extLst>
          </c:dPt>
          <c:dPt>
            <c:idx val="4"/>
            <c:invertIfNegative val="0"/>
            <c:bubble3D val="0"/>
            <c:extLst>
              <c:ext xmlns:c16="http://schemas.microsoft.com/office/drawing/2014/chart" uri="{C3380CC4-5D6E-409C-BE32-E72D297353CC}">
                <c16:uniqueId val="{0000024A-65EE-4C4E-AC0B-4B3C8E73F656}"/>
              </c:ext>
            </c:extLst>
          </c:dPt>
          <c:dPt>
            <c:idx val="5"/>
            <c:invertIfNegative val="0"/>
            <c:bubble3D val="0"/>
            <c:extLst>
              <c:ext xmlns:c16="http://schemas.microsoft.com/office/drawing/2014/chart" uri="{C3380CC4-5D6E-409C-BE32-E72D297353CC}">
                <c16:uniqueId val="{0000024B-65EE-4C4E-AC0B-4B3C8E73F656}"/>
              </c:ext>
            </c:extLst>
          </c:dPt>
          <c:dPt>
            <c:idx val="6"/>
            <c:invertIfNegative val="0"/>
            <c:bubble3D val="0"/>
            <c:extLst>
              <c:ext xmlns:c16="http://schemas.microsoft.com/office/drawing/2014/chart" uri="{C3380CC4-5D6E-409C-BE32-E72D297353CC}">
                <c16:uniqueId val="{0000024C-65EE-4C4E-AC0B-4B3C8E73F656}"/>
              </c:ext>
            </c:extLst>
          </c:dPt>
          <c:dPt>
            <c:idx val="7"/>
            <c:invertIfNegative val="0"/>
            <c:bubble3D val="0"/>
            <c:extLst>
              <c:ext xmlns:c16="http://schemas.microsoft.com/office/drawing/2014/chart" uri="{C3380CC4-5D6E-409C-BE32-E72D297353CC}">
                <c16:uniqueId val="{0000024D-65EE-4C4E-AC0B-4B3C8E73F656}"/>
              </c:ext>
            </c:extLst>
          </c:dPt>
          <c:dPt>
            <c:idx val="8"/>
            <c:invertIfNegative val="0"/>
            <c:bubble3D val="0"/>
            <c:extLst>
              <c:ext xmlns:c16="http://schemas.microsoft.com/office/drawing/2014/chart" uri="{C3380CC4-5D6E-409C-BE32-E72D297353CC}">
                <c16:uniqueId val="{0000024E-65EE-4C4E-AC0B-4B3C8E73F656}"/>
              </c:ext>
            </c:extLst>
          </c:dPt>
          <c:dPt>
            <c:idx val="9"/>
            <c:invertIfNegative val="0"/>
            <c:bubble3D val="0"/>
            <c:extLst>
              <c:ext xmlns:c16="http://schemas.microsoft.com/office/drawing/2014/chart" uri="{C3380CC4-5D6E-409C-BE32-E72D297353CC}">
                <c16:uniqueId val="{0000024F-65EE-4C4E-AC0B-4B3C8E73F656}"/>
              </c:ext>
            </c:extLst>
          </c:dPt>
          <c:dPt>
            <c:idx val="10"/>
            <c:invertIfNegative val="0"/>
            <c:bubble3D val="0"/>
            <c:extLst>
              <c:ext xmlns:c16="http://schemas.microsoft.com/office/drawing/2014/chart" uri="{C3380CC4-5D6E-409C-BE32-E72D297353CC}">
                <c16:uniqueId val="{00000250-65EE-4C4E-AC0B-4B3C8E73F656}"/>
              </c:ext>
            </c:extLst>
          </c:dPt>
          <c:dPt>
            <c:idx val="11"/>
            <c:invertIfNegative val="0"/>
            <c:bubble3D val="0"/>
            <c:extLst>
              <c:ext xmlns:c16="http://schemas.microsoft.com/office/drawing/2014/chart" uri="{C3380CC4-5D6E-409C-BE32-E72D297353CC}">
                <c16:uniqueId val="{00000251-65EE-4C4E-AC0B-4B3C8E73F656}"/>
              </c:ext>
            </c:extLst>
          </c:dPt>
          <c:dPt>
            <c:idx val="12"/>
            <c:invertIfNegative val="0"/>
            <c:bubble3D val="0"/>
            <c:extLst>
              <c:ext xmlns:c16="http://schemas.microsoft.com/office/drawing/2014/chart" uri="{C3380CC4-5D6E-409C-BE32-E72D297353CC}">
                <c16:uniqueId val="{00000252-65EE-4C4E-AC0B-4B3C8E73F656}"/>
              </c:ext>
            </c:extLst>
          </c:dPt>
          <c:dPt>
            <c:idx val="13"/>
            <c:invertIfNegative val="0"/>
            <c:bubble3D val="0"/>
            <c:extLst>
              <c:ext xmlns:c16="http://schemas.microsoft.com/office/drawing/2014/chart" uri="{C3380CC4-5D6E-409C-BE32-E72D297353CC}">
                <c16:uniqueId val="{00000253-65EE-4C4E-AC0B-4B3C8E73F656}"/>
              </c:ext>
            </c:extLst>
          </c:dPt>
          <c:dPt>
            <c:idx val="14"/>
            <c:invertIfNegative val="0"/>
            <c:bubble3D val="0"/>
            <c:extLst>
              <c:ext xmlns:c16="http://schemas.microsoft.com/office/drawing/2014/chart" uri="{C3380CC4-5D6E-409C-BE32-E72D297353CC}">
                <c16:uniqueId val="{00000254-65EE-4C4E-AC0B-4B3C8E73F656}"/>
              </c:ext>
            </c:extLst>
          </c:dPt>
          <c:dPt>
            <c:idx val="15"/>
            <c:invertIfNegative val="0"/>
            <c:bubble3D val="0"/>
            <c:extLst>
              <c:ext xmlns:c16="http://schemas.microsoft.com/office/drawing/2014/chart" uri="{C3380CC4-5D6E-409C-BE32-E72D297353CC}">
                <c16:uniqueId val="{00000255-65EE-4C4E-AC0B-4B3C8E73F656}"/>
              </c:ext>
            </c:extLst>
          </c:dPt>
          <c:dPt>
            <c:idx val="16"/>
            <c:invertIfNegative val="0"/>
            <c:bubble3D val="0"/>
            <c:extLst>
              <c:ext xmlns:c16="http://schemas.microsoft.com/office/drawing/2014/chart" uri="{C3380CC4-5D6E-409C-BE32-E72D297353CC}">
                <c16:uniqueId val="{00000256-65EE-4C4E-AC0B-4B3C8E73F656}"/>
              </c:ext>
            </c:extLst>
          </c:dPt>
          <c:dPt>
            <c:idx val="17"/>
            <c:invertIfNegative val="0"/>
            <c:bubble3D val="0"/>
            <c:extLst>
              <c:ext xmlns:c16="http://schemas.microsoft.com/office/drawing/2014/chart" uri="{C3380CC4-5D6E-409C-BE32-E72D297353CC}">
                <c16:uniqueId val="{00000257-65EE-4C4E-AC0B-4B3C8E73F656}"/>
              </c:ext>
            </c:extLst>
          </c:dPt>
          <c:dPt>
            <c:idx val="18"/>
            <c:invertIfNegative val="0"/>
            <c:bubble3D val="0"/>
            <c:extLst>
              <c:ext xmlns:c16="http://schemas.microsoft.com/office/drawing/2014/chart" uri="{C3380CC4-5D6E-409C-BE32-E72D297353CC}">
                <c16:uniqueId val="{00000258-65EE-4C4E-AC0B-4B3C8E73F656}"/>
              </c:ext>
            </c:extLst>
          </c:dPt>
          <c:dPt>
            <c:idx val="19"/>
            <c:invertIfNegative val="0"/>
            <c:bubble3D val="0"/>
            <c:extLst>
              <c:ext xmlns:c16="http://schemas.microsoft.com/office/drawing/2014/chart" uri="{C3380CC4-5D6E-409C-BE32-E72D297353CC}">
                <c16:uniqueId val="{00000259-65EE-4C4E-AC0B-4B3C8E73F656}"/>
              </c:ext>
            </c:extLst>
          </c:dPt>
          <c:dPt>
            <c:idx val="20"/>
            <c:invertIfNegative val="0"/>
            <c:bubble3D val="0"/>
            <c:extLst>
              <c:ext xmlns:c16="http://schemas.microsoft.com/office/drawing/2014/chart" uri="{C3380CC4-5D6E-409C-BE32-E72D297353CC}">
                <c16:uniqueId val="{0000025A-65EE-4C4E-AC0B-4B3C8E73F656}"/>
              </c:ext>
            </c:extLst>
          </c:dPt>
          <c:dPt>
            <c:idx val="21"/>
            <c:invertIfNegative val="0"/>
            <c:bubble3D val="0"/>
            <c:extLst>
              <c:ext xmlns:c16="http://schemas.microsoft.com/office/drawing/2014/chart" uri="{C3380CC4-5D6E-409C-BE32-E72D297353CC}">
                <c16:uniqueId val="{0000025B-65EE-4C4E-AC0B-4B3C8E73F656}"/>
              </c:ext>
            </c:extLst>
          </c:dPt>
          <c:dPt>
            <c:idx val="22"/>
            <c:invertIfNegative val="0"/>
            <c:bubble3D val="0"/>
            <c:extLst>
              <c:ext xmlns:c16="http://schemas.microsoft.com/office/drawing/2014/chart" uri="{C3380CC4-5D6E-409C-BE32-E72D297353CC}">
                <c16:uniqueId val="{0000025C-65EE-4C4E-AC0B-4B3C8E73F656}"/>
              </c:ext>
            </c:extLst>
          </c:dPt>
          <c:dPt>
            <c:idx val="23"/>
            <c:invertIfNegative val="0"/>
            <c:bubble3D val="0"/>
            <c:extLst>
              <c:ext xmlns:c16="http://schemas.microsoft.com/office/drawing/2014/chart" uri="{C3380CC4-5D6E-409C-BE32-E72D297353CC}">
                <c16:uniqueId val="{0000025D-65EE-4C4E-AC0B-4B3C8E73F656}"/>
              </c:ext>
            </c:extLst>
          </c:dPt>
          <c:dPt>
            <c:idx val="24"/>
            <c:invertIfNegative val="0"/>
            <c:bubble3D val="0"/>
            <c:extLst>
              <c:ext xmlns:c16="http://schemas.microsoft.com/office/drawing/2014/chart" uri="{C3380CC4-5D6E-409C-BE32-E72D297353CC}">
                <c16:uniqueId val="{0000025E-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Data'!$C$6:$X$6</c:f>
              <c:numCache>
                <c:formatCode>#,##0_ ;\-#,##0\ </c:formatCode>
                <c:ptCount val="22"/>
                <c:pt idx="0">
                  <c:v>13148</c:v>
                </c:pt>
                <c:pt idx="1">
                  <c:v>11162</c:v>
                </c:pt>
                <c:pt idx="2">
                  <c:v>11049</c:v>
                </c:pt>
                <c:pt idx="3">
                  <c:v>6952</c:v>
                </c:pt>
                <c:pt idx="4">
                  <c:v>9162</c:v>
                </c:pt>
                <c:pt idx="5">
                  <c:v>8105</c:v>
                </c:pt>
                <c:pt idx="6">
                  <c:v>3192</c:v>
                </c:pt>
                <c:pt idx="7">
                  <c:v>4742</c:v>
                </c:pt>
                <c:pt idx="8">
                  <c:v>6593</c:v>
                </c:pt>
                <c:pt idx="9">
                  <c:v>3445</c:v>
                </c:pt>
                <c:pt idx="10">
                  <c:v>6141</c:v>
                </c:pt>
                <c:pt idx="11">
                  <c:v>8461</c:v>
                </c:pt>
                <c:pt idx="12">
                  <c:v>6651</c:v>
                </c:pt>
                <c:pt idx="13">
                  <c:v>7898</c:v>
                </c:pt>
                <c:pt idx="14">
                  <c:v>9212</c:v>
                </c:pt>
                <c:pt idx="15">
                  <c:v>9183</c:v>
                </c:pt>
                <c:pt idx="16">
                  <c:v>8136</c:v>
                </c:pt>
                <c:pt idx="17">
                  <c:v>7930</c:v>
                </c:pt>
                <c:pt idx="18">
                  <c:v>9100</c:v>
                </c:pt>
                <c:pt idx="19">
                  <c:v>8941</c:v>
                </c:pt>
                <c:pt idx="20">
                  <c:v>9123</c:v>
                </c:pt>
                <c:pt idx="21">
                  <c:v>9048</c:v>
                </c:pt>
              </c:numCache>
            </c:numRef>
          </c:val>
          <c:extLst>
            <c:ext xmlns:c16="http://schemas.microsoft.com/office/drawing/2014/chart" uri="{C3380CC4-5D6E-409C-BE32-E72D297353CC}">
              <c16:uniqueId val="{0000025F-65EE-4C4E-AC0B-4B3C8E73F656}"/>
            </c:ext>
          </c:extLst>
        </c:ser>
        <c:ser>
          <c:idx val="4"/>
          <c:order val="4"/>
          <c:tx>
            <c:strRef>
              <c:f>'NEMEnergyGenerated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261-65EE-4C4E-AC0B-4B3C8E73F656}"/>
              </c:ext>
            </c:extLst>
          </c:dPt>
          <c:dPt>
            <c:idx val="1"/>
            <c:invertIfNegative val="0"/>
            <c:bubble3D val="0"/>
            <c:extLst>
              <c:ext xmlns:c16="http://schemas.microsoft.com/office/drawing/2014/chart" uri="{C3380CC4-5D6E-409C-BE32-E72D297353CC}">
                <c16:uniqueId val="{00000262-65EE-4C4E-AC0B-4B3C8E73F656}"/>
              </c:ext>
            </c:extLst>
          </c:dPt>
          <c:dPt>
            <c:idx val="2"/>
            <c:invertIfNegative val="0"/>
            <c:bubble3D val="0"/>
            <c:extLst>
              <c:ext xmlns:c16="http://schemas.microsoft.com/office/drawing/2014/chart" uri="{C3380CC4-5D6E-409C-BE32-E72D297353CC}">
                <c16:uniqueId val="{00000263-65EE-4C4E-AC0B-4B3C8E73F656}"/>
              </c:ext>
            </c:extLst>
          </c:dPt>
          <c:dPt>
            <c:idx val="3"/>
            <c:invertIfNegative val="0"/>
            <c:bubble3D val="0"/>
            <c:extLst>
              <c:ext xmlns:c16="http://schemas.microsoft.com/office/drawing/2014/chart" uri="{C3380CC4-5D6E-409C-BE32-E72D297353CC}">
                <c16:uniqueId val="{00000264-65EE-4C4E-AC0B-4B3C8E73F656}"/>
              </c:ext>
            </c:extLst>
          </c:dPt>
          <c:dPt>
            <c:idx val="4"/>
            <c:invertIfNegative val="0"/>
            <c:bubble3D val="0"/>
            <c:extLst>
              <c:ext xmlns:c16="http://schemas.microsoft.com/office/drawing/2014/chart" uri="{C3380CC4-5D6E-409C-BE32-E72D297353CC}">
                <c16:uniqueId val="{00000265-65EE-4C4E-AC0B-4B3C8E73F656}"/>
              </c:ext>
            </c:extLst>
          </c:dPt>
          <c:dPt>
            <c:idx val="5"/>
            <c:invertIfNegative val="0"/>
            <c:bubble3D val="0"/>
            <c:extLst>
              <c:ext xmlns:c16="http://schemas.microsoft.com/office/drawing/2014/chart" uri="{C3380CC4-5D6E-409C-BE32-E72D297353CC}">
                <c16:uniqueId val="{00000266-65EE-4C4E-AC0B-4B3C8E73F656}"/>
              </c:ext>
            </c:extLst>
          </c:dPt>
          <c:dPt>
            <c:idx val="6"/>
            <c:invertIfNegative val="0"/>
            <c:bubble3D val="0"/>
            <c:extLst>
              <c:ext xmlns:c16="http://schemas.microsoft.com/office/drawing/2014/chart" uri="{C3380CC4-5D6E-409C-BE32-E72D297353CC}">
                <c16:uniqueId val="{00000267-65EE-4C4E-AC0B-4B3C8E73F656}"/>
              </c:ext>
            </c:extLst>
          </c:dPt>
          <c:dPt>
            <c:idx val="7"/>
            <c:invertIfNegative val="0"/>
            <c:bubble3D val="0"/>
            <c:extLst>
              <c:ext xmlns:c16="http://schemas.microsoft.com/office/drawing/2014/chart" uri="{C3380CC4-5D6E-409C-BE32-E72D297353CC}">
                <c16:uniqueId val="{00000268-65EE-4C4E-AC0B-4B3C8E73F656}"/>
              </c:ext>
            </c:extLst>
          </c:dPt>
          <c:dPt>
            <c:idx val="8"/>
            <c:invertIfNegative val="0"/>
            <c:bubble3D val="0"/>
            <c:extLst>
              <c:ext xmlns:c16="http://schemas.microsoft.com/office/drawing/2014/chart" uri="{C3380CC4-5D6E-409C-BE32-E72D297353CC}">
                <c16:uniqueId val="{00000269-65EE-4C4E-AC0B-4B3C8E73F656}"/>
              </c:ext>
            </c:extLst>
          </c:dPt>
          <c:dPt>
            <c:idx val="9"/>
            <c:invertIfNegative val="0"/>
            <c:bubble3D val="0"/>
            <c:extLst>
              <c:ext xmlns:c16="http://schemas.microsoft.com/office/drawing/2014/chart" uri="{C3380CC4-5D6E-409C-BE32-E72D297353CC}">
                <c16:uniqueId val="{0000026A-65EE-4C4E-AC0B-4B3C8E73F656}"/>
              </c:ext>
            </c:extLst>
          </c:dPt>
          <c:dPt>
            <c:idx val="10"/>
            <c:invertIfNegative val="0"/>
            <c:bubble3D val="0"/>
            <c:extLst>
              <c:ext xmlns:c16="http://schemas.microsoft.com/office/drawing/2014/chart" uri="{C3380CC4-5D6E-409C-BE32-E72D297353CC}">
                <c16:uniqueId val="{0000026B-65EE-4C4E-AC0B-4B3C8E73F656}"/>
              </c:ext>
            </c:extLst>
          </c:dPt>
          <c:dPt>
            <c:idx val="11"/>
            <c:invertIfNegative val="0"/>
            <c:bubble3D val="0"/>
            <c:extLst>
              <c:ext xmlns:c16="http://schemas.microsoft.com/office/drawing/2014/chart" uri="{C3380CC4-5D6E-409C-BE32-E72D297353CC}">
                <c16:uniqueId val="{0000026C-65EE-4C4E-AC0B-4B3C8E73F656}"/>
              </c:ext>
            </c:extLst>
          </c:dPt>
          <c:dPt>
            <c:idx val="12"/>
            <c:invertIfNegative val="0"/>
            <c:bubble3D val="0"/>
            <c:extLst>
              <c:ext xmlns:c16="http://schemas.microsoft.com/office/drawing/2014/chart" uri="{C3380CC4-5D6E-409C-BE32-E72D297353CC}">
                <c16:uniqueId val="{0000026D-65EE-4C4E-AC0B-4B3C8E73F656}"/>
              </c:ext>
            </c:extLst>
          </c:dPt>
          <c:dPt>
            <c:idx val="13"/>
            <c:invertIfNegative val="0"/>
            <c:bubble3D val="0"/>
            <c:extLst>
              <c:ext xmlns:c16="http://schemas.microsoft.com/office/drawing/2014/chart" uri="{C3380CC4-5D6E-409C-BE32-E72D297353CC}">
                <c16:uniqueId val="{0000026E-65EE-4C4E-AC0B-4B3C8E73F656}"/>
              </c:ext>
            </c:extLst>
          </c:dPt>
          <c:dPt>
            <c:idx val="14"/>
            <c:invertIfNegative val="0"/>
            <c:bubble3D val="0"/>
            <c:extLst>
              <c:ext xmlns:c16="http://schemas.microsoft.com/office/drawing/2014/chart" uri="{C3380CC4-5D6E-409C-BE32-E72D297353CC}">
                <c16:uniqueId val="{0000026F-65EE-4C4E-AC0B-4B3C8E73F656}"/>
              </c:ext>
            </c:extLst>
          </c:dPt>
          <c:dPt>
            <c:idx val="15"/>
            <c:invertIfNegative val="0"/>
            <c:bubble3D val="0"/>
            <c:extLst>
              <c:ext xmlns:c16="http://schemas.microsoft.com/office/drawing/2014/chart" uri="{C3380CC4-5D6E-409C-BE32-E72D297353CC}">
                <c16:uniqueId val="{00000270-65EE-4C4E-AC0B-4B3C8E73F656}"/>
              </c:ext>
            </c:extLst>
          </c:dPt>
          <c:dPt>
            <c:idx val="16"/>
            <c:invertIfNegative val="0"/>
            <c:bubble3D val="0"/>
            <c:extLst>
              <c:ext xmlns:c16="http://schemas.microsoft.com/office/drawing/2014/chart" uri="{C3380CC4-5D6E-409C-BE32-E72D297353CC}">
                <c16:uniqueId val="{00000271-65EE-4C4E-AC0B-4B3C8E73F656}"/>
              </c:ext>
            </c:extLst>
          </c:dPt>
          <c:dPt>
            <c:idx val="17"/>
            <c:invertIfNegative val="0"/>
            <c:bubble3D val="0"/>
            <c:extLst>
              <c:ext xmlns:c16="http://schemas.microsoft.com/office/drawing/2014/chart" uri="{C3380CC4-5D6E-409C-BE32-E72D297353CC}">
                <c16:uniqueId val="{00000272-65EE-4C4E-AC0B-4B3C8E73F656}"/>
              </c:ext>
            </c:extLst>
          </c:dPt>
          <c:dPt>
            <c:idx val="18"/>
            <c:invertIfNegative val="0"/>
            <c:bubble3D val="0"/>
            <c:extLst>
              <c:ext xmlns:c16="http://schemas.microsoft.com/office/drawing/2014/chart" uri="{C3380CC4-5D6E-409C-BE32-E72D297353CC}">
                <c16:uniqueId val="{00000273-65EE-4C4E-AC0B-4B3C8E73F656}"/>
              </c:ext>
            </c:extLst>
          </c:dPt>
          <c:dPt>
            <c:idx val="19"/>
            <c:invertIfNegative val="0"/>
            <c:bubble3D val="0"/>
            <c:extLst>
              <c:ext xmlns:c16="http://schemas.microsoft.com/office/drawing/2014/chart" uri="{C3380CC4-5D6E-409C-BE32-E72D297353CC}">
                <c16:uniqueId val="{00000274-65EE-4C4E-AC0B-4B3C8E73F656}"/>
              </c:ext>
            </c:extLst>
          </c:dPt>
          <c:dPt>
            <c:idx val="20"/>
            <c:invertIfNegative val="0"/>
            <c:bubble3D val="0"/>
            <c:extLst>
              <c:ext xmlns:c16="http://schemas.microsoft.com/office/drawing/2014/chart" uri="{C3380CC4-5D6E-409C-BE32-E72D297353CC}">
                <c16:uniqueId val="{00000275-65EE-4C4E-AC0B-4B3C8E73F656}"/>
              </c:ext>
            </c:extLst>
          </c:dPt>
          <c:dPt>
            <c:idx val="21"/>
            <c:invertIfNegative val="0"/>
            <c:bubble3D val="0"/>
            <c:extLst>
              <c:ext xmlns:c16="http://schemas.microsoft.com/office/drawing/2014/chart" uri="{C3380CC4-5D6E-409C-BE32-E72D297353CC}">
                <c16:uniqueId val="{00000276-65EE-4C4E-AC0B-4B3C8E73F656}"/>
              </c:ext>
            </c:extLst>
          </c:dPt>
          <c:dPt>
            <c:idx val="22"/>
            <c:invertIfNegative val="0"/>
            <c:bubble3D val="0"/>
            <c:extLst>
              <c:ext xmlns:c16="http://schemas.microsoft.com/office/drawing/2014/chart" uri="{C3380CC4-5D6E-409C-BE32-E72D297353CC}">
                <c16:uniqueId val="{00000277-65EE-4C4E-AC0B-4B3C8E73F656}"/>
              </c:ext>
            </c:extLst>
          </c:dPt>
          <c:dPt>
            <c:idx val="23"/>
            <c:invertIfNegative val="0"/>
            <c:bubble3D val="0"/>
            <c:extLst>
              <c:ext xmlns:c16="http://schemas.microsoft.com/office/drawing/2014/chart" uri="{C3380CC4-5D6E-409C-BE32-E72D297353CC}">
                <c16:uniqueId val="{00000278-65EE-4C4E-AC0B-4B3C8E73F656}"/>
              </c:ext>
            </c:extLst>
          </c:dPt>
          <c:dPt>
            <c:idx val="24"/>
            <c:invertIfNegative val="0"/>
            <c:bubble3D val="0"/>
            <c:extLst>
              <c:ext xmlns:c16="http://schemas.microsoft.com/office/drawing/2014/chart" uri="{C3380CC4-5D6E-409C-BE32-E72D297353CC}">
                <c16:uniqueId val="{00000279-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Data'!$C$7:$X$7</c:f>
              <c:numCache>
                <c:formatCode>#,##0_ ;\-#,##0\ </c:formatCode>
                <c:ptCount val="22"/>
                <c:pt idx="0">
                  <c:v>1380</c:v>
                </c:pt>
                <c:pt idx="1">
                  <c:v>528</c:v>
                </c:pt>
                <c:pt idx="2">
                  <c:v>482</c:v>
                </c:pt>
                <c:pt idx="3">
                  <c:v>155</c:v>
                </c:pt>
                <c:pt idx="4">
                  <c:v>322</c:v>
                </c:pt>
                <c:pt idx="5">
                  <c:v>280</c:v>
                </c:pt>
                <c:pt idx="6">
                  <c:v>277</c:v>
                </c:pt>
                <c:pt idx="7">
                  <c:v>523</c:v>
                </c:pt>
                <c:pt idx="8">
                  <c:v>877</c:v>
                </c:pt>
                <c:pt idx="9">
                  <c:v>278</c:v>
                </c:pt>
                <c:pt idx="10">
                  <c:v>724</c:v>
                </c:pt>
                <c:pt idx="11">
                  <c:v>1498</c:v>
                </c:pt>
                <c:pt idx="12">
                  <c:v>871</c:v>
                </c:pt>
                <c:pt idx="13">
                  <c:v>1199</c:v>
                </c:pt>
                <c:pt idx="14">
                  <c:v>2246</c:v>
                </c:pt>
                <c:pt idx="15">
                  <c:v>2093</c:v>
                </c:pt>
                <c:pt idx="16">
                  <c:v>2809</c:v>
                </c:pt>
                <c:pt idx="17">
                  <c:v>3587</c:v>
                </c:pt>
                <c:pt idx="18">
                  <c:v>3828</c:v>
                </c:pt>
                <c:pt idx="19">
                  <c:v>3556</c:v>
                </c:pt>
                <c:pt idx="20">
                  <c:v>3539</c:v>
                </c:pt>
                <c:pt idx="21">
                  <c:v>3523</c:v>
                </c:pt>
              </c:numCache>
            </c:numRef>
          </c:val>
          <c:extLst>
            <c:ext xmlns:c16="http://schemas.microsoft.com/office/drawing/2014/chart" uri="{C3380CC4-5D6E-409C-BE32-E72D297353CC}">
              <c16:uniqueId val="{0000027A-65EE-4C4E-AC0B-4B3C8E73F656}"/>
            </c:ext>
          </c:extLst>
        </c:ser>
        <c:ser>
          <c:idx val="5"/>
          <c:order val="5"/>
          <c:tx>
            <c:strRef>
              <c:f>'NEMEnergyGenerated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2E0-65EE-4C4E-AC0B-4B3C8E73F656}"/>
              </c:ext>
            </c:extLst>
          </c:dPt>
          <c:dPt>
            <c:idx val="1"/>
            <c:invertIfNegative val="0"/>
            <c:bubble3D val="0"/>
            <c:extLst>
              <c:ext xmlns:c16="http://schemas.microsoft.com/office/drawing/2014/chart" uri="{C3380CC4-5D6E-409C-BE32-E72D297353CC}">
                <c16:uniqueId val="{000002E1-65EE-4C4E-AC0B-4B3C8E73F656}"/>
              </c:ext>
            </c:extLst>
          </c:dPt>
          <c:dPt>
            <c:idx val="2"/>
            <c:invertIfNegative val="0"/>
            <c:bubble3D val="0"/>
            <c:extLst>
              <c:ext xmlns:c16="http://schemas.microsoft.com/office/drawing/2014/chart" uri="{C3380CC4-5D6E-409C-BE32-E72D297353CC}">
                <c16:uniqueId val="{000002E2-65EE-4C4E-AC0B-4B3C8E73F656}"/>
              </c:ext>
            </c:extLst>
          </c:dPt>
          <c:dPt>
            <c:idx val="3"/>
            <c:invertIfNegative val="0"/>
            <c:bubble3D val="0"/>
            <c:extLst>
              <c:ext xmlns:c16="http://schemas.microsoft.com/office/drawing/2014/chart" uri="{C3380CC4-5D6E-409C-BE32-E72D297353CC}">
                <c16:uniqueId val="{000002E3-65EE-4C4E-AC0B-4B3C8E73F656}"/>
              </c:ext>
            </c:extLst>
          </c:dPt>
          <c:dPt>
            <c:idx val="4"/>
            <c:invertIfNegative val="0"/>
            <c:bubble3D val="0"/>
            <c:extLst>
              <c:ext xmlns:c16="http://schemas.microsoft.com/office/drawing/2014/chart" uri="{C3380CC4-5D6E-409C-BE32-E72D297353CC}">
                <c16:uniqueId val="{000002E4-65EE-4C4E-AC0B-4B3C8E73F656}"/>
              </c:ext>
            </c:extLst>
          </c:dPt>
          <c:dPt>
            <c:idx val="5"/>
            <c:invertIfNegative val="0"/>
            <c:bubble3D val="0"/>
            <c:extLst>
              <c:ext xmlns:c16="http://schemas.microsoft.com/office/drawing/2014/chart" uri="{C3380CC4-5D6E-409C-BE32-E72D297353CC}">
                <c16:uniqueId val="{000002E5-65EE-4C4E-AC0B-4B3C8E73F656}"/>
              </c:ext>
            </c:extLst>
          </c:dPt>
          <c:dPt>
            <c:idx val="6"/>
            <c:invertIfNegative val="0"/>
            <c:bubble3D val="0"/>
            <c:extLst>
              <c:ext xmlns:c16="http://schemas.microsoft.com/office/drawing/2014/chart" uri="{C3380CC4-5D6E-409C-BE32-E72D297353CC}">
                <c16:uniqueId val="{000002E6-65EE-4C4E-AC0B-4B3C8E73F656}"/>
              </c:ext>
            </c:extLst>
          </c:dPt>
          <c:dPt>
            <c:idx val="7"/>
            <c:invertIfNegative val="0"/>
            <c:bubble3D val="0"/>
            <c:extLst>
              <c:ext xmlns:c16="http://schemas.microsoft.com/office/drawing/2014/chart" uri="{C3380CC4-5D6E-409C-BE32-E72D297353CC}">
                <c16:uniqueId val="{000002E7-65EE-4C4E-AC0B-4B3C8E73F656}"/>
              </c:ext>
            </c:extLst>
          </c:dPt>
          <c:dPt>
            <c:idx val="8"/>
            <c:invertIfNegative val="0"/>
            <c:bubble3D val="0"/>
            <c:extLst>
              <c:ext xmlns:c16="http://schemas.microsoft.com/office/drawing/2014/chart" uri="{C3380CC4-5D6E-409C-BE32-E72D297353CC}">
                <c16:uniqueId val="{000002E8-65EE-4C4E-AC0B-4B3C8E73F656}"/>
              </c:ext>
            </c:extLst>
          </c:dPt>
          <c:dPt>
            <c:idx val="9"/>
            <c:invertIfNegative val="0"/>
            <c:bubble3D val="0"/>
            <c:extLst>
              <c:ext xmlns:c16="http://schemas.microsoft.com/office/drawing/2014/chart" uri="{C3380CC4-5D6E-409C-BE32-E72D297353CC}">
                <c16:uniqueId val="{000002E9-65EE-4C4E-AC0B-4B3C8E73F656}"/>
              </c:ext>
            </c:extLst>
          </c:dPt>
          <c:dPt>
            <c:idx val="10"/>
            <c:invertIfNegative val="0"/>
            <c:bubble3D val="0"/>
            <c:extLst>
              <c:ext xmlns:c16="http://schemas.microsoft.com/office/drawing/2014/chart" uri="{C3380CC4-5D6E-409C-BE32-E72D297353CC}">
                <c16:uniqueId val="{000002EA-65EE-4C4E-AC0B-4B3C8E73F656}"/>
              </c:ext>
            </c:extLst>
          </c:dPt>
          <c:dPt>
            <c:idx val="11"/>
            <c:invertIfNegative val="0"/>
            <c:bubble3D val="0"/>
            <c:extLst>
              <c:ext xmlns:c16="http://schemas.microsoft.com/office/drawing/2014/chart" uri="{C3380CC4-5D6E-409C-BE32-E72D297353CC}">
                <c16:uniqueId val="{000002EB-65EE-4C4E-AC0B-4B3C8E73F656}"/>
              </c:ext>
            </c:extLst>
          </c:dPt>
          <c:dPt>
            <c:idx val="12"/>
            <c:invertIfNegative val="0"/>
            <c:bubble3D val="0"/>
            <c:extLst>
              <c:ext xmlns:c16="http://schemas.microsoft.com/office/drawing/2014/chart" uri="{C3380CC4-5D6E-409C-BE32-E72D297353CC}">
                <c16:uniqueId val="{000002EC-65EE-4C4E-AC0B-4B3C8E73F656}"/>
              </c:ext>
            </c:extLst>
          </c:dPt>
          <c:dPt>
            <c:idx val="13"/>
            <c:invertIfNegative val="0"/>
            <c:bubble3D val="0"/>
            <c:extLst>
              <c:ext xmlns:c16="http://schemas.microsoft.com/office/drawing/2014/chart" uri="{C3380CC4-5D6E-409C-BE32-E72D297353CC}">
                <c16:uniqueId val="{000002ED-65EE-4C4E-AC0B-4B3C8E73F656}"/>
              </c:ext>
            </c:extLst>
          </c:dPt>
          <c:dPt>
            <c:idx val="14"/>
            <c:invertIfNegative val="0"/>
            <c:bubble3D val="0"/>
            <c:extLst>
              <c:ext xmlns:c16="http://schemas.microsoft.com/office/drawing/2014/chart" uri="{C3380CC4-5D6E-409C-BE32-E72D297353CC}">
                <c16:uniqueId val="{000002EE-65EE-4C4E-AC0B-4B3C8E73F656}"/>
              </c:ext>
            </c:extLst>
          </c:dPt>
          <c:dPt>
            <c:idx val="15"/>
            <c:invertIfNegative val="0"/>
            <c:bubble3D val="0"/>
            <c:extLst>
              <c:ext xmlns:c16="http://schemas.microsoft.com/office/drawing/2014/chart" uri="{C3380CC4-5D6E-409C-BE32-E72D297353CC}">
                <c16:uniqueId val="{000002EF-65EE-4C4E-AC0B-4B3C8E73F656}"/>
              </c:ext>
            </c:extLst>
          </c:dPt>
          <c:dPt>
            <c:idx val="16"/>
            <c:invertIfNegative val="0"/>
            <c:bubble3D val="0"/>
            <c:extLst>
              <c:ext xmlns:c16="http://schemas.microsoft.com/office/drawing/2014/chart" uri="{C3380CC4-5D6E-409C-BE32-E72D297353CC}">
                <c16:uniqueId val="{000002F0-65EE-4C4E-AC0B-4B3C8E73F656}"/>
              </c:ext>
            </c:extLst>
          </c:dPt>
          <c:dPt>
            <c:idx val="17"/>
            <c:invertIfNegative val="0"/>
            <c:bubble3D val="0"/>
            <c:extLst>
              <c:ext xmlns:c16="http://schemas.microsoft.com/office/drawing/2014/chart" uri="{C3380CC4-5D6E-409C-BE32-E72D297353CC}">
                <c16:uniqueId val="{000002F1-65EE-4C4E-AC0B-4B3C8E73F656}"/>
              </c:ext>
            </c:extLst>
          </c:dPt>
          <c:dPt>
            <c:idx val="18"/>
            <c:invertIfNegative val="0"/>
            <c:bubble3D val="0"/>
            <c:extLst>
              <c:ext xmlns:c16="http://schemas.microsoft.com/office/drawing/2014/chart" uri="{C3380CC4-5D6E-409C-BE32-E72D297353CC}">
                <c16:uniqueId val="{000002F2-65EE-4C4E-AC0B-4B3C8E73F656}"/>
              </c:ext>
            </c:extLst>
          </c:dPt>
          <c:dPt>
            <c:idx val="19"/>
            <c:invertIfNegative val="0"/>
            <c:bubble3D val="0"/>
            <c:extLst>
              <c:ext xmlns:c16="http://schemas.microsoft.com/office/drawing/2014/chart" uri="{C3380CC4-5D6E-409C-BE32-E72D297353CC}">
                <c16:uniqueId val="{000002F3-65EE-4C4E-AC0B-4B3C8E73F656}"/>
              </c:ext>
            </c:extLst>
          </c:dPt>
          <c:dPt>
            <c:idx val="20"/>
            <c:invertIfNegative val="0"/>
            <c:bubble3D val="0"/>
            <c:extLst>
              <c:ext xmlns:c16="http://schemas.microsoft.com/office/drawing/2014/chart" uri="{C3380CC4-5D6E-409C-BE32-E72D297353CC}">
                <c16:uniqueId val="{000002F4-65EE-4C4E-AC0B-4B3C8E73F656}"/>
              </c:ext>
            </c:extLst>
          </c:dPt>
          <c:dPt>
            <c:idx val="21"/>
            <c:invertIfNegative val="0"/>
            <c:bubble3D val="0"/>
            <c:extLst>
              <c:ext xmlns:c16="http://schemas.microsoft.com/office/drawing/2014/chart" uri="{C3380CC4-5D6E-409C-BE32-E72D297353CC}">
                <c16:uniqueId val="{000002F5-65EE-4C4E-AC0B-4B3C8E73F656}"/>
              </c:ext>
            </c:extLst>
          </c:dPt>
          <c:dPt>
            <c:idx val="22"/>
            <c:invertIfNegative val="0"/>
            <c:bubble3D val="0"/>
            <c:extLst>
              <c:ext xmlns:c16="http://schemas.microsoft.com/office/drawing/2014/chart" uri="{C3380CC4-5D6E-409C-BE32-E72D297353CC}">
                <c16:uniqueId val="{000002F6-65EE-4C4E-AC0B-4B3C8E73F656}"/>
              </c:ext>
            </c:extLst>
          </c:dPt>
          <c:dPt>
            <c:idx val="23"/>
            <c:invertIfNegative val="0"/>
            <c:bubble3D val="0"/>
            <c:extLst>
              <c:ext xmlns:c16="http://schemas.microsoft.com/office/drawing/2014/chart" uri="{C3380CC4-5D6E-409C-BE32-E72D297353CC}">
                <c16:uniqueId val="{000002F7-65EE-4C4E-AC0B-4B3C8E73F656}"/>
              </c:ext>
            </c:extLst>
          </c:dPt>
          <c:dPt>
            <c:idx val="24"/>
            <c:invertIfNegative val="0"/>
            <c:bubble3D val="0"/>
            <c:extLst>
              <c:ext xmlns:c16="http://schemas.microsoft.com/office/drawing/2014/chart" uri="{C3380CC4-5D6E-409C-BE32-E72D297353CC}">
                <c16:uniqueId val="{000002F8-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Data'!$C$8:$X$8</c:f>
              <c:numCache>
                <c:formatCode>#,##0_ ;\-#,##0\ </c:formatCode>
                <c:ptCount val="22"/>
                <c:pt idx="0">
                  <c:v>18209.458695725865</c:v>
                </c:pt>
                <c:pt idx="1">
                  <c:v>24407.892785843949</c:v>
                </c:pt>
                <c:pt idx="2">
                  <c:v>26318.650567153592</c:v>
                </c:pt>
                <c:pt idx="3">
                  <c:v>27411.201980541791</c:v>
                </c:pt>
                <c:pt idx="4">
                  <c:v>28940.826119478625</c:v>
                </c:pt>
                <c:pt idx="5">
                  <c:v>30856.648757399857</c:v>
                </c:pt>
                <c:pt idx="6">
                  <c:v>32200.32566777902</c:v>
                </c:pt>
                <c:pt idx="7">
                  <c:v>31966.532158502981</c:v>
                </c:pt>
                <c:pt idx="8">
                  <c:v>33035.223213141056</c:v>
                </c:pt>
                <c:pt idx="9">
                  <c:v>32620.89418285693</c:v>
                </c:pt>
                <c:pt idx="10">
                  <c:v>33750.674085293249</c:v>
                </c:pt>
                <c:pt idx="11">
                  <c:v>33451.326396653712</c:v>
                </c:pt>
                <c:pt idx="12">
                  <c:v>31852.847895582392</c:v>
                </c:pt>
                <c:pt idx="13">
                  <c:v>31420.685084658544</c:v>
                </c:pt>
                <c:pt idx="14">
                  <c:v>32963.621346646483</c:v>
                </c:pt>
                <c:pt idx="15">
                  <c:v>34361.568550219199</c:v>
                </c:pt>
                <c:pt idx="16">
                  <c:v>37823.931614385554</c:v>
                </c:pt>
                <c:pt idx="17">
                  <c:v>42756.577858135046</c:v>
                </c:pt>
                <c:pt idx="18">
                  <c:v>42785.084335572414</c:v>
                </c:pt>
                <c:pt idx="19">
                  <c:v>42814.279531046122</c:v>
                </c:pt>
                <c:pt idx="20">
                  <c:v>43912.552344225951</c:v>
                </c:pt>
                <c:pt idx="21">
                  <c:v>44715.641384972587</c:v>
                </c:pt>
              </c:numCache>
            </c:numRef>
          </c:val>
          <c:extLst>
            <c:ext xmlns:c16="http://schemas.microsoft.com/office/drawing/2014/chart" uri="{C3380CC4-5D6E-409C-BE32-E72D297353CC}">
              <c16:uniqueId val="{000002F9-65EE-4C4E-AC0B-4B3C8E73F656}"/>
            </c:ext>
          </c:extLst>
        </c:ser>
        <c:ser>
          <c:idx val="8"/>
          <c:order val="6"/>
          <c:tx>
            <c:strRef>
              <c:f>'NEMEnergyGenerated Data'!$B$12</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27C-65EE-4C4E-AC0B-4B3C8E73F656}"/>
              </c:ext>
            </c:extLst>
          </c:dPt>
          <c:dPt>
            <c:idx val="1"/>
            <c:invertIfNegative val="0"/>
            <c:bubble3D val="0"/>
            <c:extLst>
              <c:ext xmlns:c16="http://schemas.microsoft.com/office/drawing/2014/chart" uri="{C3380CC4-5D6E-409C-BE32-E72D297353CC}">
                <c16:uniqueId val="{0000027D-65EE-4C4E-AC0B-4B3C8E73F656}"/>
              </c:ext>
            </c:extLst>
          </c:dPt>
          <c:dPt>
            <c:idx val="2"/>
            <c:invertIfNegative val="0"/>
            <c:bubble3D val="0"/>
            <c:extLst>
              <c:ext xmlns:c16="http://schemas.microsoft.com/office/drawing/2014/chart" uri="{C3380CC4-5D6E-409C-BE32-E72D297353CC}">
                <c16:uniqueId val="{0000027E-65EE-4C4E-AC0B-4B3C8E73F656}"/>
              </c:ext>
            </c:extLst>
          </c:dPt>
          <c:dPt>
            <c:idx val="3"/>
            <c:invertIfNegative val="0"/>
            <c:bubble3D val="0"/>
            <c:extLst>
              <c:ext xmlns:c16="http://schemas.microsoft.com/office/drawing/2014/chart" uri="{C3380CC4-5D6E-409C-BE32-E72D297353CC}">
                <c16:uniqueId val="{0000027F-65EE-4C4E-AC0B-4B3C8E73F656}"/>
              </c:ext>
            </c:extLst>
          </c:dPt>
          <c:dPt>
            <c:idx val="4"/>
            <c:invertIfNegative val="0"/>
            <c:bubble3D val="0"/>
            <c:extLst>
              <c:ext xmlns:c16="http://schemas.microsoft.com/office/drawing/2014/chart" uri="{C3380CC4-5D6E-409C-BE32-E72D297353CC}">
                <c16:uniqueId val="{00000280-65EE-4C4E-AC0B-4B3C8E73F656}"/>
              </c:ext>
            </c:extLst>
          </c:dPt>
          <c:dPt>
            <c:idx val="5"/>
            <c:invertIfNegative val="0"/>
            <c:bubble3D val="0"/>
            <c:extLst>
              <c:ext xmlns:c16="http://schemas.microsoft.com/office/drawing/2014/chart" uri="{C3380CC4-5D6E-409C-BE32-E72D297353CC}">
                <c16:uniqueId val="{00000281-65EE-4C4E-AC0B-4B3C8E73F656}"/>
              </c:ext>
            </c:extLst>
          </c:dPt>
          <c:dPt>
            <c:idx val="6"/>
            <c:invertIfNegative val="0"/>
            <c:bubble3D val="0"/>
            <c:extLst>
              <c:ext xmlns:c16="http://schemas.microsoft.com/office/drawing/2014/chart" uri="{C3380CC4-5D6E-409C-BE32-E72D297353CC}">
                <c16:uniqueId val="{00000282-65EE-4C4E-AC0B-4B3C8E73F656}"/>
              </c:ext>
            </c:extLst>
          </c:dPt>
          <c:dPt>
            <c:idx val="7"/>
            <c:invertIfNegative val="0"/>
            <c:bubble3D val="0"/>
            <c:extLst>
              <c:ext xmlns:c16="http://schemas.microsoft.com/office/drawing/2014/chart" uri="{C3380CC4-5D6E-409C-BE32-E72D297353CC}">
                <c16:uniqueId val="{00000283-65EE-4C4E-AC0B-4B3C8E73F656}"/>
              </c:ext>
            </c:extLst>
          </c:dPt>
          <c:dPt>
            <c:idx val="8"/>
            <c:invertIfNegative val="0"/>
            <c:bubble3D val="0"/>
            <c:extLst>
              <c:ext xmlns:c16="http://schemas.microsoft.com/office/drawing/2014/chart" uri="{C3380CC4-5D6E-409C-BE32-E72D297353CC}">
                <c16:uniqueId val="{00000284-65EE-4C4E-AC0B-4B3C8E73F656}"/>
              </c:ext>
            </c:extLst>
          </c:dPt>
          <c:dPt>
            <c:idx val="9"/>
            <c:invertIfNegative val="0"/>
            <c:bubble3D val="0"/>
            <c:extLst>
              <c:ext xmlns:c16="http://schemas.microsoft.com/office/drawing/2014/chart" uri="{C3380CC4-5D6E-409C-BE32-E72D297353CC}">
                <c16:uniqueId val="{00000285-65EE-4C4E-AC0B-4B3C8E73F656}"/>
              </c:ext>
            </c:extLst>
          </c:dPt>
          <c:dPt>
            <c:idx val="10"/>
            <c:invertIfNegative val="0"/>
            <c:bubble3D val="0"/>
            <c:extLst>
              <c:ext xmlns:c16="http://schemas.microsoft.com/office/drawing/2014/chart" uri="{C3380CC4-5D6E-409C-BE32-E72D297353CC}">
                <c16:uniqueId val="{00000286-65EE-4C4E-AC0B-4B3C8E73F656}"/>
              </c:ext>
            </c:extLst>
          </c:dPt>
          <c:dPt>
            <c:idx val="11"/>
            <c:invertIfNegative val="0"/>
            <c:bubble3D val="0"/>
            <c:extLst>
              <c:ext xmlns:c16="http://schemas.microsoft.com/office/drawing/2014/chart" uri="{C3380CC4-5D6E-409C-BE32-E72D297353CC}">
                <c16:uniqueId val="{00000287-65EE-4C4E-AC0B-4B3C8E73F656}"/>
              </c:ext>
            </c:extLst>
          </c:dPt>
          <c:dPt>
            <c:idx val="12"/>
            <c:invertIfNegative val="0"/>
            <c:bubble3D val="0"/>
            <c:extLst>
              <c:ext xmlns:c16="http://schemas.microsoft.com/office/drawing/2014/chart" uri="{C3380CC4-5D6E-409C-BE32-E72D297353CC}">
                <c16:uniqueId val="{00000288-65EE-4C4E-AC0B-4B3C8E73F656}"/>
              </c:ext>
            </c:extLst>
          </c:dPt>
          <c:dPt>
            <c:idx val="13"/>
            <c:invertIfNegative val="0"/>
            <c:bubble3D val="0"/>
            <c:extLst>
              <c:ext xmlns:c16="http://schemas.microsoft.com/office/drawing/2014/chart" uri="{C3380CC4-5D6E-409C-BE32-E72D297353CC}">
                <c16:uniqueId val="{00000289-65EE-4C4E-AC0B-4B3C8E73F656}"/>
              </c:ext>
            </c:extLst>
          </c:dPt>
          <c:dPt>
            <c:idx val="14"/>
            <c:invertIfNegative val="0"/>
            <c:bubble3D val="0"/>
            <c:extLst>
              <c:ext xmlns:c16="http://schemas.microsoft.com/office/drawing/2014/chart" uri="{C3380CC4-5D6E-409C-BE32-E72D297353CC}">
                <c16:uniqueId val="{0000028A-65EE-4C4E-AC0B-4B3C8E73F656}"/>
              </c:ext>
            </c:extLst>
          </c:dPt>
          <c:dPt>
            <c:idx val="15"/>
            <c:invertIfNegative val="0"/>
            <c:bubble3D val="0"/>
            <c:extLst>
              <c:ext xmlns:c16="http://schemas.microsoft.com/office/drawing/2014/chart" uri="{C3380CC4-5D6E-409C-BE32-E72D297353CC}">
                <c16:uniqueId val="{0000028B-65EE-4C4E-AC0B-4B3C8E73F656}"/>
              </c:ext>
            </c:extLst>
          </c:dPt>
          <c:dPt>
            <c:idx val="16"/>
            <c:invertIfNegative val="0"/>
            <c:bubble3D val="0"/>
            <c:extLst>
              <c:ext xmlns:c16="http://schemas.microsoft.com/office/drawing/2014/chart" uri="{C3380CC4-5D6E-409C-BE32-E72D297353CC}">
                <c16:uniqueId val="{0000028C-65EE-4C4E-AC0B-4B3C8E73F656}"/>
              </c:ext>
            </c:extLst>
          </c:dPt>
          <c:dPt>
            <c:idx val="17"/>
            <c:invertIfNegative val="0"/>
            <c:bubble3D val="0"/>
            <c:extLst>
              <c:ext xmlns:c16="http://schemas.microsoft.com/office/drawing/2014/chart" uri="{C3380CC4-5D6E-409C-BE32-E72D297353CC}">
                <c16:uniqueId val="{0000028D-65EE-4C4E-AC0B-4B3C8E73F656}"/>
              </c:ext>
            </c:extLst>
          </c:dPt>
          <c:dPt>
            <c:idx val="18"/>
            <c:invertIfNegative val="0"/>
            <c:bubble3D val="0"/>
            <c:extLst>
              <c:ext xmlns:c16="http://schemas.microsoft.com/office/drawing/2014/chart" uri="{C3380CC4-5D6E-409C-BE32-E72D297353CC}">
                <c16:uniqueId val="{0000028E-65EE-4C4E-AC0B-4B3C8E73F656}"/>
              </c:ext>
            </c:extLst>
          </c:dPt>
          <c:dPt>
            <c:idx val="19"/>
            <c:invertIfNegative val="0"/>
            <c:bubble3D val="0"/>
            <c:extLst>
              <c:ext xmlns:c16="http://schemas.microsoft.com/office/drawing/2014/chart" uri="{C3380CC4-5D6E-409C-BE32-E72D297353CC}">
                <c16:uniqueId val="{0000028F-65EE-4C4E-AC0B-4B3C8E73F656}"/>
              </c:ext>
            </c:extLst>
          </c:dPt>
          <c:dPt>
            <c:idx val="20"/>
            <c:invertIfNegative val="0"/>
            <c:bubble3D val="0"/>
            <c:extLst>
              <c:ext xmlns:c16="http://schemas.microsoft.com/office/drawing/2014/chart" uri="{C3380CC4-5D6E-409C-BE32-E72D297353CC}">
                <c16:uniqueId val="{00000290-65EE-4C4E-AC0B-4B3C8E73F656}"/>
              </c:ext>
            </c:extLst>
          </c:dPt>
          <c:dPt>
            <c:idx val="21"/>
            <c:invertIfNegative val="0"/>
            <c:bubble3D val="0"/>
            <c:extLst>
              <c:ext xmlns:c16="http://schemas.microsoft.com/office/drawing/2014/chart" uri="{C3380CC4-5D6E-409C-BE32-E72D297353CC}">
                <c16:uniqueId val="{00000291-65EE-4C4E-AC0B-4B3C8E73F656}"/>
              </c:ext>
            </c:extLst>
          </c:dPt>
          <c:dPt>
            <c:idx val="22"/>
            <c:invertIfNegative val="0"/>
            <c:bubble3D val="0"/>
            <c:extLst>
              <c:ext xmlns:c16="http://schemas.microsoft.com/office/drawing/2014/chart" uri="{C3380CC4-5D6E-409C-BE32-E72D297353CC}">
                <c16:uniqueId val="{00000292-65EE-4C4E-AC0B-4B3C8E73F656}"/>
              </c:ext>
            </c:extLst>
          </c:dPt>
          <c:dPt>
            <c:idx val="23"/>
            <c:invertIfNegative val="0"/>
            <c:bubble3D val="0"/>
            <c:extLst>
              <c:ext xmlns:c16="http://schemas.microsoft.com/office/drawing/2014/chart" uri="{C3380CC4-5D6E-409C-BE32-E72D297353CC}">
                <c16:uniqueId val="{00000293-65EE-4C4E-AC0B-4B3C8E73F656}"/>
              </c:ext>
            </c:extLst>
          </c:dPt>
          <c:dPt>
            <c:idx val="24"/>
            <c:invertIfNegative val="0"/>
            <c:bubble3D val="0"/>
            <c:extLst>
              <c:ext xmlns:c16="http://schemas.microsoft.com/office/drawing/2014/chart" uri="{C3380CC4-5D6E-409C-BE32-E72D297353CC}">
                <c16:uniqueId val="{00000294-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Data'!$C$12:$X$12</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501.94375620813008</c:v>
                </c:pt>
                <c:pt idx="18">
                  <c:v>851.73862097322012</c:v>
                </c:pt>
                <c:pt idx="19">
                  <c:v>851.73862097332994</c:v>
                </c:pt>
                <c:pt idx="20">
                  <c:v>1291.35227322388</c:v>
                </c:pt>
                <c:pt idx="21">
                  <c:v>1294.89022465731</c:v>
                </c:pt>
              </c:numCache>
            </c:numRef>
          </c:val>
          <c:extLst>
            <c:ext xmlns:c16="http://schemas.microsoft.com/office/drawing/2014/chart" uri="{C3380CC4-5D6E-409C-BE32-E72D297353CC}">
              <c16:uniqueId val="{00000295-65EE-4C4E-AC0B-4B3C8E73F656}"/>
            </c:ext>
          </c:extLst>
        </c:ser>
        <c:ser>
          <c:idx val="6"/>
          <c:order val="7"/>
          <c:tx>
            <c:strRef>
              <c:f>'NEMEnergyGenerated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FB-65EE-4C4E-AC0B-4B3C8E73F656}"/>
              </c:ext>
            </c:extLst>
          </c:dPt>
          <c:dPt>
            <c:idx val="1"/>
            <c:invertIfNegative val="0"/>
            <c:bubble3D val="0"/>
            <c:extLst>
              <c:ext xmlns:c16="http://schemas.microsoft.com/office/drawing/2014/chart" uri="{C3380CC4-5D6E-409C-BE32-E72D297353CC}">
                <c16:uniqueId val="{000002FC-65EE-4C4E-AC0B-4B3C8E73F656}"/>
              </c:ext>
            </c:extLst>
          </c:dPt>
          <c:dPt>
            <c:idx val="2"/>
            <c:invertIfNegative val="0"/>
            <c:bubble3D val="0"/>
            <c:extLst>
              <c:ext xmlns:c16="http://schemas.microsoft.com/office/drawing/2014/chart" uri="{C3380CC4-5D6E-409C-BE32-E72D297353CC}">
                <c16:uniqueId val="{000002FD-65EE-4C4E-AC0B-4B3C8E73F656}"/>
              </c:ext>
            </c:extLst>
          </c:dPt>
          <c:dPt>
            <c:idx val="3"/>
            <c:invertIfNegative val="0"/>
            <c:bubble3D val="0"/>
            <c:extLst>
              <c:ext xmlns:c16="http://schemas.microsoft.com/office/drawing/2014/chart" uri="{C3380CC4-5D6E-409C-BE32-E72D297353CC}">
                <c16:uniqueId val="{000002FE-65EE-4C4E-AC0B-4B3C8E73F656}"/>
              </c:ext>
            </c:extLst>
          </c:dPt>
          <c:dPt>
            <c:idx val="4"/>
            <c:invertIfNegative val="0"/>
            <c:bubble3D val="0"/>
            <c:extLst>
              <c:ext xmlns:c16="http://schemas.microsoft.com/office/drawing/2014/chart" uri="{C3380CC4-5D6E-409C-BE32-E72D297353CC}">
                <c16:uniqueId val="{000002FF-65EE-4C4E-AC0B-4B3C8E73F656}"/>
              </c:ext>
            </c:extLst>
          </c:dPt>
          <c:dPt>
            <c:idx val="5"/>
            <c:invertIfNegative val="0"/>
            <c:bubble3D val="0"/>
            <c:extLst>
              <c:ext xmlns:c16="http://schemas.microsoft.com/office/drawing/2014/chart" uri="{C3380CC4-5D6E-409C-BE32-E72D297353CC}">
                <c16:uniqueId val="{00000300-65EE-4C4E-AC0B-4B3C8E73F656}"/>
              </c:ext>
            </c:extLst>
          </c:dPt>
          <c:dPt>
            <c:idx val="6"/>
            <c:invertIfNegative val="0"/>
            <c:bubble3D val="0"/>
            <c:extLst>
              <c:ext xmlns:c16="http://schemas.microsoft.com/office/drawing/2014/chart" uri="{C3380CC4-5D6E-409C-BE32-E72D297353CC}">
                <c16:uniqueId val="{00000301-65EE-4C4E-AC0B-4B3C8E73F656}"/>
              </c:ext>
            </c:extLst>
          </c:dPt>
          <c:dPt>
            <c:idx val="7"/>
            <c:invertIfNegative val="0"/>
            <c:bubble3D val="0"/>
            <c:extLst>
              <c:ext xmlns:c16="http://schemas.microsoft.com/office/drawing/2014/chart" uri="{C3380CC4-5D6E-409C-BE32-E72D297353CC}">
                <c16:uniqueId val="{00000302-65EE-4C4E-AC0B-4B3C8E73F656}"/>
              </c:ext>
            </c:extLst>
          </c:dPt>
          <c:dPt>
            <c:idx val="8"/>
            <c:invertIfNegative val="0"/>
            <c:bubble3D val="0"/>
            <c:extLst>
              <c:ext xmlns:c16="http://schemas.microsoft.com/office/drawing/2014/chart" uri="{C3380CC4-5D6E-409C-BE32-E72D297353CC}">
                <c16:uniqueId val="{00000303-65EE-4C4E-AC0B-4B3C8E73F656}"/>
              </c:ext>
            </c:extLst>
          </c:dPt>
          <c:dPt>
            <c:idx val="9"/>
            <c:invertIfNegative val="0"/>
            <c:bubble3D val="0"/>
            <c:extLst>
              <c:ext xmlns:c16="http://schemas.microsoft.com/office/drawing/2014/chart" uri="{C3380CC4-5D6E-409C-BE32-E72D297353CC}">
                <c16:uniqueId val="{00000304-65EE-4C4E-AC0B-4B3C8E73F656}"/>
              </c:ext>
            </c:extLst>
          </c:dPt>
          <c:dPt>
            <c:idx val="10"/>
            <c:invertIfNegative val="0"/>
            <c:bubble3D val="0"/>
            <c:extLst>
              <c:ext xmlns:c16="http://schemas.microsoft.com/office/drawing/2014/chart" uri="{C3380CC4-5D6E-409C-BE32-E72D297353CC}">
                <c16:uniqueId val="{00000305-65EE-4C4E-AC0B-4B3C8E73F656}"/>
              </c:ext>
            </c:extLst>
          </c:dPt>
          <c:dPt>
            <c:idx val="11"/>
            <c:invertIfNegative val="0"/>
            <c:bubble3D val="0"/>
            <c:extLst>
              <c:ext xmlns:c16="http://schemas.microsoft.com/office/drawing/2014/chart" uri="{C3380CC4-5D6E-409C-BE32-E72D297353CC}">
                <c16:uniqueId val="{00000306-65EE-4C4E-AC0B-4B3C8E73F656}"/>
              </c:ext>
            </c:extLst>
          </c:dPt>
          <c:dPt>
            <c:idx val="12"/>
            <c:invertIfNegative val="0"/>
            <c:bubble3D val="0"/>
            <c:extLst>
              <c:ext xmlns:c16="http://schemas.microsoft.com/office/drawing/2014/chart" uri="{C3380CC4-5D6E-409C-BE32-E72D297353CC}">
                <c16:uniqueId val="{00000307-65EE-4C4E-AC0B-4B3C8E73F656}"/>
              </c:ext>
            </c:extLst>
          </c:dPt>
          <c:dPt>
            <c:idx val="13"/>
            <c:invertIfNegative val="0"/>
            <c:bubble3D val="0"/>
            <c:extLst>
              <c:ext xmlns:c16="http://schemas.microsoft.com/office/drawing/2014/chart" uri="{C3380CC4-5D6E-409C-BE32-E72D297353CC}">
                <c16:uniqueId val="{00000308-65EE-4C4E-AC0B-4B3C8E73F656}"/>
              </c:ext>
            </c:extLst>
          </c:dPt>
          <c:dPt>
            <c:idx val="14"/>
            <c:invertIfNegative val="0"/>
            <c:bubble3D val="0"/>
            <c:extLst>
              <c:ext xmlns:c16="http://schemas.microsoft.com/office/drawing/2014/chart" uri="{C3380CC4-5D6E-409C-BE32-E72D297353CC}">
                <c16:uniqueId val="{00000309-65EE-4C4E-AC0B-4B3C8E73F656}"/>
              </c:ext>
            </c:extLst>
          </c:dPt>
          <c:dPt>
            <c:idx val="15"/>
            <c:invertIfNegative val="0"/>
            <c:bubble3D val="0"/>
            <c:extLst>
              <c:ext xmlns:c16="http://schemas.microsoft.com/office/drawing/2014/chart" uri="{C3380CC4-5D6E-409C-BE32-E72D297353CC}">
                <c16:uniqueId val="{0000030A-65EE-4C4E-AC0B-4B3C8E73F656}"/>
              </c:ext>
            </c:extLst>
          </c:dPt>
          <c:dPt>
            <c:idx val="16"/>
            <c:invertIfNegative val="0"/>
            <c:bubble3D val="0"/>
            <c:extLst>
              <c:ext xmlns:c16="http://schemas.microsoft.com/office/drawing/2014/chart" uri="{C3380CC4-5D6E-409C-BE32-E72D297353CC}">
                <c16:uniqueId val="{0000030B-65EE-4C4E-AC0B-4B3C8E73F656}"/>
              </c:ext>
            </c:extLst>
          </c:dPt>
          <c:dPt>
            <c:idx val="17"/>
            <c:invertIfNegative val="0"/>
            <c:bubble3D val="0"/>
            <c:extLst>
              <c:ext xmlns:c16="http://schemas.microsoft.com/office/drawing/2014/chart" uri="{C3380CC4-5D6E-409C-BE32-E72D297353CC}">
                <c16:uniqueId val="{0000030C-65EE-4C4E-AC0B-4B3C8E73F656}"/>
              </c:ext>
            </c:extLst>
          </c:dPt>
          <c:dPt>
            <c:idx val="18"/>
            <c:invertIfNegative val="0"/>
            <c:bubble3D val="0"/>
            <c:extLst>
              <c:ext xmlns:c16="http://schemas.microsoft.com/office/drawing/2014/chart" uri="{C3380CC4-5D6E-409C-BE32-E72D297353CC}">
                <c16:uniqueId val="{0000030D-65EE-4C4E-AC0B-4B3C8E73F656}"/>
              </c:ext>
            </c:extLst>
          </c:dPt>
          <c:dPt>
            <c:idx val="19"/>
            <c:invertIfNegative val="0"/>
            <c:bubble3D val="0"/>
            <c:extLst>
              <c:ext xmlns:c16="http://schemas.microsoft.com/office/drawing/2014/chart" uri="{C3380CC4-5D6E-409C-BE32-E72D297353CC}">
                <c16:uniqueId val="{0000030E-65EE-4C4E-AC0B-4B3C8E73F656}"/>
              </c:ext>
            </c:extLst>
          </c:dPt>
          <c:dPt>
            <c:idx val="20"/>
            <c:invertIfNegative val="0"/>
            <c:bubble3D val="0"/>
            <c:extLst>
              <c:ext xmlns:c16="http://schemas.microsoft.com/office/drawing/2014/chart" uri="{C3380CC4-5D6E-409C-BE32-E72D297353CC}">
                <c16:uniqueId val="{0000030F-65EE-4C4E-AC0B-4B3C8E73F656}"/>
              </c:ext>
            </c:extLst>
          </c:dPt>
          <c:dPt>
            <c:idx val="21"/>
            <c:invertIfNegative val="0"/>
            <c:bubble3D val="0"/>
            <c:extLst>
              <c:ext xmlns:c16="http://schemas.microsoft.com/office/drawing/2014/chart" uri="{C3380CC4-5D6E-409C-BE32-E72D297353CC}">
                <c16:uniqueId val="{00000310-65EE-4C4E-AC0B-4B3C8E73F656}"/>
              </c:ext>
            </c:extLst>
          </c:dPt>
          <c:dPt>
            <c:idx val="22"/>
            <c:invertIfNegative val="0"/>
            <c:bubble3D val="0"/>
            <c:extLst>
              <c:ext xmlns:c16="http://schemas.microsoft.com/office/drawing/2014/chart" uri="{C3380CC4-5D6E-409C-BE32-E72D297353CC}">
                <c16:uniqueId val="{00000311-65EE-4C4E-AC0B-4B3C8E73F656}"/>
              </c:ext>
            </c:extLst>
          </c:dPt>
          <c:dPt>
            <c:idx val="23"/>
            <c:invertIfNegative val="0"/>
            <c:bubble3D val="0"/>
            <c:extLst>
              <c:ext xmlns:c16="http://schemas.microsoft.com/office/drawing/2014/chart" uri="{C3380CC4-5D6E-409C-BE32-E72D297353CC}">
                <c16:uniqueId val="{00000312-65EE-4C4E-AC0B-4B3C8E73F656}"/>
              </c:ext>
            </c:extLst>
          </c:dPt>
          <c:dPt>
            <c:idx val="24"/>
            <c:invertIfNegative val="0"/>
            <c:bubble3D val="0"/>
            <c:extLst>
              <c:ext xmlns:c16="http://schemas.microsoft.com/office/drawing/2014/chart" uri="{C3380CC4-5D6E-409C-BE32-E72D297353CC}">
                <c16:uniqueId val="{00000313-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Data'!$C$9:$X$9</c:f>
              <c:numCache>
                <c:formatCode>#,##0_ ;\-#,##0\ </c:formatCode>
                <c:ptCount val="22"/>
                <c:pt idx="0">
                  <c:v>4830.3847271585701</c:v>
                </c:pt>
                <c:pt idx="1">
                  <c:v>6926.3574859233595</c:v>
                </c:pt>
                <c:pt idx="2">
                  <c:v>6899.0981278446197</c:v>
                </c:pt>
                <c:pt idx="3">
                  <c:v>7141.3284074938392</c:v>
                </c:pt>
                <c:pt idx="4">
                  <c:v>9724.4776908820404</c:v>
                </c:pt>
                <c:pt idx="5">
                  <c:v>11190.125932024112</c:v>
                </c:pt>
                <c:pt idx="6">
                  <c:v>14860.930085168768</c:v>
                </c:pt>
                <c:pt idx="7">
                  <c:v>18376.573316254042</c:v>
                </c:pt>
                <c:pt idx="8">
                  <c:v>20216.466564547492</c:v>
                </c:pt>
                <c:pt idx="9">
                  <c:v>21847.152231859382</c:v>
                </c:pt>
                <c:pt idx="10">
                  <c:v>23341.062998692498</c:v>
                </c:pt>
                <c:pt idx="11">
                  <c:v>24819.03562898792</c:v>
                </c:pt>
                <c:pt idx="12">
                  <c:v>24545.567435173929</c:v>
                </c:pt>
                <c:pt idx="13">
                  <c:v>24236.990655782571</c:v>
                </c:pt>
                <c:pt idx="14">
                  <c:v>24346.97634455705</c:v>
                </c:pt>
                <c:pt idx="15">
                  <c:v>24131.474560092473</c:v>
                </c:pt>
                <c:pt idx="16">
                  <c:v>27375.112408224857</c:v>
                </c:pt>
                <c:pt idx="17">
                  <c:v>36207.12329934469</c:v>
                </c:pt>
                <c:pt idx="18">
                  <c:v>46023.27077604668</c:v>
                </c:pt>
                <c:pt idx="19">
                  <c:v>47457.419208642394</c:v>
                </c:pt>
                <c:pt idx="20">
                  <c:v>50520.160283613412</c:v>
                </c:pt>
                <c:pt idx="21">
                  <c:v>51300.52974552643</c:v>
                </c:pt>
              </c:numCache>
            </c:numRef>
          </c:val>
          <c:extLst>
            <c:ext xmlns:c16="http://schemas.microsoft.com/office/drawing/2014/chart" uri="{C3380CC4-5D6E-409C-BE32-E72D297353CC}">
              <c16:uniqueId val="{00000314-65EE-4C4E-AC0B-4B3C8E73F656}"/>
            </c:ext>
          </c:extLst>
        </c:ser>
        <c:ser>
          <c:idx val="9"/>
          <c:order val="8"/>
          <c:tx>
            <c:strRef>
              <c:f>'NEMEnergyGenerated Data'!$B$11</c:f>
              <c:strCache>
                <c:ptCount val="1"/>
                <c:pt idx="0">
                  <c:v>Utility storage generation</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C5-65EE-4C4E-AC0B-4B3C8E73F656}"/>
              </c:ext>
            </c:extLst>
          </c:dPt>
          <c:dPt>
            <c:idx val="1"/>
            <c:invertIfNegative val="0"/>
            <c:bubble3D val="0"/>
            <c:extLst>
              <c:ext xmlns:c16="http://schemas.microsoft.com/office/drawing/2014/chart" uri="{C3380CC4-5D6E-409C-BE32-E72D297353CC}">
                <c16:uniqueId val="{000002C6-65EE-4C4E-AC0B-4B3C8E73F656}"/>
              </c:ext>
            </c:extLst>
          </c:dPt>
          <c:dPt>
            <c:idx val="2"/>
            <c:invertIfNegative val="0"/>
            <c:bubble3D val="0"/>
            <c:extLst>
              <c:ext xmlns:c16="http://schemas.microsoft.com/office/drawing/2014/chart" uri="{C3380CC4-5D6E-409C-BE32-E72D297353CC}">
                <c16:uniqueId val="{000002C7-65EE-4C4E-AC0B-4B3C8E73F656}"/>
              </c:ext>
            </c:extLst>
          </c:dPt>
          <c:dPt>
            <c:idx val="3"/>
            <c:invertIfNegative val="0"/>
            <c:bubble3D val="0"/>
            <c:extLst>
              <c:ext xmlns:c16="http://schemas.microsoft.com/office/drawing/2014/chart" uri="{C3380CC4-5D6E-409C-BE32-E72D297353CC}">
                <c16:uniqueId val="{000002C8-65EE-4C4E-AC0B-4B3C8E73F656}"/>
              </c:ext>
            </c:extLst>
          </c:dPt>
          <c:dPt>
            <c:idx val="4"/>
            <c:invertIfNegative val="0"/>
            <c:bubble3D val="0"/>
            <c:extLst>
              <c:ext xmlns:c16="http://schemas.microsoft.com/office/drawing/2014/chart" uri="{C3380CC4-5D6E-409C-BE32-E72D297353CC}">
                <c16:uniqueId val="{000002C9-65EE-4C4E-AC0B-4B3C8E73F656}"/>
              </c:ext>
            </c:extLst>
          </c:dPt>
          <c:dPt>
            <c:idx val="5"/>
            <c:invertIfNegative val="0"/>
            <c:bubble3D val="0"/>
            <c:extLst>
              <c:ext xmlns:c16="http://schemas.microsoft.com/office/drawing/2014/chart" uri="{C3380CC4-5D6E-409C-BE32-E72D297353CC}">
                <c16:uniqueId val="{000002CA-65EE-4C4E-AC0B-4B3C8E73F656}"/>
              </c:ext>
            </c:extLst>
          </c:dPt>
          <c:dPt>
            <c:idx val="6"/>
            <c:invertIfNegative val="0"/>
            <c:bubble3D val="0"/>
            <c:extLst>
              <c:ext xmlns:c16="http://schemas.microsoft.com/office/drawing/2014/chart" uri="{C3380CC4-5D6E-409C-BE32-E72D297353CC}">
                <c16:uniqueId val="{000002CB-65EE-4C4E-AC0B-4B3C8E73F656}"/>
              </c:ext>
            </c:extLst>
          </c:dPt>
          <c:dPt>
            <c:idx val="7"/>
            <c:invertIfNegative val="0"/>
            <c:bubble3D val="0"/>
            <c:extLst>
              <c:ext xmlns:c16="http://schemas.microsoft.com/office/drawing/2014/chart" uri="{C3380CC4-5D6E-409C-BE32-E72D297353CC}">
                <c16:uniqueId val="{000002CC-65EE-4C4E-AC0B-4B3C8E73F656}"/>
              </c:ext>
            </c:extLst>
          </c:dPt>
          <c:dPt>
            <c:idx val="8"/>
            <c:invertIfNegative val="0"/>
            <c:bubble3D val="0"/>
            <c:extLst>
              <c:ext xmlns:c16="http://schemas.microsoft.com/office/drawing/2014/chart" uri="{C3380CC4-5D6E-409C-BE32-E72D297353CC}">
                <c16:uniqueId val="{000002CD-65EE-4C4E-AC0B-4B3C8E73F656}"/>
              </c:ext>
            </c:extLst>
          </c:dPt>
          <c:dPt>
            <c:idx val="9"/>
            <c:invertIfNegative val="0"/>
            <c:bubble3D val="0"/>
            <c:extLst>
              <c:ext xmlns:c16="http://schemas.microsoft.com/office/drawing/2014/chart" uri="{C3380CC4-5D6E-409C-BE32-E72D297353CC}">
                <c16:uniqueId val="{000002CE-65EE-4C4E-AC0B-4B3C8E73F656}"/>
              </c:ext>
            </c:extLst>
          </c:dPt>
          <c:dPt>
            <c:idx val="10"/>
            <c:invertIfNegative val="0"/>
            <c:bubble3D val="0"/>
            <c:extLst>
              <c:ext xmlns:c16="http://schemas.microsoft.com/office/drawing/2014/chart" uri="{C3380CC4-5D6E-409C-BE32-E72D297353CC}">
                <c16:uniqueId val="{000002CF-65EE-4C4E-AC0B-4B3C8E73F656}"/>
              </c:ext>
            </c:extLst>
          </c:dPt>
          <c:dPt>
            <c:idx val="11"/>
            <c:invertIfNegative val="0"/>
            <c:bubble3D val="0"/>
            <c:extLst>
              <c:ext xmlns:c16="http://schemas.microsoft.com/office/drawing/2014/chart" uri="{C3380CC4-5D6E-409C-BE32-E72D297353CC}">
                <c16:uniqueId val="{000002D0-65EE-4C4E-AC0B-4B3C8E73F656}"/>
              </c:ext>
            </c:extLst>
          </c:dPt>
          <c:dPt>
            <c:idx val="12"/>
            <c:invertIfNegative val="0"/>
            <c:bubble3D val="0"/>
            <c:extLst>
              <c:ext xmlns:c16="http://schemas.microsoft.com/office/drawing/2014/chart" uri="{C3380CC4-5D6E-409C-BE32-E72D297353CC}">
                <c16:uniqueId val="{000002D1-65EE-4C4E-AC0B-4B3C8E73F656}"/>
              </c:ext>
            </c:extLst>
          </c:dPt>
          <c:dPt>
            <c:idx val="13"/>
            <c:invertIfNegative val="0"/>
            <c:bubble3D val="0"/>
            <c:extLst>
              <c:ext xmlns:c16="http://schemas.microsoft.com/office/drawing/2014/chart" uri="{C3380CC4-5D6E-409C-BE32-E72D297353CC}">
                <c16:uniqueId val="{000002D2-65EE-4C4E-AC0B-4B3C8E73F656}"/>
              </c:ext>
            </c:extLst>
          </c:dPt>
          <c:dPt>
            <c:idx val="14"/>
            <c:invertIfNegative val="0"/>
            <c:bubble3D val="0"/>
            <c:extLst>
              <c:ext xmlns:c16="http://schemas.microsoft.com/office/drawing/2014/chart" uri="{C3380CC4-5D6E-409C-BE32-E72D297353CC}">
                <c16:uniqueId val="{000002D3-65EE-4C4E-AC0B-4B3C8E73F656}"/>
              </c:ext>
            </c:extLst>
          </c:dPt>
          <c:dPt>
            <c:idx val="15"/>
            <c:invertIfNegative val="0"/>
            <c:bubble3D val="0"/>
            <c:extLst>
              <c:ext xmlns:c16="http://schemas.microsoft.com/office/drawing/2014/chart" uri="{C3380CC4-5D6E-409C-BE32-E72D297353CC}">
                <c16:uniqueId val="{000002D4-65EE-4C4E-AC0B-4B3C8E73F656}"/>
              </c:ext>
            </c:extLst>
          </c:dPt>
          <c:dPt>
            <c:idx val="16"/>
            <c:invertIfNegative val="0"/>
            <c:bubble3D val="0"/>
            <c:extLst>
              <c:ext xmlns:c16="http://schemas.microsoft.com/office/drawing/2014/chart" uri="{C3380CC4-5D6E-409C-BE32-E72D297353CC}">
                <c16:uniqueId val="{000002D5-65EE-4C4E-AC0B-4B3C8E73F656}"/>
              </c:ext>
            </c:extLst>
          </c:dPt>
          <c:dPt>
            <c:idx val="17"/>
            <c:invertIfNegative val="0"/>
            <c:bubble3D val="0"/>
            <c:extLst>
              <c:ext xmlns:c16="http://schemas.microsoft.com/office/drawing/2014/chart" uri="{C3380CC4-5D6E-409C-BE32-E72D297353CC}">
                <c16:uniqueId val="{000002D6-65EE-4C4E-AC0B-4B3C8E73F656}"/>
              </c:ext>
            </c:extLst>
          </c:dPt>
          <c:dPt>
            <c:idx val="18"/>
            <c:invertIfNegative val="0"/>
            <c:bubble3D val="0"/>
            <c:extLst>
              <c:ext xmlns:c16="http://schemas.microsoft.com/office/drawing/2014/chart" uri="{C3380CC4-5D6E-409C-BE32-E72D297353CC}">
                <c16:uniqueId val="{000002D7-65EE-4C4E-AC0B-4B3C8E73F656}"/>
              </c:ext>
            </c:extLst>
          </c:dPt>
          <c:dPt>
            <c:idx val="19"/>
            <c:invertIfNegative val="0"/>
            <c:bubble3D val="0"/>
            <c:extLst>
              <c:ext xmlns:c16="http://schemas.microsoft.com/office/drawing/2014/chart" uri="{C3380CC4-5D6E-409C-BE32-E72D297353CC}">
                <c16:uniqueId val="{000002D8-65EE-4C4E-AC0B-4B3C8E73F656}"/>
              </c:ext>
            </c:extLst>
          </c:dPt>
          <c:dPt>
            <c:idx val="20"/>
            <c:invertIfNegative val="0"/>
            <c:bubble3D val="0"/>
            <c:extLst>
              <c:ext xmlns:c16="http://schemas.microsoft.com/office/drawing/2014/chart" uri="{C3380CC4-5D6E-409C-BE32-E72D297353CC}">
                <c16:uniqueId val="{000002D9-65EE-4C4E-AC0B-4B3C8E73F656}"/>
              </c:ext>
            </c:extLst>
          </c:dPt>
          <c:dPt>
            <c:idx val="21"/>
            <c:invertIfNegative val="0"/>
            <c:bubble3D val="0"/>
            <c:extLst>
              <c:ext xmlns:c16="http://schemas.microsoft.com/office/drawing/2014/chart" uri="{C3380CC4-5D6E-409C-BE32-E72D297353CC}">
                <c16:uniqueId val="{000002DA-65EE-4C4E-AC0B-4B3C8E73F656}"/>
              </c:ext>
            </c:extLst>
          </c:dPt>
          <c:dPt>
            <c:idx val="22"/>
            <c:invertIfNegative val="0"/>
            <c:bubble3D val="0"/>
            <c:extLst>
              <c:ext xmlns:c16="http://schemas.microsoft.com/office/drawing/2014/chart" uri="{C3380CC4-5D6E-409C-BE32-E72D297353CC}">
                <c16:uniqueId val="{000002DB-65EE-4C4E-AC0B-4B3C8E73F656}"/>
              </c:ext>
            </c:extLst>
          </c:dPt>
          <c:dPt>
            <c:idx val="23"/>
            <c:invertIfNegative val="0"/>
            <c:bubble3D val="0"/>
            <c:extLst>
              <c:ext xmlns:c16="http://schemas.microsoft.com/office/drawing/2014/chart" uri="{C3380CC4-5D6E-409C-BE32-E72D297353CC}">
                <c16:uniqueId val="{000002DC-65EE-4C4E-AC0B-4B3C8E73F656}"/>
              </c:ext>
            </c:extLst>
          </c:dPt>
          <c:dPt>
            <c:idx val="24"/>
            <c:invertIfNegative val="0"/>
            <c:bubble3D val="0"/>
            <c:extLst>
              <c:ext xmlns:c16="http://schemas.microsoft.com/office/drawing/2014/chart" uri="{C3380CC4-5D6E-409C-BE32-E72D297353CC}">
                <c16:uniqueId val="{000002DD-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Data'!$C$11:$X$11</c:f>
              <c:numCache>
                <c:formatCode>#,##0_ ;\-#,##0\ </c:formatCode>
                <c:ptCount val="22"/>
                <c:pt idx="0">
                  <c:v>1079.8633103736101</c:v>
                </c:pt>
                <c:pt idx="1">
                  <c:v>100.30626723305997</c:v>
                </c:pt>
                <c:pt idx="2">
                  <c:v>77.046226793369982</c:v>
                </c:pt>
                <c:pt idx="3">
                  <c:v>145.59989757654998</c:v>
                </c:pt>
                <c:pt idx="4">
                  <c:v>465.19716494136071</c:v>
                </c:pt>
                <c:pt idx="5">
                  <c:v>531.95352218280073</c:v>
                </c:pt>
                <c:pt idx="6">
                  <c:v>942.29651436879055</c:v>
                </c:pt>
                <c:pt idx="7">
                  <c:v>1626.3162720193807</c:v>
                </c:pt>
                <c:pt idx="8">
                  <c:v>1922.3331550393493</c:v>
                </c:pt>
                <c:pt idx="9">
                  <c:v>1767.7669040707397</c:v>
                </c:pt>
                <c:pt idx="10">
                  <c:v>2036.44207787613</c:v>
                </c:pt>
                <c:pt idx="11">
                  <c:v>3426.0795545487099</c:v>
                </c:pt>
                <c:pt idx="12">
                  <c:v>3450.6590599995188</c:v>
                </c:pt>
                <c:pt idx="13">
                  <c:v>3520.5025800598196</c:v>
                </c:pt>
                <c:pt idx="14">
                  <c:v>4455.7101461794218</c:v>
                </c:pt>
                <c:pt idx="15">
                  <c:v>4961.6128538052299</c:v>
                </c:pt>
                <c:pt idx="16">
                  <c:v>8270.9050883426407</c:v>
                </c:pt>
                <c:pt idx="17">
                  <c:v>12661.154973932471</c:v>
                </c:pt>
                <c:pt idx="18">
                  <c:v>18468.671604606428</c:v>
                </c:pt>
                <c:pt idx="19">
                  <c:v>19419.162545081017</c:v>
                </c:pt>
                <c:pt idx="20">
                  <c:v>21350.307236907214</c:v>
                </c:pt>
                <c:pt idx="21">
                  <c:v>21817.394327821978</c:v>
                </c:pt>
              </c:numCache>
            </c:numRef>
          </c:val>
          <c:extLst>
            <c:ext xmlns:c16="http://schemas.microsoft.com/office/drawing/2014/chart" uri="{C3380CC4-5D6E-409C-BE32-E72D297353CC}">
              <c16:uniqueId val="{000002DE-65EE-4C4E-AC0B-4B3C8E73F656}"/>
            </c:ext>
          </c:extLst>
        </c:ser>
        <c:ser>
          <c:idx val="11"/>
          <c:order val="9"/>
          <c:tx>
            <c:strRef>
              <c:f>'NEMEnergyGenerated Data'!$B$14</c:f>
              <c:strCache>
                <c:ptCount val="1"/>
                <c:pt idx="0">
                  <c:v>Distributed storage generation</c:v>
                </c:pt>
              </c:strCache>
            </c:strRef>
          </c:tx>
          <c:spPr>
            <a:solidFill>
              <a:srgbClr val="92D050"/>
            </a:solidFill>
            <a:ln>
              <a:noFill/>
            </a:ln>
          </c:spPr>
          <c:invertIfNegative val="0"/>
          <c:dPt>
            <c:idx val="0"/>
            <c:invertIfNegative val="0"/>
            <c:bubble3D val="0"/>
            <c:spPr>
              <a:solidFill>
                <a:srgbClr val="92D050"/>
              </a:solidFill>
              <a:ln w="3175" cmpd="sng">
                <a:noFill/>
                <a:prstDash val="solid"/>
              </a:ln>
            </c:spPr>
            <c:extLst>
              <c:ext xmlns:c16="http://schemas.microsoft.com/office/drawing/2014/chart" uri="{C3380CC4-5D6E-409C-BE32-E72D297353CC}">
                <c16:uniqueId val="{00000298-65EE-4C4E-AC0B-4B3C8E73F656}"/>
              </c:ext>
            </c:extLst>
          </c:dPt>
          <c:dPt>
            <c:idx val="1"/>
            <c:invertIfNegative val="0"/>
            <c:bubble3D val="0"/>
            <c:spPr>
              <a:solidFill>
                <a:srgbClr val="92D050"/>
              </a:solidFill>
              <a:ln w="3175" cmpd="sng">
                <a:noFill/>
                <a:prstDash val="solid"/>
              </a:ln>
            </c:spPr>
            <c:extLst>
              <c:ext xmlns:c16="http://schemas.microsoft.com/office/drawing/2014/chart" uri="{C3380CC4-5D6E-409C-BE32-E72D297353CC}">
                <c16:uniqueId val="{0000029A-65EE-4C4E-AC0B-4B3C8E73F656}"/>
              </c:ext>
            </c:extLst>
          </c:dPt>
          <c:dPt>
            <c:idx val="2"/>
            <c:invertIfNegative val="0"/>
            <c:bubble3D val="0"/>
            <c:spPr>
              <a:solidFill>
                <a:srgbClr val="92D050"/>
              </a:solidFill>
              <a:ln w="3175" cmpd="sng">
                <a:noFill/>
                <a:prstDash val="solid"/>
              </a:ln>
            </c:spPr>
            <c:extLst>
              <c:ext xmlns:c16="http://schemas.microsoft.com/office/drawing/2014/chart" uri="{C3380CC4-5D6E-409C-BE32-E72D297353CC}">
                <c16:uniqueId val="{0000029C-65EE-4C4E-AC0B-4B3C8E73F656}"/>
              </c:ext>
            </c:extLst>
          </c:dPt>
          <c:dPt>
            <c:idx val="3"/>
            <c:invertIfNegative val="0"/>
            <c:bubble3D val="0"/>
            <c:spPr>
              <a:solidFill>
                <a:srgbClr val="92D050"/>
              </a:solidFill>
              <a:ln w="3175" cmpd="sng">
                <a:noFill/>
                <a:prstDash val="solid"/>
              </a:ln>
            </c:spPr>
            <c:extLst>
              <c:ext xmlns:c16="http://schemas.microsoft.com/office/drawing/2014/chart" uri="{C3380CC4-5D6E-409C-BE32-E72D297353CC}">
                <c16:uniqueId val="{0000029E-65EE-4C4E-AC0B-4B3C8E73F656}"/>
              </c:ext>
            </c:extLst>
          </c:dPt>
          <c:dPt>
            <c:idx val="4"/>
            <c:invertIfNegative val="0"/>
            <c:bubble3D val="0"/>
            <c:spPr>
              <a:solidFill>
                <a:srgbClr val="92D050"/>
              </a:solidFill>
              <a:ln w="3175" cmpd="sng">
                <a:noFill/>
                <a:prstDash val="solid"/>
              </a:ln>
            </c:spPr>
            <c:extLst>
              <c:ext xmlns:c16="http://schemas.microsoft.com/office/drawing/2014/chart" uri="{C3380CC4-5D6E-409C-BE32-E72D297353CC}">
                <c16:uniqueId val="{000002A0-65EE-4C4E-AC0B-4B3C8E73F656}"/>
              </c:ext>
            </c:extLst>
          </c:dPt>
          <c:dPt>
            <c:idx val="5"/>
            <c:invertIfNegative val="0"/>
            <c:bubble3D val="0"/>
            <c:spPr>
              <a:solidFill>
                <a:srgbClr val="92D050"/>
              </a:solidFill>
              <a:ln w="3175" cmpd="sng">
                <a:noFill/>
                <a:prstDash val="solid"/>
              </a:ln>
            </c:spPr>
            <c:extLst>
              <c:ext xmlns:c16="http://schemas.microsoft.com/office/drawing/2014/chart" uri="{C3380CC4-5D6E-409C-BE32-E72D297353CC}">
                <c16:uniqueId val="{000002A2-65EE-4C4E-AC0B-4B3C8E73F656}"/>
              </c:ext>
            </c:extLst>
          </c:dPt>
          <c:dPt>
            <c:idx val="6"/>
            <c:invertIfNegative val="0"/>
            <c:bubble3D val="0"/>
            <c:spPr>
              <a:solidFill>
                <a:srgbClr val="92D050"/>
              </a:solidFill>
              <a:ln w="3175" cmpd="sng">
                <a:noFill/>
                <a:prstDash val="solid"/>
              </a:ln>
            </c:spPr>
            <c:extLst>
              <c:ext xmlns:c16="http://schemas.microsoft.com/office/drawing/2014/chart" uri="{C3380CC4-5D6E-409C-BE32-E72D297353CC}">
                <c16:uniqueId val="{000002A4-65EE-4C4E-AC0B-4B3C8E73F656}"/>
              </c:ext>
            </c:extLst>
          </c:dPt>
          <c:dPt>
            <c:idx val="7"/>
            <c:invertIfNegative val="0"/>
            <c:bubble3D val="0"/>
            <c:spPr>
              <a:solidFill>
                <a:srgbClr val="92D050"/>
              </a:solidFill>
              <a:ln w="3175" cmpd="sng">
                <a:noFill/>
                <a:prstDash val="solid"/>
              </a:ln>
            </c:spPr>
            <c:extLst>
              <c:ext xmlns:c16="http://schemas.microsoft.com/office/drawing/2014/chart" uri="{C3380CC4-5D6E-409C-BE32-E72D297353CC}">
                <c16:uniqueId val="{000002A6-65EE-4C4E-AC0B-4B3C8E73F656}"/>
              </c:ext>
            </c:extLst>
          </c:dPt>
          <c:dPt>
            <c:idx val="8"/>
            <c:invertIfNegative val="0"/>
            <c:bubble3D val="0"/>
            <c:spPr>
              <a:solidFill>
                <a:srgbClr val="92D050"/>
              </a:solidFill>
              <a:ln w="3175" cmpd="sng">
                <a:noFill/>
                <a:prstDash val="solid"/>
              </a:ln>
            </c:spPr>
            <c:extLst>
              <c:ext xmlns:c16="http://schemas.microsoft.com/office/drawing/2014/chart" uri="{C3380CC4-5D6E-409C-BE32-E72D297353CC}">
                <c16:uniqueId val="{000002A8-65EE-4C4E-AC0B-4B3C8E73F656}"/>
              </c:ext>
            </c:extLst>
          </c:dPt>
          <c:dPt>
            <c:idx val="9"/>
            <c:invertIfNegative val="0"/>
            <c:bubble3D val="0"/>
            <c:spPr>
              <a:solidFill>
                <a:srgbClr val="92D050"/>
              </a:solidFill>
              <a:ln w="3175" cmpd="sng">
                <a:noFill/>
                <a:prstDash val="solid"/>
              </a:ln>
            </c:spPr>
            <c:extLst>
              <c:ext xmlns:c16="http://schemas.microsoft.com/office/drawing/2014/chart" uri="{C3380CC4-5D6E-409C-BE32-E72D297353CC}">
                <c16:uniqueId val="{000002AA-65EE-4C4E-AC0B-4B3C8E73F656}"/>
              </c:ext>
            </c:extLst>
          </c:dPt>
          <c:dPt>
            <c:idx val="10"/>
            <c:invertIfNegative val="0"/>
            <c:bubble3D val="0"/>
            <c:spPr>
              <a:solidFill>
                <a:srgbClr val="92D050"/>
              </a:solidFill>
              <a:ln w="3175" cmpd="sng">
                <a:noFill/>
                <a:prstDash val="solid"/>
              </a:ln>
            </c:spPr>
            <c:extLst>
              <c:ext xmlns:c16="http://schemas.microsoft.com/office/drawing/2014/chart" uri="{C3380CC4-5D6E-409C-BE32-E72D297353CC}">
                <c16:uniqueId val="{000002AC-65EE-4C4E-AC0B-4B3C8E73F656}"/>
              </c:ext>
            </c:extLst>
          </c:dPt>
          <c:dPt>
            <c:idx val="11"/>
            <c:invertIfNegative val="0"/>
            <c:bubble3D val="0"/>
            <c:spPr>
              <a:solidFill>
                <a:srgbClr val="92D050"/>
              </a:solidFill>
              <a:ln w="3175" cmpd="sng">
                <a:noFill/>
                <a:prstDash val="solid"/>
              </a:ln>
            </c:spPr>
            <c:extLst>
              <c:ext xmlns:c16="http://schemas.microsoft.com/office/drawing/2014/chart" uri="{C3380CC4-5D6E-409C-BE32-E72D297353CC}">
                <c16:uniqueId val="{000002AE-65EE-4C4E-AC0B-4B3C8E73F656}"/>
              </c:ext>
            </c:extLst>
          </c:dPt>
          <c:dPt>
            <c:idx val="12"/>
            <c:invertIfNegative val="0"/>
            <c:bubble3D val="0"/>
            <c:spPr>
              <a:solidFill>
                <a:srgbClr val="92D050"/>
              </a:solidFill>
              <a:ln w="3175" cmpd="sng">
                <a:noFill/>
                <a:prstDash val="solid"/>
              </a:ln>
            </c:spPr>
            <c:extLst>
              <c:ext xmlns:c16="http://schemas.microsoft.com/office/drawing/2014/chart" uri="{C3380CC4-5D6E-409C-BE32-E72D297353CC}">
                <c16:uniqueId val="{000002B0-65EE-4C4E-AC0B-4B3C8E73F656}"/>
              </c:ext>
            </c:extLst>
          </c:dPt>
          <c:dPt>
            <c:idx val="13"/>
            <c:invertIfNegative val="0"/>
            <c:bubble3D val="0"/>
            <c:spPr>
              <a:solidFill>
                <a:srgbClr val="92D050"/>
              </a:solidFill>
              <a:ln w="3175" cmpd="sng">
                <a:noFill/>
                <a:prstDash val="solid"/>
              </a:ln>
            </c:spPr>
            <c:extLst>
              <c:ext xmlns:c16="http://schemas.microsoft.com/office/drawing/2014/chart" uri="{C3380CC4-5D6E-409C-BE32-E72D297353CC}">
                <c16:uniqueId val="{000002B2-65EE-4C4E-AC0B-4B3C8E73F656}"/>
              </c:ext>
            </c:extLst>
          </c:dPt>
          <c:dPt>
            <c:idx val="14"/>
            <c:invertIfNegative val="0"/>
            <c:bubble3D val="0"/>
            <c:spPr>
              <a:solidFill>
                <a:srgbClr val="92D050"/>
              </a:solidFill>
              <a:ln w="3175" cmpd="sng">
                <a:noFill/>
                <a:prstDash val="solid"/>
              </a:ln>
            </c:spPr>
            <c:extLst>
              <c:ext xmlns:c16="http://schemas.microsoft.com/office/drawing/2014/chart" uri="{C3380CC4-5D6E-409C-BE32-E72D297353CC}">
                <c16:uniqueId val="{000002B4-65EE-4C4E-AC0B-4B3C8E73F656}"/>
              </c:ext>
            </c:extLst>
          </c:dPt>
          <c:dPt>
            <c:idx val="15"/>
            <c:invertIfNegative val="0"/>
            <c:bubble3D val="0"/>
            <c:spPr>
              <a:solidFill>
                <a:srgbClr val="92D050"/>
              </a:solidFill>
              <a:ln w="3175" cmpd="sng">
                <a:noFill/>
                <a:prstDash val="solid"/>
              </a:ln>
            </c:spPr>
            <c:extLst>
              <c:ext xmlns:c16="http://schemas.microsoft.com/office/drawing/2014/chart" uri="{C3380CC4-5D6E-409C-BE32-E72D297353CC}">
                <c16:uniqueId val="{000002B6-65EE-4C4E-AC0B-4B3C8E73F656}"/>
              </c:ext>
            </c:extLst>
          </c:dPt>
          <c:dPt>
            <c:idx val="16"/>
            <c:invertIfNegative val="0"/>
            <c:bubble3D val="0"/>
            <c:spPr>
              <a:solidFill>
                <a:srgbClr val="92D050"/>
              </a:solidFill>
              <a:ln w="3175" cmpd="sng">
                <a:noFill/>
                <a:prstDash val="solid"/>
              </a:ln>
            </c:spPr>
            <c:extLst>
              <c:ext xmlns:c16="http://schemas.microsoft.com/office/drawing/2014/chart" uri="{C3380CC4-5D6E-409C-BE32-E72D297353CC}">
                <c16:uniqueId val="{000002B8-65EE-4C4E-AC0B-4B3C8E73F656}"/>
              </c:ext>
            </c:extLst>
          </c:dPt>
          <c:dPt>
            <c:idx val="17"/>
            <c:invertIfNegative val="0"/>
            <c:bubble3D val="0"/>
            <c:spPr>
              <a:solidFill>
                <a:srgbClr val="92D050"/>
              </a:solidFill>
              <a:ln w="3175" cmpd="sng">
                <a:noFill/>
                <a:prstDash val="solid"/>
              </a:ln>
            </c:spPr>
            <c:extLst>
              <c:ext xmlns:c16="http://schemas.microsoft.com/office/drawing/2014/chart" uri="{C3380CC4-5D6E-409C-BE32-E72D297353CC}">
                <c16:uniqueId val="{000002BA-65EE-4C4E-AC0B-4B3C8E73F656}"/>
              </c:ext>
            </c:extLst>
          </c:dPt>
          <c:dPt>
            <c:idx val="18"/>
            <c:invertIfNegative val="0"/>
            <c:bubble3D val="0"/>
            <c:spPr>
              <a:solidFill>
                <a:srgbClr val="92D050"/>
              </a:solidFill>
              <a:ln w="3175" cmpd="sng">
                <a:noFill/>
                <a:prstDash val="solid"/>
              </a:ln>
            </c:spPr>
            <c:extLst>
              <c:ext xmlns:c16="http://schemas.microsoft.com/office/drawing/2014/chart" uri="{C3380CC4-5D6E-409C-BE32-E72D297353CC}">
                <c16:uniqueId val="{000002BC-65EE-4C4E-AC0B-4B3C8E73F656}"/>
              </c:ext>
            </c:extLst>
          </c:dPt>
          <c:dPt>
            <c:idx val="19"/>
            <c:invertIfNegative val="0"/>
            <c:bubble3D val="0"/>
            <c:spPr>
              <a:solidFill>
                <a:srgbClr val="92D050"/>
              </a:solidFill>
              <a:ln w="3175" cmpd="sng">
                <a:noFill/>
                <a:prstDash val="solid"/>
              </a:ln>
            </c:spPr>
            <c:extLst>
              <c:ext xmlns:c16="http://schemas.microsoft.com/office/drawing/2014/chart" uri="{C3380CC4-5D6E-409C-BE32-E72D297353CC}">
                <c16:uniqueId val="{000002BE-65EE-4C4E-AC0B-4B3C8E73F656}"/>
              </c:ext>
            </c:extLst>
          </c:dPt>
          <c:dPt>
            <c:idx val="20"/>
            <c:invertIfNegative val="0"/>
            <c:bubble3D val="0"/>
            <c:spPr>
              <a:solidFill>
                <a:srgbClr val="92D050"/>
              </a:solidFill>
              <a:ln w="3175" cmpd="sng">
                <a:noFill/>
                <a:prstDash val="solid"/>
              </a:ln>
            </c:spPr>
            <c:extLst>
              <c:ext xmlns:c16="http://schemas.microsoft.com/office/drawing/2014/chart" uri="{C3380CC4-5D6E-409C-BE32-E72D297353CC}">
                <c16:uniqueId val="{000002C0-65EE-4C4E-AC0B-4B3C8E73F656}"/>
              </c:ext>
            </c:extLst>
          </c:dPt>
          <c:dPt>
            <c:idx val="21"/>
            <c:invertIfNegative val="0"/>
            <c:bubble3D val="0"/>
            <c:spPr>
              <a:solidFill>
                <a:srgbClr val="92D050"/>
              </a:solidFill>
              <a:ln w="3175" cmpd="sng">
                <a:noFill/>
                <a:prstDash val="solid"/>
              </a:ln>
            </c:spPr>
            <c:extLst>
              <c:ext xmlns:c16="http://schemas.microsoft.com/office/drawing/2014/chart" uri="{C3380CC4-5D6E-409C-BE32-E72D297353CC}">
                <c16:uniqueId val="{000002C2-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Data'!$C$14:$X$14</c:f>
              <c:numCache>
                <c:formatCode>#,##0_ ;\-#,##0\ </c:formatCode>
                <c:ptCount val="22"/>
                <c:pt idx="0">
                  <c:v>110.90353189791001</c:v>
                </c:pt>
                <c:pt idx="1">
                  <c:v>194.58071605410979</c:v>
                </c:pt>
                <c:pt idx="2">
                  <c:v>244.96017736548009</c:v>
                </c:pt>
                <c:pt idx="3">
                  <c:v>412.18443826001015</c:v>
                </c:pt>
                <c:pt idx="4">
                  <c:v>707.9351521132902</c:v>
                </c:pt>
                <c:pt idx="5">
                  <c:v>977.37550295440997</c:v>
                </c:pt>
                <c:pt idx="6">
                  <c:v>1252.588851172658</c:v>
                </c:pt>
                <c:pt idx="7">
                  <c:v>1601.606718460861</c:v>
                </c:pt>
                <c:pt idx="8">
                  <c:v>1994.1220179617862</c:v>
                </c:pt>
                <c:pt idx="9">
                  <c:v>2452.9658142567932</c:v>
                </c:pt>
                <c:pt idx="10">
                  <c:v>3098.0997972791129</c:v>
                </c:pt>
                <c:pt idx="11">
                  <c:v>3693.3701978639328</c:v>
                </c:pt>
                <c:pt idx="12">
                  <c:v>4189.8478680206672</c:v>
                </c:pt>
                <c:pt idx="13">
                  <c:v>4956.5248078091281</c:v>
                </c:pt>
                <c:pt idx="14">
                  <c:v>5904.4820336100011</c:v>
                </c:pt>
                <c:pt idx="15">
                  <c:v>7008.4679360658083</c:v>
                </c:pt>
                <c:pt idx="16">
                  <c:v>8231.01428647787</c:v>
                </c:pt>
                <c:pt idx="17">
                  <c:v>9626.4935440878889</c:v>
                </c:pt>
                <c:pt idx="18">
                  <c:v>11037.36195243232</c:v>
                </c:pt>
                <c:pt idx="19">
                  <c:v>12403.117889405428</c:v>
                </c:pt>
                <c:pt idx="20">
                  <c:v>13617.405498065131</c:v>
                </c:pt>
                <c:pt idx="21">
                  <c:v>14704.846496399408</c:v>
                </c:pt>
              </c:numCache>
            </c:numRef>
          </c:val>
          <c:extLst>
            <c:ext xmlns:c16="http://schemas.microsoft.com/office/drawing/2014/chart" uri="{C3380CC4-5D6E-409C-BE32-E72D297353CC}">
              <c16:uniqueId val="{000002C3-65EE-4C4E-AC0B-4B3C8E73F656}"/>
            </c:ext>
          </c:extLst>
        </c:ser>
        <c:ser>
          <c:idx val="12"/>
          <c:order val="10"/>
          <c:tx>
            <c:strRef>
              <c:f>'NEMEnergyGenerated Data'!$B$15</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317-65EE-4C4E-AC0B-4B3C8E73F656}"/>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319-65EE-4C4E-AC0B-4B3C8E73F656}"/>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31B-65EE-4C4E-AC0B-4B3C8E73F656}"/>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31D-65EE-4C4E-AC0B-4B3C8E73F656}"/>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31F-65EE-4C4E-AC0B-4B3C8E73F656}"/>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321-65EE-4C4E-AC0B-4B3C8E73F656}"/>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323-65EE-4C4E-AC0B-4B3C8E73F656}"/>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325-65EE-4C4E-AC0B-4B3C8E73F656}"/>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327-65EE-4C4E-AC0B-4B3C8E73F656}"/>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329-65EE-4C4E-AC0B-4B3C8E73F656}"/>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32B-65EE-4C4E-AC0B-4B3C8E73F656}"/>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32D-65EE-4C4E-AC0B-4B3C8E73F656}"/>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32F-65EE-4C4E-AC0B-4B3C8E73F656}"/>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331-65EE-4C4E-AC0B-4B3C8E73F656}"/>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333-65EE-4C4E-AC0B-4B3C8E73F656}"/>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335-65EE-4C4E-AC0B-4B3C8E73F656}"/>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337-65EE-4C4E-AC0B-4B3C8E73F656}"/>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339-65EE-4C4E-AC0B-4B3C8E73F656}"/>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33B-65EE-4C4E-AC0B-4B3C8E73F656}"/>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33D-65EE-4C4E-AC0B-4B3C8E73F656}"/>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33F-65EE-4C4E-AC0B-4B3C8E73F656}"/>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341-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Data'!$C$15:$X$15</c:f>
              <c:numCache>
                <c:formatCode>#,##0_ ;\-#,##0\ </c:formatCode>
                <c:ptCount val="22"/>
                <c:pt idx="0">
                  <c:v>8915</c:v>
                </c:pt>
                <c:pt idx="1">
                  <c:v>10043</c:v>
                </c:pt>
                <c:pt idx="2">
                  <c:v>11126</c:v>
                </c:pt>
                <c:pt idx="3">
                  <c:v>12278</c:v>
                </c:pt>
                <c:pt idx="4">
                  <c:v>13481</c:v>
                </c:pt>
                <c:pt idx="5">
                  <c:v>14829</c:v>
                </c:pt>
                <c:pt idx="6">
                  <c:v>16184</c:v>
                </c:pt>
                <c:pt idx="7">
                  <c:v>17747</c:v>
                </c:pt>
                <c:pt idx="8">
                  <c:v>19530</c:v>
                </c:pt>
                <c:pt idx="9">
                  <c:v>21714</c:v>
                </c:pt>
                <c:pt idx="10">
                  <c:v>24145</c:v>
                </c:pt>
                <c:pt idx="11">
                  <c:v>27126</c:v>
                </c:pt>
                <c:pt idx="12">
                  <c:v>30484</c:v>
                </c:pt>
                <c:pt idx="13">
                  <c:v>34124</c:v>
                </c:pt>
                <c:pt idx="14">
                  <c:v>37361</c:v>
                </c:pt>
                <c:pt idx="15">
                  <c:v>40336</c:v>
                </c:pt>
                <c:pt idx="16">
                  <c:v>42811</c:v>
                </c:pt>
                <c:pt idx="17">
                  <c:v>44951</c:v>
                </c:pt>
                <c:pt idx="18">
                  <c:v>46320</c:v>
                </c:pt>
                <c:pt idx="19">
                  <c:v>47616</c:v>
                </c:pt>
                <c:pt idx="20">
                  <c:v>48739</c:v>
                </c:pt>
                <c:pt idx="21">
                  <c:v>49912</c:v>
                </c:pt>
              </c:numCache>
            </c:numRef>
          </c:val>
          <c:extLst>
            <c:ext xmlns:c16="http://schemas.microsoft.com/office/drawing/2014/chart" uri="{C3380CC4-5D6E-409C-BE32-E72D297353CC}">
              <c16:uniqueId val="{00000342-65EE-4C4E-AC0B-4B3C8E73F656}"/>
            </c:ext>
          </c:extLst>
        </c:ser>
        <c:ser>
          <c:idx val="10"/>
          <c:order val="11"/>
          <c:tx>
            <c:strRef>
              <c:f>'NEMEnergyGenerated Data'!$B$13</c:f>
              <c:strCache>
                <c:ptCount val="1"/>
                <c:pt idx="0">
                  <c:v>Utility storage load</c:v>
                </c:pt>
              </c:strCache>
            </c:strRef>
          </c:tx>
          <c:spPr>
            <a:solidFill>
              <a:srgbClr val="E1A8E9"/>
            </a:solidFill>
            <a:ln>
              <a:noFill/>
            </a:ln>
          </c:spPr>
          <c:invertIfNegative val="0"/>
          <c:dPt>
            <c:idx val="0"/>
            <c:invertIfNegative val="0"/>
            <c:bubble3D val="0"/>
            <c:spPr>
              <a:solidFill>
                <a:srgbClr val="E1A8E9"/>
              </a:solidFill>
              <a:ln w="3175" cmpd="sng">
                <a:noFill/>
                <a:prstDash val="solid"/>
              </a:ln>
            </c:spPr>
            <c:extLst>
              <c:ext xmlns:c16="http://schemas.microsoft.com/office/drawing/2014/chart" uri="{C3380CC4-5D6E-409C-BE32-E72D297353CC}">
                <c16:uniqueId val="{00000360-65EE-4C4E-AC0B-4B3C8E73F656}"/>
              </c:ext>
            </c:extLst>
          </c:dPt>
          <c:dPt>
            <c:idx val="1"/>
            <c:invertIfNegative val="0"/>
            <c:bubble3D val="0"/>
            <c:spPr>
              <a:solidFill>
                <a:srgbClr val="E1A8E9"/>
              </a:solidFill>
              <a:ln w="3175" cmpd="sng">
                <a:noFill/>
                <a:prstDash val="solid"/>
              </a:ln>
            </c:spPr>
            <c:extLst>
              <c:ext xmlns:c16="http://schemas.microsoft.com/office/drawing/2014/chart" uri="{C3380CC4-5D6E-409C-BE32-E72D297353CC}">
                <c16:uniqueId val="{00000362-65EE-4C4E-AC0B-4B3C8E73F656}"/>
              </c:ext>
            </c:extLst>
          </c:dPt>
          <c:dPt>
            <c:idx val="2"/>
            <c:invertIfNegative val="0"/>
            <c:bubble3D val="0"/>
            <c:spPr>
              <a:solidFill>
                <a:srgbClr val="E1A8E9"/>
              </a:solidFill>
              <a:ln w="3175" cmpd="sng">
                <a:noFill/>
                <a:prstDash val="solid"/>
              </a:ln>
            </c:spPr>
            <c:extLst>
              <c:ext xmlns:c16="http://schemas.microsoft.com/office/drawing/2014/chart" uri="{C3380CC4-5D6E-409C-BE32-E72D297353CC}">
                <c16:uniqueId val="{00000364-65EE-4C4E-AC0B-4B3C8E73F656}"/>
              </c:ext>
            </c:extLst>
          </c:dPt>
          <c:dPt>
            <c:idx val="3"/>
            <c:invertIfNegative val="0"/>
            <c:bubble3D val="0"/>
            <c:spPr>
              <a:solidFill>
                <a:srgbClr val="E1A8E9"/>
              </a:solidFill>
              <a:ln w="3175" cmpd="sng">
                <a:noFill/>
                <a:prstDash val="solid"/>
              </a:ln>
            </c:spPr>
            <c:extLst>
              <c:ext xmlns:c16="http://schemas.microsoft.com/office/drawing/2014/chart" uri="{C3380CC4-5D6E-409C-BE32-E72D297353CC}">
                <c16:uniqueId val="{00000366-65EE-4C4E-AC0B-4B3C8E73F656}"/>
              </c:ext>
            </c:extLst>
          </c:dPt>
          <c:dPt>
            <c:idx val="4"/>
            <c:invertIfNegative val="0"/>
            <c:bubble3D val="0"/>
            <c:spPr>
              <a:solidFill>
                <a:srgbClr val="E1A8E9"/>
              </a:solidFill>
              <a:ln w="3175" cmpd="sng">
                <a:noFill/>
                <a:prstDash val="solid"/>
              </a:ln>
            </c:spPr>
            <c:extLst>
              <c:ext xmlns:c16="http://schemas.microsoft.com/office/drawing/2014/chart" uri="{C3380CC4-5D6E-409C-BE32-E72D297353CC}">
                <c16:uniqueId val="{00000368-65EE-4C4E-AC0B-4B3C8E73F656}"/>
              </c:ext>
            </c:extLst>
          </c:dPt>
          <c:dPt>
            <c:idx val="5"/>
            <c:invertIfNegative val="0"/>
            <c:bubble3D val="0"/>
            <c:spPr>
              <a:solidFill>
                <a:srgbClr val="E1A8E9"/>
              </a:solidFill>
              <a:ln w="3175" cmpd="sng">
                <a:noFill/>
                <a:prstDash val="solid"/>
              </a:ln>
            </c:spPr>
            <c:extLst>
              <c:ext xmlns:c16="http://schemas.microsoft.com/office/drawing/2014/chart" uri="{C3380CC4-5D6E-409C-BE32-E72D297353CC}">
                <c16:uniqueId val="{0000036A-65EE-4C4E-AC0B-4B3C8E73F656}"/>
              </c:ext>
            </c:extLst>
          </c:dPt>
          <c:dPt>
            <c:idx val="6"/>
            <c:invertIfNegative val="0"/>
            <c:bubble3D val="0"/>
            <c:spPr>
              <a:solidFill>
                <a:srgbClr val="E1A8E9"/>
              </a:solidFill>
              <a:ln w="3175" cmpd="sng">
                <a:noFill/>
                <a:prstDash val="solid"/>
              </a:ln>
            </c:spPr>
            <c:extLst>
              <c:ext xmlns:c16="http://schemas.microsoft.com/office/drawing/2014/chart" uri="{C3380CC4-5D6E-409C-BE32-E72D297353CC}">
                <c16:uniqueId val="{0000036C-65EE-4C4E-AC0B-4B3C8E73F656}"/>
              </c:ext>
            </c:extLst>
          </c:dPt>
          <c:dPt>
            <c:idx val="7"/>
            <c:invertIfNegative val="0"/>
            <c:bubble3D val="0"/>
            <c:spPr>
              <a:solidFill>
                <a:srgbClr val="E1A8E9"/>
              </a:solidFill>
              <a:ln w="3175" cmpd="sng">
                <a:noFill/>
                <a:prstDash val="solid"/>
              </a:ln>
            </c:spPr>
            <c:extLst>
              <c:ext xmlns:c16="http://schemas.microsoft.com/office/drawing/2014/chart" uri="{C3380CC4-5D6E-409C-BE32-E72D297353CC}">
                <c16:uniqueId val="{0000036E-65EE-4C4E-AC0B-4B3C8E73F656}"/>
              </c:ext>
            </c:extLst>
          </c:dPt>
          <c:dPt>
            <c:idx val="8"/>
            <c:invertIfNegative val="0"/>
            <c:bubble3D val="0"/>
            <c:spPr>
              <a:solidFill>
                <a:srgbClr val="E1A8E9"/>
              </a:solidFill>
              <a:ln w="3175" cmpd="sng">
                <a:noFill/>
                <a:prstDash val="solid"/>
              </a:ln>
            </c:spPr>
            <c:extLst>
              <c:ext xmlns:c16="http://schemas.microsoft.com/office/drawing/2014/chart" uri="{C3380CC4-5D6E-409C-BE32-E72D297353CC}">
                <c16:uniqueId val="{00000370-65EE-4C4E-AC0B-4B3C8E73F656}"/>
              </c:ext>
            </c:extLst>
          </c:dPt>
          <c:dPt>
            <c:idx val="9"/>
            <c:invertIfNegative val="0"/>
            <c:bubble3D val="0"/>
            <c:spPr>
              <a:solidFill>
                <a:srgbClr val="E1A8E9"/>
              </a:solidFill>
              <a:ln w="3175" cmpd="sng">
                <a:noFill/>
                <a:prstDash val="solid"/>
              </a:ln>
            </c:spPr>
            <c:extLst>
              <c:ext xmlns:c16="http://schemas.microsoft.com/office/drawing/2014/chart" uri="{C3380CC4-5D6E-409C-BE32-E72D297353CC}">
                <c16:uniqueId val="{00000372-65EE-4C4E-AC0B-4B3C8E73F656}"/>
              </c:ext>
            </c:extLst>
          </c:dPt>
          <c:dPt>
            <c:idx val="10"/>
            <c:invertIfNegative val="0"/>
            <c:bubble3D val="0"/>
            <c:spPr>
              <a:solidFill>
                <a:srgbClr val="E1A8E9"/>
              </a:solidFill>
              <a:ln w="3175" cmpd="sng">
                <a:noFill/>
                <a:prstDash val="solid"/>
              </a:ln>
            </c:spPr>
            <c:extLst>
              <c:ext xmlns:c16="http://schemas.microsoft.com/office/drawing/2014/chart" uri="{C3380CC4-5D6E-409C-BE32-E72D297353CC}">
                <c16:uniqueId val="{00000374-65EE-4C4E-AC0B-4B3C8E73F656}"/>
              </c:ext>
            </c:extLst>
          </c:dPt>
          <c:dPt>
            <c:idx val="11"/>
            <c:invertIfNegative val="0"/>
            <c:bubble3D val="0"/>
            <c:spPr>
              <a:solidFill>
                <a:srgbClr val="E1A8E9"/>
              </a:solidFill>
              <a:ln w="3175" cmpd="sng">
                <a:noFill/>
                <a:prstDash val="solid"/>
              </a:ln>
            </c:spPr>
            <c:extLst>
              <c:ext xmlns:c16="http://schemas.microsoft.com/office/drawing/2014/chart" uri="{C3380CC4-5D6E-409C-BE32-E72D297353CC}">
                <c16:uniqueId val="{00000376-65EE-4C4E-AC0B-4B3C8E73F656}"/>
              </c:ext>
            </c:extLst>
          </c:dPt>
          <c:dPt>
            <c:idx val="12"/>
            <c:invertIfNegative val="0"/>
            <c:bubble3D val="0"/>
            <c:spPr>
              <a:solidFill>
                <a:srgbClr val="E1A8E9"/>
              </a:solidFill>
              <a:ln w="3175" cmpd="sng">
                <a:noFill/>
                <a:prstDash val="solid"/>
              </a:ln>
            </c:spPr>
            <c:extLst>
              <c:ext xmlns:c16="http://schemas.microsoft.com/office/drawing/2014/chart" uri="{C3380CC4-5D6E-409C-BE32-E72D297353CC}">
                <c16:uniqueId val="{00000378-65EE-4C4E-AC0B-4B3C8E73F656}"/>
              </c:ext>
            </c:extLst>
          </c:dPt>
          <c:dPt>
            <c:idx val="13"/>
            <c:invertIfNegative val="0"/>
            <c:bubble3D val="0"/>
            <c:spPr>
              <a:solidFill>
                <a:srgbClr val="E1A8E9"/>
              </a:solidFill>
              <a:ln w="3175" cmpd="sng">
                <a:noFill/>
                <a:prstDash val="solid"/>
              </a:ln>
            </c:spPr>
            <c:extLst>
              <c:ext xmlns:c16="http://schemas.microsoft.com/office/drawing/2014/chart" uri="{C3380CC4-5D6E-409C-BE32-E72D297353CC}">
                <c16:uniqueId val="{0000037A-65EE-4C4E-AC0B-4B3C8E73F656}"/>
              </c:ext>
            </c:extLst>
          </c:dPt>
          <c:dPt>
            <c:idx val="14"/>
            <c:invertIfNegative val="0"/>
            <c:bubble3D val="0"/>
            <c:spPr>
              <a:solidFill>
                <a:srgbClr val="E1A8E9"/>
              </a:solidFill>
              <a:ln w="3175" cmpd="sng">
                <a:noFill/>
                <a:prstDash val="solid"/>
              </a:ln>
            </c:spPr>
            <c:extLst>
              <c:ext xmlns:c16="http://schemas.microsoft.com/office/drawing/2014/chart" uri="{C3380CC4-5D6E-409C-BE32-E72D297353CC}">
                <c16:uniqueId val="{0000037C-65EE-4C4E-AC0B-4B3C8E73F656}"/>
              </c:ext>
            </c:extLst>
          </c:dPt>
          <c:dPt>
            <c:idx val="15"/>
            <c:invertIfNegative val="0"/>
            <c:bubble3D val="0"/>
            <c:spPr>
              <a:solidFill>
                <a:srgbClr val="E1A8E9"/>
              </a:solidFill>
              <a:ln w="3175" cmpd="sng">
                <a:noFill/>
                <a:prstDash val="solid"/>
              </a:ln>
            </c:spPr>
            <c:extLst>
              <c:ext xmlns:c16="http://schemas.microsoft.com/office/drawing/2014/chart" uri="{C3380CC4-5D6E-409C-BE32-E72D297353CC}">
                <c16:uniqueId val="{0000037E-65EE-4C4E-AC0B-4B3C8E73F656}"/>
              </c:ext>
            </c:extLst>
          </c:dPt>
          <c:dPt>
            <c:idx val="16"/>
            <c:invertIfNegative val="0"/>
            <c:bubble3D val="0"/>
            <c:spPr>
              <a:solidFill>
                <a:srgbClr val="E1A8E9"/>
              </a:solidFill>
              <a:ln w="3175" cmpd="sng">
                <a:noFill/>
                <a:prstDash val="solid"/>
              </a:ln>
            </c:spPr>
            <c:extLst>
              <c:ext xmlns:c16="http://schemas.microsoft.com/office/drawing/2014/chart" uri="{C3380CC4-5D6E-409C-BE32-E72D297353CC}">
                <c16:uniqueId val="{00000380-65EE-4C4E-AC0B-4B3C8E73F656}"/>
              </c:ext>
            </c:extLst>
          </c:dPt>
          <c:dPt>
            <c:idx val="17"/>
            <c:invertIfNegative val="0"/>
            <c:bubble3D val="0"/>
            <c:spPr>
              <a:solidFill>
                <a:srgbClr val="E1A8E9"/>
              </a:solidFill>
              <a:ln w="3175" cmpd="sng">
                <a:noFill/>
                <a:prstDash val="solid"/>
              </a:ln>
            </c:spPr>
            <c:extLst>
              <c:ext xmlns:c16="http://schemas.microsoft.com/office/drawing/2014/chart" uri="{C3380CC4-5D6E-409C-BE32-E72D297353CC}">
                <c16:uniqueId val="{00000382-65EE-4C4E-AC0B-4B3C8E73F656}"/>
              </c:ext>
            </c:extLst>
          </c:dPt>
          <c:dPt>
            <c:idx val="18"/>
            <c:invertIfNegative val="0"/>
            <c:bubble3D val="0"/>
            <c:spPr>
              <a:solidFill>
                <a:srgbClr val="E1A8E9"/>
              </a:solidFill>
              <a:ln w="3175" cmpd="sng">
                <a:noFill/>
                <a:prstDash val="solid"/>
              </a:ln>
            </c:spPr>
            <c:extLst>
              <c:ext xmlns:c16="http://schemas.microsoft.com/office/drawing/2014/chart" uri="{C3380CC4-5D6E-409C-BE32-E72D297353CC}">
                <c16:uniqueId val="{00000384-65EE-4C4E-AC0B-4B3C8E73F656}"/>
              </c:ext>
            </c:extLst>
          </c:dPt>
          <c:dPt>
            <c:idx val="19"/>
            <c:invertIfNegative val="0"/>
            <c:bubble3D val="0"/>
            <c:spPr>
              <a:solidFill>
                <a:srgbClr val="E1A8E9"/>
              </a:solidFill>
              <a:ln w="3175" cmpd="sng">
                <a:noFill/>
                <a:prstDash val="solid"/>
              </a:ln>
            </c:spPr>
            <c:extLst>
              <c:ext xmlns:c16="http://schemas.microsoft.com/office/drawing/2014/chart" uri="{C3380CC4-5D6E-409C-BE32-E72D297353CC}">
                <c16:uniqueId val="{00000386-65EE-4C4E-AC0B-4B3C8E73F656}"/>
              </c:ext>
            </c:extLst>
          </c:dPt>
          <c:dPt>
            <c:idx val="20"/>
            <c:invertIfNegative val="0"/>
            <c:bubble3D val="0"/>
            <c:spPr>
              <a:solidFill>
                <a:srgbClr val="E1A8E9"/>
              </a:solidFill>
              <a:ln w="3175" cmpd="sng">
                <a:noFill/>
                <a:prstDash val="solid"/>
              </a:ln>
            </c:spPr>
            <c:extLst>
              <c:ext xmlns:c16="http://schemas.microsoft.com/office/drawing/2014/chart" uri="{C3380CC4-5D6E-409C-BE32-E72D297353CC}">
                <c16:uniqueId val="{00000388-65EE-4C4E-AC0B-4B3C8E73F656}"/>
              </c:ext>
            </c:extLst>
          </c:dPt>
          <c:dPt>
            <c:idx val="21"/>
            <c:invertIfNegative val="0"/>
            <c:bubble3D val="0"/>
            <c:spPr>
              <a:solidFill>
                <a:srgbClr val="E1A8E9"/>
              </a:solidFill>
              <a:ln w="3175" cmpd="sng">
                <a:noFill/>
                <a:prstDash val="solid"/>
              </a:ln>
            </c:spPr>
            <c:extLst>
              <c:ext xmlns:c16="http://schemas.microsoft.com/office/drawing/2014/chart" uri="{C3380CC4-5D6E-409C-BE32-E72D297353CC}">
                <c16:uniqueId val="{0000038A-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Data'!$C$13:$X$13</c:f>
              <c:numCache>
                <c:formatCode>#,##0_ ;\-#,##0\ </c:formatCode>
                <c:ptCount val="22"/>
                <c:pt idx="0">
                  <c:v>-1349.8291379670127</c:v>
                </c:pt>
                <c:pt idx="1">
                  <c:v>-125.38283404132495</c:v>
                </c:pt>
                <c:pt idx="2">
                  <c:v>-96.30778349171247</c:v>
                </c:pt>
                <c:pt idx="3">
                  <c:v>-181.99987197068745</c:v>
                </c:pt>
                <c:pt idx="4">
                  <c:v>-581.4964561767008</c:v>
                </c:pt>
                <c:pt idx="5">
                  <c:v>-664.94190272850085</c:v>
                </c:pt>
                <c:pt idx="6">
                  <c:v>-1177.8706429609881</c:v>
                </c:pt>
                <c:pt idx="7">
                  <c:v>-2032.8953400242258</c:v>
                </c:pt>
                <c:pt idx="8">
                  <c:v>-2402.9164437991867</c:v>
                </c:pt>
                <c:pt idx="9">
                  <c:v>-2209.7086300884243</c:v>
                </c:pt>
                <c:pt idx="10">
                  <c:v>-2545.5525973451622</c:v>
                </c:pt>
                <c:pt idx="11">
                  <c:v>-4282.5994431858871</c:v>
                </c:pt>
                <c:pt idx="12">
                  <c:v>-4313.3238249993983</c:v>
                </c:pt>
                <c:pt idx="13">
                  <c:v>-4400.6282250747745</c:v>
                </c:pt>
                <c:pt idx="14">
                  <c:v>-5569.6376827242766</c:v>
                </c:pt>
                <c:pt idx="15">
                  <c:v>-6202.0160672565371</c:v>
                </c:pt>
                <c:pt idx="16">
                  <c:v>-10338.6313604283</c:v>
                </c:pt>
                <c:pt idx="17">
                  <c:v>-15826.443717415588</c:v>
                </c:pt>
                <c:pt idx="18">
                  <c:v>-23085.839505758035</c:v>
                </c:pt>
                <c:pt idx="19">
                  <c:v>-24273.953181351269</c:v>
                </c:pt>
                <c:pt idx="20">
                  <c:v>-26687.884046134015</c:v>
                </c:pt>
                <c:pt idx="21">
                  <c:v>-27271.742909777469</c:v>
                </c:pt>
              </c:numCache>
            </c:numRef>
          </c:val>
          <c:extLst>
            <c:ext xmlns:c16="http://schemas.microsoft.com/office/drawing/2014/chart" uri="{C3380CC4-5D6E-409C-BE32-E72D297353CC}">
              <c16:uniqueId val="{0000038B-65EE-4C4E-AC0B-4B3C8E73F656}"/>
            </c:ext>
          </c:extLst>
        </c:ser>
        <c:ser>
          <c:idx val="7"/>
          <c:order val="12"/>
          <c:tx>
            <c:strRef>
              <c:f>'NEMEnergyGenerated Data'!$B$10</c:f>
              <c:strCache>
                <c:ptCount val="1"/>
                <c:pt idx="0">
                  <c:v>Distributed storage load</c:v>
                </c:pt>
              </c:strCache>
            </c:strRef>
          </c:tx>
          <c:spPr>
            <a:solidFill>
              <a:srgbClr val="89FF89"/>
            </a:solidFill>
            <a:ln>
              <a:noFill/>
            </a:ln>
            <a:effectLst/>
          </c:spPr>
          <c:invertIfNegative val="0"/>
          <c:dPt>
            <c:idx val="0"/>
            <c:invertIfNegative val="0"/>
            <c:bubble3D val="0"/>
            <c:extLst>
              <c:ext xmlns:c16="http://schemas.microsoft.com/office/drawing/2014/chart" uri="{C3380CC4-5D6E-409C-BE32-E72D297353CC}">
                <c16:uniqueId val="{00000344-65EE-4C4E-AC0B-4B3C8E73F656}"/>
              </c:ext>
            </c:extLst>
          </c:dPt>
          <c:dPt>
            <c:idx val="1"/>
            <c:invertIfNegative val="0"/>
            <c:bubble3D val="0"/>
            <c:extLst>
              <c:ext xmlns:c16="http://schemas.microsoft.com/office/drawing/2014/chart" uri="{C3380CC4-5D6E-409C-BE32-E72D297353CC}">
                <c16:uniqueId val="{00000345-65EE-4C4E-AC0B-4B3C8E73F656}"/>
              </c:ext>
            </c:extLst>
          </c:dPt>
          <c:dPt>
            <c:idx val="2"/>
            <c:invertIfNegative val="0"/>
            <c:bubble3D val="0"/>
            <c:extLst>
              <c:ext xmlns:c16="http://schemas.microsoft.com/office/drawing/2014/chart" uri="{C3380CC4-5D6E-409C-BE32-E72D297353CC}">
                <c16:uniqueId val="{00000346-65EE-4C4E-AC0B-4B3C8E73F656}"/>
              </c:ext>
            </c:extLst>
          </c:dPt>
          <c:dPt>
            <c:idx val="3"/>
            <c:invertIfNegative val="0"/>
            <c:bubble3D val="0"/>
            <c:extLst>
              <c:ext xmlns:c16="http://schemas.microsoft.com/office/drawing/2014/chart" uri="{C3380CC4-5D6E-409C-BE32-E72D297353CC}">
                <c16:uniqueId val="{00000347-65EE-4C4E-AC0B-4B3C8E73F656}"/>
              </c:ext>
            </c:extLst>
          </c:dPt>
          <c:dPt>
            <c:idx val="4"/>
            <c:invertIfNegative val="0"/>
            <c:bubble3D val="0"/>
            <c:extLst>
              <c:ext xmlns:c16="http://schemas.microsoft.com/office/drawing/2014/chart" uri="{C3380CC4-5D6E-409C-BE32-E72D297353CC}">
                <c16:uniqueId val="{00000348-65EE-4C4E-AC0B-4B3C8E73F656}"/>
              </c:ext>
            </c:extLst>
          </c:dPt>
          <c:dPt>
            <c:idx val="5"/>
            <c:invertIfNegative val="0"/>
            <c:bubble3D val="0"/>
            <c:extLst>
              <c:ext xmlns:c16="http://schemas.microsoft.com/office/drawing/2014/chart" uri="{C3380CC4-5D6E-409C-BE32-E72D297353CC}">
                <c16:uniqueId val="{00000349-65EE-4C4E-AC0B-4B3C8E73F656}"/>
              </c:ext>
            </c:extLst>
          </c:dPt>
          <c:dPt>
            <c:idx val="6"/>
            <c:invertIfNegative val="0"/>
            <c:bubble3D val="0"/>
            <c:extLst>
              <c:ext xmlns:c16="http://schemas.microsoft.com/office/drawing/2014/chart" uri="{C3380CC4-5D6E-409C-BE32-E72D297353CC}">
                <c16:uniqueId val="{0000034A-65EE-4C4E-AC0B-4B3C8E73F656}"/>
              </c:ext>
            </c:extLst>
          </c:dPt>
          <c:dPt>
            <c:idx val="7"/>
            <c:invertIfNegative val="0"/>
            <c:bubble3D val="0"/>
            <c:extLst>
              <c:ext xmlns:c16="http://schemas.microsoft.com/office/drawing/2014/chart" uri="{C3380CC4-5D6E-409C-BE32-E72D297353CC}">
                <c16:uniqueId val="{0000034B-65EE-4C4E-AC0B-4B3C8E73F656}"/>
              </c:ext>
            </c:extLst>
          </c:dPt>
          <c:dPt>
            <c:idx val="8"/>
            <c:invertIfNegative val="0"/>
            <c:bubble3D val="0"/>
            <c:extLst>
              <c:ext xmlns:c16="http://schemas.microsoft.com/office/drawing/2014/chart" uri="{C3380CC4-5D6E-409C-BE32-E72D297353CC}">
                <c16:uniqueId val="{0000034C-65EE-4C4E-AC0B-4B3C8E73F656}"/>
              </c:ext>
            </c:extLst>
          </c:dPt>
          <c:dPt>
            <c:idx val="9"/>
            <c:invertIfNegative val="0"/>
            <c:bubble3D val="0"/>
            <c:extLst>
              <c:ext xmlns:c16="http://schemas.microsoft.com/office/drawing/2014/chart" uri="{C3380CC4-5D6E-409C-BE32-E72D297353CC}">
                <c16:uniqueId val="{0000034D-65EE-4C4E-AC0B-4B3C8E73F656}"/>
              </c:ext>
            </c:extLst>
          </c:dPt>
          <c:dPt>
            <c:idx val="10"/>
            <c:invertIfNegative val="0"/>
            <c:bubble3D val="0"/>
            <c:extLst>
              <c:ext xmlns:c16="http://schemas.microsoft.com/office/drawing/2014/chart" uri="{C3380CC4-5D6E-409C-BE32-E72D297353CC}">
                <c16:uniqueId val="{0000034E-65EE-4C4E-AC0B-4B3C8E73F656}"/>
              </c:ext>
            </c:extLst>
          </c:dPt>
          <c:dPt>
            <c:idx val="11"/>
            <c:invertIfNegative val="0"/>
            <c:bubble3D val="0"/>
            <c:extLst>
              <c:ext xmlns:c16="http://schemas.microsoft.com/office/drawing/2014/chart" uri="{C3380CC4-5D6E-409C-BE32-E72D297353CC}">
                <c16:uniqueId val="{0000034F-65EE-4C4E-AC0B-4B3C8E73F656}"/>
              </c:ext>
            </c:extLst>
          </c:dPt>
          <c:dPt>
            <c:idx val="12"/>
            <c:invertIfNegative val="0"/>
            <c:bubble3D val="0"/>
            <c:extLst>
              <c:ext xmlns:c16="http://schemas.microsoft.com/office/drawing/2014/chart" uri="{C3380CC4-5D6E-409C-BE32-E72D297353CC}">
                <c16:uniqueId val="{00000350-65EE-4C4E-AC0B-4B3C8E73F656}"/>
              </c:ext>
            </c:extLst>
          </c:dPt>
          <c:dPt>
            <c:idx val="13"/>
            <c:invertIfNegative val="0"/>
            <c:bubble3D val="0"/>
            <c:extLst>
              <c:ext xmlns:c16="http://schemas.microsoft.com/office/drawing/2014/chart" uri="{C3380CC4-5D6E-409C-BE32-E72D297353CC}">
                <c16:uniqueId val="{00000351-65EE-4C4E-AC0B-4B3C8E73F656}"/>
              </c:ext>
            </c:extLst>
          </c:dPt>
          <c:dPt>
            <c:idx val="14"/>
            <c:invertIfNegative val="0"/>
            <c:bubble3D val="0"/>
            <c:extLst>
              <c:ext xmlns:c16="http://schemas.microsoft.com/office/drawing/2014/chart" uri="{C3380CC4-5D6E-409C-BE32-E72D297353CC}">
                <c16:uniqueId val="{00000352-65EE-4C4E-AC0B-4B3C8E73F656}"/>
              </c:ext>
            </c:extLst>
          </c:dPt>
          <c:dPt>
            <c:idx val="15"/>
            <c:invertIfNegative val="0"/>
            <c:bubble3D val="0"/>
            <c:extLst>
              <c:ext xmlns:c16="http://schemas.microsoft.com/office/drawing/2014/chart" uri="{C3380CC4-5D6E-409C-BE32-E72D297353CC}">
                <c16:uniqueId val="{00000353-65EE-4C4E-AC0B-4B3C8E73F656}"/>
              </c:ext>
            </c:extLst>
          </c:dPt>
          <c:dPt>
            <c:idx val="16"/>
            <c:invertIfNegative val="0"/>
            <c:bubble3D val="0"/>
            <c:extLst>
              <c:ext xmlns:c16="http://schemas.microsoft.com/office/drawing/2014/chart" uri="{C3380CC4-5D6E-409C-BE32-E72D297353CC}">
                <c16:uniqueId val="{00000354-65EE-4C4E-AC0B-4B3C8E73F656}"/>
              </c:ext>
            </c:extLst>
          </c:dPt>
          <c:dPt>
            <c:idx val="17"/>
            <c:invertIfNegative val="0"/>
            <c:bubble3D val="0"/>
            <c:extLst>
              <c:ext xmlns:c16="http://schemas.microsoft.com/office/drawing/2014/chart" uri="{C3380CC4-5D6E-409C-BE32-E72D297353CC}">
                <c16:uniqueId val="{00000355-65EE-4C4E-AC0B-4B3C8E73F656}"/>
              </c:ext>
            </c:extLst>
          </c:dPt>
          <c:dPt>
            <c:idx val="18"/>
            <c:invertIfNegative val="0"/>
            <c:bubble3D val="0"/>
            <c:extLst>
              <c:ext xmlns:c16="http://schemas.microsoft.com/office/drawing/2014/chart" uri="{C3380CC4-5D6E-409C-BE32-E72D297353CC}">
                <c16:uniqueId val="{00000356-65EE-4C4E-AC0B-4B3C8E73F656}"/>
              </c:ext>
            </c:extLst>
          </c:dPt>
          <c:dPt>
            <c:idx val="19"/>
            <c:invertIfNegative val="0"/>
            <c:bubble3D val="0"/>
            <c:extLst>
              <c:ext xmlns:c16="http://schemas.microsoft.com/office/drawing/2014/chart" uri="{C3380CC4-5D6E-409C-BE32-E72D297353CC}">
                <c16:uniqueId val="{00000357-65EE-4C4E-AC0B-4B3C8E73F656}"/>
              </c:ext>
            </c:extLst>
          </c:dPt>
          <c:dPt>
            <c:idx val="20"/>
            <c:invertIfNegative val="0"/>
            <c:bubble3D val="0"/>
            <c:extLst>
              <c:ext xmlns:c16="http://schemas.microsoft.com/office/drawing/2014/chart" uri="{C3380CC4-5D6E-409C-BE32-E72D297353CC}">
                <c16:uniqueId val="{00000358-65EE-4C4E-AC0B-4B3C8E73F656}"/>
              </c:ext>
            </c:extLst>
          </c:dPt>
          <c:dPt>
            <c:idx val="21"/>
            <c:invertIfNegative val="0"/>
            <c:bubble3D val="0"/>
            <c:extLst>
              <c:ext xmlns:c16="http://schemas.microsoft.com/office/drawing/2014/chart" uri="{C3380CC4-5D6E-409C-BE32-E72D297353CC}">
                <c16:uniqueId val="{00000359-65EE-4C4E-AC0B-4B3C8E73F656}"/>
              </c:ext>
            </c:extLst>
          </c:dPt>
          <c:dPt>
            <c:idx val="22"/>
            <c:invertIfNegative val="0"/>
            <c:bubble3D val="0"/>
            <c:extLst>
              <c:ext xmlns:c16="http://schemas.microsoft.com/office/drawing/2014/chart" uri="{C3380CC4-5D6E-409C-BE32-E72D297353CC}">
                <c16:uniqueId val="{0000035A-65EE-4C4E-AC0B-4B3C8E73F656}"/>
              </c:ext>
            </c:extLst>
          </c:dPt>
          <c:dPt>
            <c:idx val="23"/>
            <c:invertIfNegative val="0"/>
            <c:bubble3D val="0"/>
            <c:extLst>
              <c:ext xmlns:c16="http://schemas.microsoft.com/office/drawing/2014/chart" uri="{C3380CC4-5D6E-409C-BE32-E72D297353CC}">
                <c16:uniqueId val="{0000035B-65EE-4C4E-AC0B-4B3C8E73F656}"/>
              </c:ext>
            </c:extLst>
          </c:dPt>
          <c:dPt>
            <c:idx val="24"/>
            <c:invertIfNegative val="0"/>
            <c:bubble3D val="0"/>
            <c:extLst>
              <c:ext xmlns:c16="http://schemas.microsoft.com/office/drawing/2014/chart" uri="{C3380CC4-5D6E-409C-BE32-E72D297353CC}">
                <c16:uniqueId val="{0000035C-65EE-4C4E-AC0B-4B3C8E73F656}"/>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Data'!$C$10:$X$10</c:f>
              <c:numCache>
                <c:formatCode>#,##0_ ;\-#,##0\ </c:formatCode>
                <c:ptCount val="22"/>
                <c:pt idx="0">
                  <c:v>-123.22614655323335</c:v>
                </c:pt>
                <c:pt idx="1">
                  <c:v>-216.20079561567752</c:v>
                </c:pt>
                <c:pt idx="2">
                  <c:v>-272.17797485053342</c:v>
                </c:pt>
                <c:pt idx="3">
                  <c:v>-457.98270917778905</c:v>
                </c:pt>
                <c:pt idx="4">
                  <c:v>-786.59461345921136</c:v>
                </c:pt>
                <c:pt idx="5">
                  <c:v>-1085.9727810604554</c:v>
                </c:pt>
                <c:pt idx="6">
                  <c:v>-1391.7653901918422</c:v>
                </c:pt>
                <c:pt idx="7">
                  <c:v>-1779.5630205120676</c:v>
                </c:pt>
                <c:pt idx="8">
                  <c:v>-2215.6911310686514</c:v>
                </c:pt>
                <c:pt idx="9">
                  <c:v>-2725.5175713964368</c:v>
                </c:pt>
                <c:pt idx="10">
                  <c:v>-3442.3331080879029</c:v>
                </c:pt>
                <c:pt idx="11">
                  <c:v>-4103.7446642932582</c:v>
                </c:pt>
                <c:pt idx="12">
                  <c:v>-4655.3865200229639</c:v>
                </c:pt>
                <c:pt idx="13">
                  <c:v>-5507.2497864545867</c:v>
                </c:pt>
                <c:pt idx="14">
                  <c:v>-6560.5355929000007</c:v>
                </c:pt>
                <c:pt idx="15">
                  <c:v>-7787.1865956286756</c:v>
                </c:pt>
                <c:pt idx="16">
                  <c:v>-9145.5714294198551</c:v>
                </c:pt>
                <c:pt idx="17">
                  <c:v>-10696.103937875432</c:v>
                </c:pt>
                <c:pt idx="18">
                  <c:v>-12263.735502702579</c:v>
                </c:pt>
                <c:pt idx="19">
                  <c:v>-13781.242099339364</c:v>
                </c:pt>
                <c:pt idx="20">
                  <c:v>-15130.450553405701</c:v>
                </c:pt>
                <c:pt idx="21">
                  <c:v>-16338.718329332676</c:v>
                </c:pt>
              </c:numCache>
            </c:numRef>
          </c:val>
          <c:extLst>
            <c:ext xmlns:c16="http://schemas.microsoft.com/office/drawing/2014/chart" uri="{C3380CC4-5D6E-409C-BE32-E72D297353CC}">
              <c16:uniqueId val="{0000035D-65EE-4C4E-AC0B-4B3C8E73F656}"/>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8322709635219802"/>
              <c:y val="0.74525694399438258"/>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Energy Generated (GWh)</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6.4604715849622019E-2"/>
          <c:y val="0.80836030207477083"/>
          <c:w val="0.87297990120331437"/>
          <c:h val="0.15018997401582546"/>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3526772857308464"/>
          <c:y val="3.2648402413411041E-2"/>
          <c:w val="0.84059724936764346"/>
          <c:h val="0.62071273542431116"/>
        </c:manualLayout>
      </c:layout>
      <c:barChart>
        <c:barDir val="col"/>
        <c:grouping val="stacked"/>
        <c:varyColors val="0"/>
        <c:ser>
          <c:idx val="0"/>
          <c:order val="0"/>
          <c:tx>
            <c:strRef>
              <c:f>'NewAndRetiredCapacity Data'!$A$3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3A-70B2-4DFE-9551-26E73ED02027}"/>
              </c:ext>
            </c:extLst>
          </c:dPt>
          <c:dPt>
            <c:idx val="1"/>
            <c:invertIfNegative val="0"/>
            <c:bubble3D val="0"/>
            <c:extLst>
              <c:ext xmlns:c16="http://schemas.microsoft.com/office/drawing/2014/chart" uri="{C3380CC4-5D6E-409C-BE32-E72D297353CC}">
                <c16:uniqueId val="{0000013B-70B2-4DFE-9551-26E73ED02027}"/>
              </c:ext>
            </c:extLst>
          </c:dPt>
          <c:dPt>
            <c:idx val="2"/>
            <c:invertIfNegative val="0"/>
            <c:bubble3D val="0"/>
            <c:extLst>
              <c:ext xmlns:c16="http://schemas.microsoft.com/office/drawing/2014/chart" uri="{C3380CC4-5D6E-409C-BE32-E72D297353CC}">
                <c16:uniqueId val="{0000013C-70B2-4DFE-9551-26E73ED02027}"/>
              </c:ext>
            </c:extLst>
          </c:dPt>
          <c:dPt>
            <c:idx val="3"/>
            <c:invertIfNegative val="0"/>
            <c:bubble3D val="0"/>
            <c:extLst>
              <c:ext xmlns:c16="http://schemas.microsoft.com/office/drawing/2014/chart" uri="{C3380CC4-5D6E-409C-BE32-E72D297353CC}">
                <c16:uniqueId val="{0000013D-70B2-4DFE-9551-26E73ED02027}"/>
              </c:ext>
            </c:extLst>
          </c:dPt>
          <c:dPt>
            <c:idx val="4"/>
            <c:invertIfNegative val="0"/>
            <c:bubble3D val="0"/>
            <c:extLst>
              <c:ext xmlns:c16="http://schemas.microsoft.com/office/drawing/2014/chart" uri="{C3380CC4-5D6E-409C-BE32-E72D297353CC}">
                <c16:uniqueId val="{0000013E-70B2-4DFE-9551-26E73ED02027}"/>
              </c:ext>
            </c:extLst>
          </c:dPt>
          <c:dPt>
            <c:idx val="5"/>
            <c:invertIfNegative val="0"/>
            <c:bubble3D val="0"/>
            <c:extLst>
              <c:ext xmlns:c16="http://schemas.microsoft.com/office/drawing/2014/chart" uri="{C3380CC4-5D6E-409C-BE32-E72D297353CC}">
                <c16:uniqueId val="{0000013F-70B2-4DFE-9551-26E73ED02027}"/>
              </c:ext>
            </c:extLst>
          </c:dPt>
          <c:dPt>
            <c:idx val="6"/>
            <c:invertIfNegative val="0"/>
            <c:bubble3D val="0"/>
            <c:extLst>
              <c:ext xmlns:c16="http://schemas.microsoft.com/office/drawing/2014/chart" uri="{C3380CC4-5D6E-409C-BE32-E72D297353CC}">
                <c16:uniqueId val="{00000140-70B2-4DFE-9551-26E73ED02027}"/>
              </c:ext>
            </c:extLst>
          </c:dPt>
          <c:dPt>
            <c:idx val="7"/>
            <c:invertIfNegative val="0"/>
            <c:bubble3D val="0"/>
            <c:extLst>
              <c:ext xmlns:c16="http://schemas.microsoft.com/office/drawing/2014/chart" uri="{C3380CC4-5D6E-409C-BE32-E72D297353CC}">
                <c16:uniqueId val="{00000141-70B2-4DFE-9551-26E73ED02027}"/>
              </c:ext>
            </c:extLst>
          </c:dPt>
          <c:dPt>
            <c:idx val="8"/>
            <c:invertIfNegative val="0"/>
            <c:bubble3D val="0"/>
            <c:extLst>
              <c:ext xmlns:c16="http://schemas.microsoft.com/office/drawing/2014/chart" uri="{C3380CC4-5D6E-409C-BE32-E72D297353CC}">
                <c16:uniqueId val="{00000142-70B2-4DFE-9551-26E73ED02027}"/>
              </c:ext>
            </c:extLst>
          </c:dPt>
          <c:dPt>
            <c:idx val="9"/>
            <c:invertIfNegative val="0"/>
            <c:bubble3D val="0"/>
            <c:extLst>
              <c:ext xmlns:c16="http://schemas.microsoft.com/office/drawing/2014/chart" uri="{C3380CC4-5D6E-409C-BE32-E72D297353CC}">
                <c16:uniqueId val="{00000143-70B2-4DFE-9551-26E73ED02027}"/>
              </c:ext>
            </c:extLst>
          </c:dPt>
          <c:dPt>
            <c:idx val="10"/>
            <c:invertIfNegative val="0"/>
            <c:bubble3D val="0"/>
            <c:extLst>
              <c:ext xmlns:c16="http://schemas.microsoft.com/office/drawing/2014/chart" uri="{C3380CC4-5D6E-409C-BE32-E72D297353CC}">
                <c16:uniqueId val="{00000144-70B2-4DFE-9551-26E73ED02027}"/>
              </c:ext>
            </c:extLst>
          </c:dPt>
          <c:dPt>
            <c:idx val="11"/>
            <c:invertIfNegative val="0"/>
            <c:bubble3D val="0"/>
            <c:extLst>
              <c:ext xmlns:c16="http://schemas.microsoft.com/office/drawing/2014/chart" uri="{C3380CC4-5D6E-409C-BE32-E72D297353CC}">
                <c16:uniqueId val="{00000145-70B2-4DFE-9551-26E73ED02027}"/>
              </c:ext>
            </c:extLst>
          </c:dPt>
          <c:dPt>
            <c:idx val="12"/>
            <c:invertIfNegative val="0"/>
            <c:bubble3D val="0"/>
            <c:extLst>
              <c:ext xmlns:c16="http://schemas.microsoft.com/office/drawing/2014/chart" uri="{C3380CC4-5D6E-409C-BE32-E72D297353CC}">
                <c16:uniqueId val="{00000146-70B2-4DFE-9551-26E73ED02027}"/>
              </c:ext>
            </c:extLst>
          </c:dPt>
          <c:dPt>
            <c:idx val="13"/>
            <c:invertIfNegative val="0"/>
            <c:bubble3D val="0"/>
            <c:extLst>
              <c:ext xmlns:c16="http://schemas.microsoft.com/office/drawing/2014/chart" uri="{C3380CC4-5D6E-409C-BE32-E72D297353CC}">
                <c16:uniqueId val="{00000147-70B2-4DFE-9551-26E73ED02027}"/>
              </c:ext>
            </c:extLst>
          </c:dPt>
          <c:dPt>
            <c:idx val="14"/>
            <c:invertIfNegative val="0"/>
            <c:bubble3D val="0"/>
            <c:extLst>
              <c:ext xmlns:c16="http://schemas.microsoft.com/office/drawing/2014/chart" uri="{C3380CC4-5D6E-409C-BE32-E72D297353CC}">
                <c16:uniqueId val="{00000148-70B2-4DFE-9551-26E73ED02027}"/>
              </c:ext>
            </c:extLst>
          </c:dPt>
          <c:dPt>
            <c:idx val="15"/>
            <c:invertIfNegative val="0"/>
            <c:bubble3D val="0"/>
            <c:extLst>
              <c:ext xmlns:c16="http://schemas.microsoft.com/office/drawing/2014/chart" uri="{C3380CC4-5D6E-409C-BE32-E72D297353CC}">
                <c16:uniqueId val="{00000149-70B2-4DFE-9551-26E73ED02027}"/>
              </c:ext>
            </c:extLst>
          </c:dPt>
          <c:dPt>
            <c:idx val="16"/>
            <c:invertIfNegative val="0"/>
            <c:bubble3D val="0"/>
            <c:extLst>
              <c:ext xmlns:c16="http://schemas.microsoft.com/office/drawing/2014/chart" uri="{C3380CC4-5D6E-409C-BE32-E72D297353CC}">
                <c16:uniqueId val="{0000014A-70B2-4DFE-9551-26E73ED02027}"/>
              </c:ext>
            </c:extLst>
          </c:dPt>
          <c:dPt>
            <c:idx val="17"/>
            <c:invertIfNegative val="0"/>
            <c:bubble3D val="0"/>
            <c:extLst>
              <c:ext xmlns:c16="http://schemas.microsoft.com/office/drawing/2014/chart" uri="{C3380CC4-5D6E-409C-BE32-E72D297353CC}">
                <c16:uniqueId val="{0000014B-70B2-4DFE-9551-26E73ED02027}"/>
              </c:ext>
            </c:extLst>
          </c:dPt>
          <c:dPt>
            <c:idx val="18"/>
            <c:invertIfNegative val="0"/>
            <c:bubble3D val="0"/>
            <c:extLst>
              <c:ext xmlns:c16="http://schemas.microsoft.com/office/drawing/2014/chart" uri="{C3380CC4-5D6E-409C-BE32-E72D297353CC}">
                <c16:uniqueId val="{0000014C-70B2-4DFE-9551-26E73ED02027}"/>
              </c:ext>
            </c:extLst>
          </c:dPt>
          <c:dPt>
            <c:idx val="19"/>
            <c:invertIfNegative val="0"/>
            <c:bubble3D val="0"/>
            <c:extLst>
              <c:ext xmlns:c16="http://schemas.microsoft.com/office/drawing/2014/chart" uri="{C3380CC4-5D6E-409C-BE32-E72D297353CC}">
                <c16:uniqueId val="{0000014D-70B2-4DFE-9551-26E73ED02027}"/>
              </c:ext>
            </c:extLst>
          </c:dPt>
          <c:dPt>
            <c:idx val="20"/>
            <c:invertIfNegative val="0"/>
            <c:bubble3D val="0"/>
            <c:extLst>
              <c:ext xmlns:c16="http://schemas.microsoft.com/office/drawing/2014/chart" uri="{C3380CC4-5D6E-409C-BE32-E72D297353CC}">
                <c16:uniqueId val="{0000014E-70B2-4DFE-9551-26E73ED02027}"/>
              </c:ext>
            </c:extLst>
          </c:dPt>
          <c:dPt>
            <c:idx val="21"/>
            <c:invertIfNegative val="0"/>
            <c:bubble3D val="0"/>
            <c:extLst>
              <c:ext xmlns:c16="http://schemas.microsoft.com/office/drawing/2014/chart" uri="{C3380CC4-5D6E-409C-BE32-E72D297353CC}">
                <c16:uniqueId val="{0000014F-70B2-4DFE-9551-26E73ED02027}"/>
              </c:ext>
            </c:extLst>
          </c:dPt>
          <c:dPt>
            <c:idx val="22"/>
            <c:invertIfNegative val="0"/>
            <c:bubble3D val="0"/>
            <c:extLst>
              <c:ext xmlns:c16="http://schemas.microsoft.com/office/drawing/2014/chart" uri="{C3380CC4-5D6E-409C-BE32-E72D297353CC}">
                <c16:uniqueId val="{00000150-70B2-4DFE-9551-26E73ED02027}"/>
              </c:ext>
            </c:extLst>
          </c:dPt>
          <c:dPt>
            <c:idx val="23"/>
            <c:invertIfNegative val="0"/>
            <c:bubble3D val="0"/>
            <c:extLst>
              <c:ext xmlns:c16="http://schemas.microsoft.com/office/drawing/2014/chart" uri="{C3380CC4-5D6E-409C-BE32-E72D297353CC}">
                <c16:uniqueId val="{00000151-70B2-4DFE-9551-26E73ED02027}"/>
              </c:ext>
            </c:extLst>
          </c:dPt>
          <c:dPt>
            <c:idx val="24"/>
            <c:invertIfNegative val="0"/>
            <c:bubble3D val="0"/>
            <c:extLst>
              <c:ext xmlns:c16="http://schemas.microsoft.com/office/drawing/2014/chart" uri="{C3380CC4-5D6E-409C-BE32-E72D297353CC}">
                <c16:uniqueId val="{00000152-70B2-4DFE-9551-26E73ED02027}"/>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Data'!$B$3:$W$3</c:f>
              <c:numCache>
                <c:formatCode>#,##0_ ;\-#,##0\ </c:formatCode>
                <c:ptCount val="22"/>
                <c:pt idx="0">
                  <c:v>0</c:v>
                </c:pt>
                <c:pt idx="1">
                  <c:v>0</c:v>
                </c:pt>
                <c:pt idx="2">
                  <c:v>0</c:v>
                </c:pt>
                <c:pt idx="3">
                  <c:v>0</c:v>
                </c:pt>
                <c:pt idx="4">
                  <c:v>-1800</c:v>
                </c:pt>
                <c:pt idx="5">
                  <c:v>-1800</c:v>
                </c:pt>
                <c:pt idx="6">
                  <c:v>-1800</c:v>
                </c:pt>
                <c:pt idx="7">
                  <c:v>-1800</c:v>
                </c:pt>
                <c:pt idx="8">
                  <c:v>-2165</c:v>
                </c:pt>
                <c:pt idx="9">
                  <c:v>-2165</c:v>
                </c:pt>
                <c:pt idx="10">
                  <c:v>-3485</c:v>
                </c:pt>
                <c:pt idx="11">
                  <c:v>-5165</c:v>
                </c:pt>
                <c:pt idx="12">
                  <c:v>-5165</c:v>
                </c:pt>
                <c:pt idx="13">
                  <c:v>-5165</c:v>
                </c:pt>
                <c:pt idx="14">
                  <c:v>-5165</c:v>
                </c:pt>
                <c:pt idx="15">
                  <c:v>-5165</c:v>
                </c:pt>
                <c:pt idx="16">
                  <c:v>-8045</c:v>
                </c:pt>
                <c:pt idx="17">
                  <c:v>-10685</c:v>
                </c:pt>
                <c:pt idx="18">
                  <c:v>-12085</c:v>
                </c:pt>
                <c:pt idx="19">
                  <c:v>-12085</c:v>
                </c:pt>
                <c:pt idx="20">
                  <c:v>-12785</c:v>
                </c:pt>
                <c:pt idx="21">
                  <c:v>-12785</c:v>
                </c:pt>
              </c:numCache>
            </c:numRef>
          </c:val>
          <c:extLst>
            <c:ext xmlns:c16="http://schemas.microsoft.com/office/drawing/2014/chart" uri="{C3380CC4-5D6E-409C-BE32-E72D297353CC}">
              <c16:uniqueId val="{00000153-70B2-4DFE-9551-26E73ED02027}"/>
            </c:ext>
          </c:extLst>
        </c:ser>
        <c:ser>
          <c:idx val="1"/>
          <c:order val="1"/>
          <c:tx>
            <c:strRef>
              <c:f>'NewAndRetiredCapacity Data'!$A$4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155-70B2-4DFE-9551-26E73ED02027}"/>
              </c:ext>
            </c:extLst>
          </c:dPt>
          <c:dPt>
            <c:idx val="1"/>
            <c:invertIfNegative val="0"/>
            <c:bubble3D val="0"/>
            <c:extLst>
              <c:ext xmlns:c16="http://schemas.microsoft.com/office/drawing/2014/chart" uri="{C3380CC4-5D6E-409C-BE32-E72D297353CC}">
                <c16:uniqueId val="{00000156-70B2-4DFE-9551-26E73ED02027}"/>
              </c:ext>
            </c:extLst>
          </c:dPt>
          <c:dPt>
            <c:idx val="2"/>
            <c:invertIfNegative val="0"/>
            <c:bubble3D val="0"/>
            <c:extLst>
              <c:ext xmlns:c16="http://schemas.microsoft.com/office/drawing/2014/chart" uri="{C3380CC4-5D6E-409C-BE32-E72D297353CC}">
                <c16:uniqueId val="{00000157-70B2-4DFE-9551-26E73ED02027}"/>
              </c:ext>
            </c:extLst>
          </c:dPt>
          <c:dPt>
            <c:idx val="3"/>
            <c:invertIfNegative val="0"/>
            <c:bubble3D val="0"/>
            <c:extLst>
              <c:ext xmlns:c16="http://schemas.microsoft.com/office/drawing/2014/chart" uri="{C3380CC4-5D6E-409C-BE32-E72D297353CC}">
                <c16:uniqueId val="{00000158-70B2-4DFE-9551-26E73ED02027}"/>
              </c:ext>
            </c:extLst>
          </c:dPt>
          <c:dPt>
            <c:idx val="4"/>
            <c:invertIfNegative val="0"/>
            <c:bubble3D val="0"/>
            <c:extLst>
              <c:ext xmlns:c16="http://schemas.microsoft.com/office/drawing/2014/chart" uri="{C3380CC4-5D6E-409C-BE32-E72D297353CC}">
                <c16:uniqueId val="{00000159-70B2-4DFE-9551-26E73ED02027}"/>
              </c:ext>
            </c:extLst>
          </c:dPt>
          <c:dPt>
            <c:idx val="5"/>
            <c:invertIfNegative val="0"/>
            <c:bubble3D val="0"/>
            <c:extLst>
              <c:ext xmlns:c16="http://schemas.microsoft.com/office/drawing/2014/chart" uri="{C3380CC4-5D6E-409C-BE32-E72D297353CC}">
                <c16:uniqueId val="{0000015A-70B2-4DFE-9551-26E73ED02027}"/>
              </c:ext>
            </c:extLst>
          </c:dPt>
          <c:dPt>
            <c:idx val="6"/>
            <c:invertIfNegative val="0"/>
            <c:bubble3D val="0"/>
            <c:extLst>
              <c:ext xmlns:c16="http://schemas.microsoft.com/office/drawing/2014/chart" uri="{C3380CC4-5D6E-409C-BE32-E72D297353CC}">
                <c16:uniqueId val="{0000015B-70B2-4DFE-9551-26E73ED02027}"/>
              </c:ext>
            </c:extLst>
          </c:dPt>
          <c:dPt>
            <c:idx val="7"/>
            <c:invertIfNegative val="0"/>
            <c:bubble3D val="0"/>
            <c:extLst>
              <c:ext xmlns:c16="http://schemas.microsoft.com/office/drawing/2014/chart" uri="{C3380CC4-5D6E-409C-BE32-E72D297353CC}">
                <c16:uniqueId val="{0000015C-70B2-4DFE-9551-26E73ED02027}"/>
              </c:ext>
            </c:extLst>
          </c:dPt>
          <c:dPt>
            <c:idx val="8"/>
            <c:invertIfNegative val="0"/>
            <c:bubble3D val="0"/>
            <c:extLst>
              <c:ext xmlns:c16="http://schemas.microsoft.com/office/drawing/2014/chart" uri="{C3380CC4-5D6E-409C-BE32-E72D297353CC}">
                <c16:uniqueId val="{0000015D-70B2-4DFE-9551-26E73ED02027}"/>
              </c:ext>
            </c:extLst>
          </c:dPt>
          <c:dPt>
            <c:idx val="9"/>
            <c:invertIfNegative val="0"/>
            <c:bubble3D val="0"/>
            <c:extLst>
              <c:ext xmlns:c16="http://schemas.microsoft.com/office/drawing/2014/chart" uri="{C3380CC4-5D6E-409C-BE32-E72D297353CC}">
                <c16:uniqueId val="{0000015E-70B2-4DFE-9551-26E73ED02027}"/>
              </c:ext>
            </c:extLst>
          </c:dPt>
          <c:dPt>
            <c:idx val="10"/>
            <c:invertIfNegative val="0"/>
            <c:bubble3D val="0"/>
            <c:extLst>
              <c:ext xmlns:c16="http://schemas.microsoft.com/office/drawing/2014/chart" uri="{C3380CC4-5D6E-409C-BE32-E72D297353CC}">
                <c16:uniqueId val="{0000015F-70B2-4DFE-9551-26E73ED02027}"/>
              </c:ext>
            </c:extLst>
          </c:dPt>
          <c:dPt>
            <c:idx val="11"/>
            <c:invertIfNegative val="0"/>
            <c:bubble3D val="0"/>
            <c:extLst>
              <c:ext xmlns:c16="http://schemas.microsoft.com/office/drawing/2014/chart" uri="{C3380CC4-5D6E-409C-BE32-E72D297353CC}">
                <c16:uniqueId val="{00000160-70B2-4DFE-9551-26E73ED02027}"/>
              </c:ext>
            </c:extLst>
          </c:dPt>
          <c:dPt>
            <c:idx val="12"/>
            <c:invertIfNegative val="0"/>
            <c:bubble3D val="0"/>
            <c:extLst>
              <c:ext xmlns:c16="http://schemas.microsoft.com/office/drawing/2014/chart" uri="{C3380CC4-5D6E-409C-BE32-E72D297353CC}">
                <c16:uniqueId val="{00000161-70B2-4DFE-9551-26E73ED02027}"/>
              </c:ext>
            </c:extLst>
          </c:dPt>
          <c:dPt>
            <c:idx val="13"/>
            <c:invertIfNegative val="0"/>
            <c:bubble3D val="0"/>
            <c:extLst>
              <c:ext xmlns:c16="http://schemas.microsoft.com/office/drawing/2014/chart" uri="{C3380CC4-5D6E-409C-BE32-E72D297353CC}">
                <c16:uniqueId val="{00000162-70B2-4DFE-9551-26E73ED02027}"/>
              </c:ext>
            </c:extLst>
          </c:dPt>
          <c:dPt>
            <c:idx val="14"/>
            <c:invertIfNegative val="0"/>
            <c:bubble3D val="0"/>
            <c:extLst>
              <c:ext xmlns:c16="http://schemas.microsoft.com/office/drawing/2014/chart" uri="{C3380CC4-5D6E-409C-BE32-E72D297353CC}">
                <c16:uniqueId val="{00000163-70B2-4DFE-9551-26E73ED02027}"/>
              </c:ext>
            </c:extLst>
          </c:dPt>
          <c:dPt>
            <c:idx val="15"/>
            <c:invertIfNegative val="0"/>
            <c:bubble3D val="0"/>
            <c:extLst>
              <c:ext xmlns:c16="http://schemas.microsoft.com/office/drawing/2014/chart" uri="{C3380CC4-5D6E-409C-BE32-E72D297353CC}">
                <c16:uniqueId val="{00000164-70B2-4DFE-9551-26E73ED02027}"/>
              </c:ext>
            </c:extLst>
          </c:dPt>
          <c:dPt>
            <c:idx val="16"/>
            <c:invertIfNegative val="0"/>
            <c:bubble3D val="0"/>
            <c:extLst>
              <c:ext xmlns:c16="http://schemas.microsoft.com/office/drawing/2014/chart" uri="{C3380CC4-5D6E-409C-BE32-E72D297353CC}">
                <c16:uniqueId val="{00000165-70B2-4DFE-9551-26E73ED02027}"/>
              </c:ext>
            </c:extLst>
          </c:dPt>
          <c:dPt>
            <c:idx val="17"/>
            <c:invertIfNegative val="0"/>
            <c:bubble3D val="0"/>
            <c:extLst>
              <c:ext xmlns:c16="http://schemas.microsoft.com/office/drawing/2014/chart" uri="{C3380CC4-5D6E-409C-BE32-E72D297353CC}">
                <c16:uniqueId val="{00000166-70B2-4DFE-9551-26E73ED02027}"/>
              </c:ext>
            </c:extLst>
          </c:dPt>
          <c:dPt>
            <c:idx val="18"/>
            <c:invertIfNegative val="0"/>
            <c:bubble3D val="0"/>
            <c:extLst>
              <c:ext xmlns:c16="http://schemas.microsoft.com/office/drawing/2014/chart" uri="{C3380CC4-5D6E-409C-BE32-E72D297353CC}">
                <c16:uniqueId val="{00000167-70B2-4DFE-9551-26E73ED02027}"/>
              </c:ext>
            </c:extLst>
          </c:dPt>
          <c:dPt>
            <c:idx val="19"/>
            <c:invertIfNegative val="0"/>
            <c:bubble3D val="0"/>
            <c:extLst>
              <c:ext xmlns:c16="http://schemas.microsoft.com/office/drawing/2014/chart" uri="{C3380CC4-5D6E-409C-BE32-E72D297353CC}">
                <c16:uniqueId val="{00000168-70B2-4DFE-9551-26E73ED02027}"/>
              </c:ext>
            </c:extLst>
          </c:dPt>
          <c:dPt>
            <c:idx val="20"/>
            <c:invertIfNegative val="0"/>
            <c:bubble3D val="0"/>
            <c:extLst>
              <c:ext xmlns:c16="http://schemas.microsoft.com/office/drawing/2014/chart" uri="{C3380CC4-5D6E-409C-BE32-E72D297353CC}">
                <c16:uniqueId val="{00000169-70B2-4DFE-9551-26E73ED02027}"/>
              </c:ext>
            </c:extLst>
          </c:dPt>
          <c:dPt>
            <c:idx val="21"/>
            <c:invertIfNegative val="0"/>
            <c:bubble3D val="0"/>
            <c:extLst>
              <c:ext xmlns:c16="http://schemas.microsoft.com/office/drawing/2014/chart" uri="{C3380CC4-5D6E-409C-BE32-E72D297353CC}">
                <c16:uniqueId val="{0000016A-70B2-4DFE-9551-26E73ED02027}"/>
              </c:ext>
            </c:extLst>
          </c:dPt>
          <c:dPt>
            <c:idx val="22"/>
            <c:invertIfNegative val="0"/>
            <c:bubble3D val="0"/>
            <c:extLst>
              <c:ext xmlns:c16="http://schemas.microsoft.com/office/drawing/2014/chart" uri="{C3380CC4-5D6E-409C-BE32-E72D297353CC}">
                <c16:uniqueId val="{0000016B-70B2-4DFE-9551-26E73ED02027}"/>
              </c:ext>
            </c:extLst>
          </c:dPt>
          <c:dPt>
            <c:idx val="23"/>
            <c:invertIfNegative val="0"/>
            <c:bubble3D val="0"/>
            <c:extLst>
              <c:ext xmlns:c16="http://schemas.microsoft.com/office/drawing/2014/chart" uri="{C3380CC4-5D6E-409C-BE32-E72D297353CC}">
                <c16:uniqueId val="{0000016C-70B2-4DFE-9551-26E73ED02027}"/>
              </c:ext>
            </c:extLst>
          </c:dPt>
          <c:dPt>
            <c:idx val="24"/>
            <c:invertIfNegative val="0"/>
            <c:bubble3D val="0"/>
            <c:extLst>
              <c:ext xmlns:c16="http://schemas.microsoft.com/office/drawing/2014/chart" uri="{C3380CC4-5D6E-409C-BE32-E72D297353CC}">
                <c16:uniqueId val="{0000016D-70B2-4DFE-9551-26E73ED02027}"/>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Data'!$B$4:$W$4</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-1528</c:v>
                </c:pt>
                <c:pt idx="15">
                  <c:v>-1528</c:v>
                </c:pt>
                <c:pt idx="16">
                  <c:v>-1528</c:v>
                </c:pt>
                <c:pt idx="17">
                  <c:v>-1528</c:v>
                </c:pt>
                <c:pt idx="18">
                  <c:v>-1528</c:v>
                </c:pt>
                <c:pt idx="19">
                  <c:v>-1528</c:v>
                </c:pt>
                <c:pt idx="20">
                  <c:v>-1528</c:v>
                </c:pt>
                <c:pt idx="21">
                  <c:v>-1528</c:v>
                </c:pt>
              </c:numCache>
            </c:numRef>
          </c:val>
          <c:extLst>
            <c:ext xmlns:c16="http://schemas.microsoft.com/office/drawing/2014/chart" uri="{C3380CC4-5D6E-409C-BE32-E72D297353CC}">
              <c16:uniqueId val="{0000016E-70B2-4DFE-9551-26E73ED02027}"/>
            </c:ext>
          </c:extLst>
        </c:ser>
        <c:ser>
          <c:idx val="2"/>
          <c:order val="2"/>
          <c:tx>
            <c:strRef>
              <c:f>'NewAndRetiredCapacity Data'!$A$5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170-70B2-4DFE-9551-26E73ED02027}"/>
              </c:ext>
            </c:extLst>
          </c:dPt>
          <c:dPt>
            <c:idx val="1"/>
            <c:invertIfNegative val="0"/>
            <c:bubble3D val="0"/>
            <c:extLst>
              <c:ext xmlns:c16="http://schemas.microsoft.com/office/drawing/2014/chart" uri="{C3380CC4-5D6E-409C-BE32-E72D297353CC}">
                <c16:uniqueId val="{00000171-70B2-4DFE-9551-26E73ED02027}"/>
              </c:ext>
            </c:extLst>
          </c:dPt>
          <c:dPt>
            <c:idx val="2"/>
            <c:invertIfNegative val="0"/>
            <c:bubble3D val="0"/>
            <c:extLst>
              <c:ext xmlns:c16="http://schemas.microsoft.com/office/drawing/2014/chart" uri="{C3380CC4-5D6E-409C-BE32-E72D297353CC}">
                <c16:uniqueId val="{00000172-70B2-4DFE-9551-26E73ED02027}"/>
              </c:ext>
            </c:extLst>
          </c:dPt>
          <c:dPt>
            <c:idx val="3"/>
            <c:invertIfNegative val="0"/>
            <c:bubble3D val="0"/>
            <c:extLst>
              <c:ext xmlns:c16="http://schemas.microsoft.com/office/drawing/2014/chart" uri="{C3380CC4-5D6E-409C-BE32-E72D297353CC}">
                <c16:uniqueId val="{00000173-70B2-4DFE-9551-26E73ED02027}"/>
              </c:ext>
            </c:extLst>
          </c:dPt>
          <c:dPt>
            <c:idx val="4"/>
            <c:invertIfNegative val="0"/>
            <c:bubble3D val="0"/>
            <c:extLst>
              <c:ext xmlns:c16="http://schemas.microsoft.com/office/drawing/2014/chart" uri="{C3380CC4-5D6E-409C-BE32-E72D297353CC}">
                <c16:uniqueId val="{00000174-70B2-4DFE-9551-26E73ED02027}"/>
              </c:ext>
            </c:extLst>
          </c:dPt>
          <c:dPt>
            <c:idx val="5"/>
            <c:invertIfNegative val="0"/>
            <c:bubble3D val="0"/>
            <c:extLst>
              <c:ext xmlns:c16="http://schemas.microsoft.com/office/drawing/2014/chart" uri="{C3380CC4-5D6E-409C-BE32-E72D297353CC}">
                <c16:uniqueId val="{00000175-70B2-4DFE-9551-26E73ED02027}"/>
              </c:ext>
            </c:extLst>
          </c:dPt>
          <c:dPt>
            <c:idx val="6"/>
            <c:invertIfNegative val="0"/>
            <c:bubble3D val="0"/>
            <c:extLst>
              <c:ext xmlns:c16="http://schemas.microsoft.com/office/drawing/2014/chart" uri="{C3380CC4-5D6E-409C-BE32-E72D297353CC}">
                <c16:uniqueId val="{00000176-70B2-4DFE-9551-26E73ED02027}"/>
              </c:ext>
            </c:extLst>
          </c:dPt>
          <c:dPt>
            <c:idx val="7"/>
            <c:invertIfNegative val="0"/>
            <c:bubble3D val="0"/>
            <c:extLst>
              <c:ext xmlns:c16="http://schemas.microsoft.com/office/drawing/2014/chart" uri="{C3380CC4-5D6E-409C-BE32-E72D297353CC}">
                <c16:uniqueId val="{00000177-70B2-4DFE-9551-26E73ED02027}"/>
              </c:ext>
            </c:extLst>
          </c:dPt>
          <c:dPt>
            <c:idx val="8"/>
            <c:invertIfNegative val="0"/>
            <c:bubble3D val="0"/>
            <c:extLst>
              <c:ext xmlns:c16="http://schemas.microsoft.com/office/drawing/2014/chart" uri="{C3380CC4-5D6E-409C-BE32-E72D297353CC}">
                <c16:uniqueId val="{00000178-70B2-4DFE-9551-26E73ED02027}"/>
              </c:ext>
            </c:extLst>
          </c:dPt>
          <c:dPt>
            <c:idx val="9"/>
            <c:invertIfNegative val="0"/>
            <c:bubble3D val="0"/>
            <c:extLst>
              <c:ext xmlns:c16="http://schemas.microsoft.com/office/drawing/2014/chart" uri="{C3380CC4-5D6E-409C-BE32-E72D297353CC}">
                <c16:uniqueId val="{00000179-70B2-4DFE-9551-26E73ED02027}"/>
              </c:ext>
            </c:extLst>
          </c:dPt>
          <c:dPt>
            <c:idx val="10"/>
            <c:invertIfNegative val="0"/>
            <c:bubble3D val="0"/>
            <c:extLst>
              <c:ext xmlns:c16="http://schemas.microsoft.com/office/drawing/2014/chart" uri="{C3380CC4-5D6E-409C-BE32-E72D297353CC}">
                <c16:uniqueId val="{0000017A-70B2-4DFE-9551-26E73ED02027}"/>
              </c:ext>
            </c:extLst>
          </c:dPt>
          <c:dPt>
            <c:idx val="11"/>
            <c:invertIfNegative val="0"/>
            <c:bubble3D val="0"/>
            <c:extLst>
              <c:ext xmlns:c16="http://schemas.microsoft.com/office/drawing/2014/chart" uri="{C3380CC4-5D6E-409C-BE32-E72D297353CC}">
                <c16:uniqueId val="{0000017B-70B2-4DFE-9551-26E73ED02027}"/>
              </c:ext>
            </c:extLst>
          </c:dPt>
          <c:dPt>
            <c:idx val="12"/>
            <c:invertIfNegative val="0"/>
            <c:bubble3D val="0"/>
            <c:extLst>
              <c:ext xmlns:c16="http://schemas.microsoft.com/office/drawing/2014/chart" uri="{C3380CC4-5D6E-409C-BE32-E72D297353CC}">
                <c16:uniqueId val="{0000017C-70B2-4DFE-9551-26E73ED02027}"/>
              </c:ext>
            </c:extLst>
          </c:dPt>
          <c:dPt>
            <c:idx val="13"/>
            <c:invertIfNegative val="0"/>
            <c:bubble3D val="0"/>
            <c:extLst>
              <c:ext xmlns:c16="http://schemas.microsoft.com/office/drawing/2014/chart" uri="{C3380CC4-5D6E-409C-BE32-E72D297353CC}">
                <c16:uniqueId val="{0000017D-70B2-4DFE-9551-26E73ED02027}"/>
              </c:ext>
            </c:extLst>
          </c:dPt>
          <c:dPt>
            <c:idx val="14"/>
            <c:invertIfNegative val="0"/>
            <c:bubble3D val="0"/>
            <c:extLst>
              <c:ext xmlns:c16="http://schemas.microsoft.com/office/drawing/2014/chart" uri="{C3380CC4-5D6E-409C-BE32-E72D297353CC}">
                <c16:uniqueId val="{0000017E-70B2-4DFE-9551-26E73ED02027}"/>
              </c:ext>
            </c:extLst>
          </c:dPt>
          <c:dPt>
            <c:idx val="15"/>
            <c:invertIfNegative val="0"/>
            <c:bubble3D val="0"/>
            <c:extLst>
              <c:ext xmlns:c16="http://schemas.microsoft.com/office/drawing/2014/chart" uri="{C3380CC4-5D6E-409C-BE32-E72D297353CC}">
                <c16:uniqueId val="{0000017F-70B2-4DFE-9551-26E73ED02027}"/>
              </c:ext>
            </c:extLst>
          </c:dPt>
          <c:dPt>
            <c:idx val="16"/>
            <c:invertIfNegative val="0"/>
            <c:bubble3D val="0"/>
            <c:extLst>
              <c:ext xmlns:c16="http://schemas.microsoft.com/office/drawing/2014/chart" uri="{C3380CC4-5D6E-409C-BE32-E72D297353CC}">
                <c16:uniqueId val="{00000180-70B2-4DFE-9551-26E73ED02027}"/>
              </c:ext>
            </c:extLst>
          </c:dPt>
          <c:dPt>
            <c:idx val="17"/>
            <c:invertIfNegative val="0"/>
            <c:bubble3D val="0"/>
            <c:extLst>
              <c:ext xmlns:c16="http://schemas.microsoft.com/office/drawing/2014/chart" uri="{C3380CC4-5D6E-409C-BE32-E72D297353CC}">
                <c16:uniqueId val="{00000181-70B2-4DFE-9551-26E73ED02027}"/>
              </c:ext>
            </c:extLst>
          </c:dPt>
          <c:dPt>
            <c:idx val="18"/>
            <c:invertIfNegative val="0"/>
            <c:bubble3D val="0"/>
            <c:extLst>
              <c:ext xmlns:c16="http://schemas.microsoft.com/office/drawing/2014/chart" uri="{C3380CC4-5D6E-409C-BE32-E72D297353CC}">
                <c16:uniqueId val="{00000182-70B2-4DFE-9551-26E73ED02027}"/>
              </c:ext>
            </c:extLst>
          </c:dPt>
          <c:dPt>
            <c:idx val="19"/>
            <c:invertIfNegative val="0"/>
            <c:bubble3D val="0"/>
            <c:extLst>
              <c:ext xmlns:c16="http://schemas.microsoft.com/office/drawing/2014/chart" uri="{C3380CC4-5D6E-409C-BE32-E72D297353CC}">
                <c16:uniqueId val="{00000183-70B2-4DFE-9551-26E73ED02027}"/>
              </c:ext>
            </c:extLst>
          </c:dPt>
          <c:dPt>
            <c:idx val="20"/>
            <c:invertIfNegative val="0"/>
            <c:bubble3D val="0"/>
            <c:extLst>
              <c:ext xmlns:c16="http://schemas.microsoft.com/office/drawing/2014/chart" uri="{C3380CC4-5D6E-409C-BE32-E72D297353CC}">
                <c16:uniqueId val="{00000184-70B2-4DFE-9551-26E73ED02027}"/>
              </c:ext>
            </c:extLst>
          </c:dPt>
          <c:dPt>
            <c:idx val="21"/>
            <c:invertIfNegative val="0"/>
            <c:bubble3D val="0"/>
            <c:extLst>
              <c:ext xmlns:c16="http://schemas.microsoft.com/office/drawing/2014/chart" uri="{C3380CC4-5D6E-409C-BE32-E72D297353CC}">
                <c16:uniqueId val="{00000185-70B2-4DFE-9551-26E73ED02027}"/>
              </c:ext>
            </c:extLst>
          </c:dPt>
          <c:dPt>
            <c:idx val="22"/>
            <c:invertIfNegative val="0"/>
            <c:bubble3D val="0"/>
            <c:extLst>
              <c:ext xmlns:c16="http://schemas.microsoft.com/office/drawing/2014/chart" uri="{C3380CC4-5D6E-409C-BE32-E72D297353CC}">
                <c16:uniqueId val="{00000186-70B2-4DFE-9551-26E73ED02027}"/>
              </c:ext>
            </c:extLst>
          </c:dPt>
          <c:dPt>
            <c:idx val="23"/>
            <c:invertIfNegative val="0"/>
            <c:bubble3D val="0"/>
            <c:extLst>
              <c:ext xmlns:c16="http://schemas.microsoft.com/office/drawing/2014/chart" uri="{C3380CC4-5D6E-409C-BE32-E72D297353CC}">
                <c16:uniqueId val="{00000187-70B2-4DFE-9551-26E73ED02027}"/>
              </c:ext>
            </c:extLst>
          </c:dPt>
          <c:dPt>
            <c:idx val="24"/>
            <c:invertIfNegative val="0"/>
            <c:bubble3D val="0"/>
            <c:extLst>
              <c:ext xmlns:c16="http://schemas.microsoft.com/office/drawing/2014/chart" uri="{C3380CC4-5D6E-409C-BE32-E72D297353CC}">
                <c16:uniqueId val="{00000188-70B2-4DFE-9551-26E73ED02027}"/>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Data'!$B$5:$W$5</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189-70B2-4DFE-9551-26E73ED02027}"/>
            </c:ext>
          </c:extLst>
        </c:ser>
        <c:ser>
          <c:idx val="3"/>
          <c:order val="3"/>
          <c:tx>
            <c:strRef>
              <c:f>'NewAndRetiredCapacity Data'!$A$6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18B-70B2-4DFE-9551-26E73ED02027}"/>
              </c:ext>
            </c:extLst>
          </c:dPt>
          <c:dPt>
            <c:idx val="1"/>
            <c:invertIfNegative val="0"/>
            <c:bubble3D val="0"/>
            <c:extLst>
              <c:ext xmlns:c16="http://schemas.microsoft.com/office/drawing/2014/chart" uri="{C3380CC4-5D6E-409C-BE32-E72D297353CC}">
                <c16:uniqueId val="{0000018C-70B2-4DFE-9551-26E73ED02027}"/>
              </c:ext>
            </c:extLst>
          </c:dPt>
          <c:dPt>
            <c:idx val="2"/>
            <c:invertIfNegative val="0"/>
            <c:bubble3D val="0"/>
            <c:extLst>
              <c:ext xmlns:c16="http://schemas.microsoft.com/office/drawing/2014/chart" uri="{C3380CC4-5D6E-409C-BE32-E72D297353CC}">
                <c16:uniqueId val="{0000018D-70B2-4DFE-9551-26E73ED02027}"/>
              </c:ext>
            </c:extLst>
          </c:dPt>
          <c:dPt>
            <c:idx val="3"/>
            <c:invertIfNegative val="0"/>
            <c:bubble3D val="0"/>
            <c:extLst>
              <c:ext xmlns:c16="http://schemas.microsoft.com/office/drawing/2014/chart" uri="{C3380CC4-5D6E-409C-BE32-E72D297353CC}">
                <c16:uniqueId val="{0000018E-70B2-4DFE-9551-26E73ED02027}"/>
              </c:ext>
            </c:extLst>
          </c:dPt>
          <c:dPt>
            <c:idx val="4"/>
            <c:invertIfNegative val="0"/>
            <c:bubble3D val="0"/>
            <c:extLst>
              <c:ext xmlns:c16="http://schemas.microsoft.com/office/drawing/2014/chart" uri="{C3380CC4-5D6E-409C-BE32-E72D297353CC}">
                <c16:uniqueId val="{0000018F-70B2-4DFE-9551-26E73ED02027}"/>
              </c:ext>
            </c:extLst>
          </c:dPt>
          <c:dPt>
            <c:idx val="5"/>
            <c:invertIfNegative val="0"/>
            <c:bubble3D val="0"/>
            <c:extLst>
              <c:ext xmlns:c16="http://schemas.microsoft.com/office/drawing/2014/chart" uri="{C3380CC4-5D6E-409C-BE32-E72D297353CC}">
                <c16:uniqueId val="{00000190-70B2-4DFE-9551-26E73ED02027}"/>
              </c:ext>
            </c:extLst>
          </c:dPt>
          <c:dPt>
            <c:idx val="6"/>
            <c:invertIfNegative val="0"/>
            <c:bubble3D val="0"/>
            <c:extLst>
              <c:ext xmlns:c16="http://schemas.microsoft.com/office/drawing/2014/chart" uri="{C3380CC4-5D6E-409C-BE32-E72D297353CC}">
                <c16:uniqueId val="{00000191-70B2-4DFE-9551-26E73ED02027}"/>
              </c:ext>
            </c:extLst>
          </c:dPt>
          <c:dPt>
            <c:idx val="7"/>
            <c:invertIfNegative val="0"/>
            <c:bubble3D val="0"/>
            <c:extLst>
              <c:ext xmlns:c16="http://schemas.microsoft.com/office/drawing/2014/chart" uri="{C3380CC4-5D6E-409C-BE32-E72D297353CC}">
                <c16:uniqueId val="{00000192-70B2-4DFE-9551-26E73ED02027}"/>
              </c:ext>
            </c:extLst>
          </c:dPt>
          <c:dPt>
            <c:idx val="8"/>
            <c:invertIfNegative val="0"/>
            <c:bubble3D val="0"/>
            <c:extLst>
              <c:ext xmlns:c16="http://schemas.microsoft.com/office/drawing/2014/chart" uri="{C3380CC4-5D6E-409C-BE32-E72D297353CC}">
                <c16:uniqueId val="{00000193-70B2-4DFE-9551-26E73ED02027}"/>
              </c:ext>
            </c:extLst>
          </c:dPt>
          <c:dPt>
            <c:idx val="9"/>
            <c:invertIfNegative val="0"/>
            <c:bubble3D val="0"/>
            <c:extLst>
              <c:ext xmlns:c16="http://schemas.microsoft.com/office/drawing/2014/chart" uri="{C3380CC4-5D6E-409C-BE32-E72D297353CC}">
                <c16:uniqueId val="{00000194-70B2-4DFE-9551-26E73ED02027}"/>
              </c:ext>
            </c:extLst>
          </c:dPt>
          <c:dPt>
            <c:idx val="10"/>
            <c:invertIfNegative val="0"/>
            <c:bubble3D val="0"/>
            <c:extLst>
              <c:ext xmlns:c16="http://schemas.microsoft.com/office/drawing/2014/chart" uri="{C3380CC4-5D6E-409C-BE32-E72D297353CC}">
                <c16:uniqueId val="{00000195-70B2-4DFE-9551-26E73ED02027}"/>
              </c:ext>
            </c:extLst>
          </c:dPt>
          <c:dPt>
            <c:idx val="11"/>
            <c:invertIfNegative val="0"/>
            <c:bubble3D val="0"/>
            <c:extLst>
              <c:ext xmlns:c16="http://schemas.microsoft.com/office/drawing/2014/chart" uri="{C3380CC4-5D6E-409C-BE32-E72D297353CC}">
                <c16:uniqueId val="{00000196-70B2-4DFE-9551-26E73ED02027}"/>
              </c:ext>
            </c:extLst>
          </c:dPt>
          <c:dPt>
            <c:idx val="12"/>
            <c:invertIfNegative val="0"/>
            <c:bubble3D val="0"/>
            <c:extLst>
              <c:ext xmlns:c16="http://schemas.microsoft.com/office/drawing/2014/chart" uri="{C3380CC4-5D6E-409C-BE32-E72D297353CC}">
                <c16:uniqueId val="{00000197-70B2-4DFE-9551-26E73ED02027}"/>
              </c:ext>
            </c:extLst>
          </c:dPt>
          <c:dPt>
            <c:idx val="13"/>
            <c:invertIfNegative val="0"/>
            <c:bubble3D val="0"/>
            <c:extLst>
              <c:ext xmlns:c16="http://schemas.microsoft.com/office/drawing/2014/chart" uri="{C3380CC4-5D6E-409C-BE32-E72D297353CC}">
                <c16:uniqueId val="{00000198-70B2-4DFE-9551-26E73ED02027}"/>
              </c:ext>
            </c:extLst>
          </c:dPt>
          <c:dPt>
            <c:idx val="14"/>
            <c:invertIfNegative val="0"/>
            <c:bubble3D val="0"/>
            <c:extLst>
              <c:ext xmlns:c16="http://schemas.microsoft.com/office/drawing/2014/chart" uri="{C3380CC4-5D6E-409C-BE32-E72D297353CC}">
                <c16:uniqueId val="{00000199-70B2-4DFE-9551-26E73ED02027}"/>
              </c:ext>
            </c:extLst>
          </c:dPt>
          <c:dPt>
            <c:idx val="15"/>
            <c:invertIfNegative val="0"/>
            <c:bubble3D val="0"/>
            <c:extLst>
              <c:ext xmlns:c16="http://schemas.microsoft.com/office/drawing/2014/chart" uri="{C3380CC4-5D6E-409C-BE32-E72D297353CC}">
                <c16:uniqueId val="{0000019A-70B2-4DFE-9551-26E73ED02027}"/>
              </c:ext>
            </c:extLst>
          </c:dPt>
          <c:dPt>
            <c:idx val="16"/>
            <c:invertIfNegative val="0"/>
            <c:bubble3D val="0"/>
            <c:extLst>
              <c:ext xmlns:c16="http://schemas.microsoft.com/office/drawing/2014/chart" uri="{C3380CC4-5D6E-409C-BE32-E72D297353CC}">
                <c16:uniqueId val="{0000019B-70B2-4DFE-9551-26E73ED02027}"/>
              </c:ext>
            </c:extLst>
          </c:dPt>
          <c:dPt>
            <c:idx val="17"/>
            <c:invertIfNegative val="0"/>
            <c:bubble3D val="0"/>
            <c:extLst>
              <c:ext xmlns:c16="http://schemas.microsoft.com/office/drawing/2014/chart" uri="{C3380CC4-5D6E-409C-BE32-E72D297353CC}">
                <c16:uniqueId val="{0000019C-70B2-4DFE-9551-26E73ED02027}"/>
              </c:ext>
            </c:extLst>
          </c:dPt>
          <c:dPt>
            <c:idx val="18"/>
            <c:invertIfNegative val="0"/>
            <c:bubble3D val="0"/>
            <c:extLst>
              <c:ext xmlns:c16="http://schemas.microsoft.com/office/drawing/2014/chart" uri="{C3380CC4-5D6E-409C-BE32-E72D297353CC}">
                <c16:uniqueId val="{0000019D-70B2-4DFE-9551-26E73ED02027}"/>
              </c:ext>
            </c:extLst>
          </c:dPt>
          <c:dPt>
            <c:idx val="19"/>
            <c:invertIfNegative val="0"/>
            <c:bubble3D val="0"/>
            <c:extLst>
              <c:ext xmlns:c16="http://schemas.microsoft.com/office/drawing/2014/chart" uri="{C3380CC4-5D6E-409C-BE32-E72D297353CC}">
                <c16:uniqueId val="{0000019E-70B2-4DFE-9551-26E73ED02027}"/>
              </c:ext>
            </c:extLst>
          </c:dPt>
          <c:dPt>
            <c:idx val="20"/>
            <c:invertIfNegative val="0"/>
            <c:bubble3D val="0"/>
            <c:extLst>
              <c:ext xmlns:c16="http://schemas.microsoft.com/office/drawing/2014/chart" uri="{C3380CC4-5D6E-409C-BE32-E72D297353CC}">
                <c16:uniqueId val="{0000019F-70B2-4DFE-9551-26E73ED02027}"/>
              </c:ext>
            </c:extLst>
          </c:dPt>
          <c:dPt>
            <c:idx val="21"/>
            <c:invertIfNegative val="0"/>
            <c:bubble3D val="0"/>
            <c:extLst>
              <c:ext xmlns:c16="http://schemas.microsoft.com/office/drawing/2014/chart" uri="{C3380CC4-5D6E-409C-BE32-E72D297353CC}">
                <c16:uniqueId val="{000001A0-70B2-4DFE-9551-26E73ED02027}"/>
              </c:ext>
            </c:extLst>
          </c:dPt>
          <c:dPt>
            <c:idx val="22"/>
            <c:invertIfNegative val="0"/>
            <c:bubble3D val="0"/>
            <c:extLst>
              <c:ext xmlns:c16="http://schemas.microsoft.com/office/drawing/2014/chart" uri="{C3380CC4-5D6E-409C-BE32-E72D297353CC}">
                <c16:uniqueId val="{000001A1-70B2-4DFE-9551-26E73ED02027}"/>
              </c:ext>
            </c:extLst>
          </c:dPt>
          <c:dPt>
            <c:idx val="23"/>
            <c:invertIfNegative val="0"/>
            <c:bubble3D val="0"/>
            <c:extLst>
              <c:ext xmlns:c16="http://schemas.microsoft.com/office/drawing/2014/chart" uri="{C3380CC4-5D6E-409C-BE32-E72D297353CC}">
                <c16:uniqueId val="{000001A2-70B2-4DFE-9551-26E73ED02027}"/>
              </c:ext>
            </c:extLst>
          </c:dPt>
          <c:dPt>
            <c:idx val="24"/>
            <c:invertIfNegative val="0"/>
            <c:bubble3D val="0"/>
            <c:extLst>
              <c:ext xmlns:c16="http://schemas.microsoft.com/office/drawing/2014/chart" uri="{C3380CC4-5D6E-409C-BE32-E72D297353CC}">
                <c16:uniqueId val="{000001A3-70B2-4DFE-9551-26E73ED02027}"/>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Data'!$B$6:$W$6</c:f>
              <c:numCache>
                <c:formatCode>#,##0_ ;\-#,##0\ </c:formatCode>
                <c:ptCount val="22"/>
                <c:pt idx="0">
                  <c:v>0</c:v>
                </c:pt>
                <c:pt idx="1">
                  <c:v>0</c:v>
                </c:pt>
                <c:pt idx="2">
                  <c:v>0</c:v>
                </c:pt>
                <c:pt idx="3">
                  <c:v>0</c:v>
                </c:pt>
                <c:pt idx="4">
                  <c:v>0</c:v>
                </c:pt>
                <c:pt idx="5">
                  <c:v>0</c:v>
                </c:pt>
                <c:pt idx="6">
                  <c:v>-1462</c:v>
                </c:pt>
                <c:pt idx="7">
                  <c:v>-1462</c:v>
                </c:pt>
                <c:pt idx="8">
                  <c:v>-1462</c:v>
                </c:pt>
                <c:pt idx="9">
                  <c:v>-1462</c:v>
                </c:pt>
                <c:pt idx="10">
                  <c:v>-1462</c:v>
                </c:pt>
                <c:pt idx="11">
                  <c:v>-1462</c:v>
                </c:pt>
                <c:pt idx="12">
                  <c:v>-1462</c:v>
                </c:pt>
                <c:pt idx="13">
                  <c:v>-1972</c:v>
                </c:pt>
                <c:pt idx="14">
                  <c:v>-1972</c:v>
                </c:pt>
                <c:pt idx="15">
                  <c:v>-1972</c:v>
                </c:pt>
                <c:pt idx="16">
                  <c:v>-1972</c:v>
                </c:pt>
                <c:pt idx="17">
                  <c:v>-1972</c:v>
                </c:pt>
                <c:pt idx="18">
                  <c:v>-1972</c:v>
                </c:pt>
                <c:pt idx="19">
                  <c:v>-1972</c:v>
                </c:pt>
                <c:pt idx="20">
                  <c:v>-1972</c:v>
                </c:pt>
                <c:pt idx="21">
                  <c:v>-1972</c:v>
                </c:pt>
              </c:numCache>
            </c:numRef>
          </c:val>
          <c:extLst>
            <c:ext xmlns:c16="http://schemas.microsoft.com/office/drawing/2014/chart" uri="{C3380CC4-5D6E-409C-BE32-E72D297353CC}">
              <c16:uniqueId val="{000001A4-70B2-4DFE-9551-26E73ED02027}"/>
            </c:ext>
          </c:extLst>
        </c:ser>
        <c:ser>
          <c:idx val="4"/>
          <c:order val="4"/>
          <c:tx>
            <c:strRef>
              <c:f>'NewAndRetiredCapacity Data'!$A$7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1A6-70B2-4DFE-9551-26E73ED02027}"/>
              </c:ext>
            </c:extLst>
          </c:dPt>
          <c:dPt>
            <c:idx val="1"/>
            <c:invertIfNegative val="0"/>
            <c:bubble3D val="0"/>
            <c:extLst>
              <c:ext xmlns:c16="http://schemas.microsoft.com/office/drawing/2014/chart" uri="{C3380CC4-5D6E-409C-BE32-E72D297353CC}">
                <c16:uniqueId val="{000001A7-70B2-4DFE-9551-26E73ED02027}"/>
              </c:ext>
            </c:extLst>
          </c:dPt>
          <c:dPt>
            <c:idx val="2"/>
            <c:invertIfNegative val="0"/>
            <c:bubble3D val="0"/>
            <c:extLst>
              <c:ext xmlns:c16="http://schemas.microsoft.com/office/drawing/2014/chart" uri="{C3380CC4-5D6E-409C-BE32-E72D297353CC}">
                <c16:uniqueId val="{000001A8-70B2-4DFE-9551-26E73ED02027}"/>
              </c:ext>
            </c:extLst>
          </c:dPt>
          <c:dPt>
            <c:idx val="3"/>
            <c:invertIfNegative val="0"/>
            <c:bubble3D val="0"/>
            <c:extLst>
              <c:ext xmlns:c16="http://schemas.microsoft.com/office/drawing/2014/chart" uri="{C3380CC4-5D6E-409C-BE32-E72D297353CC}">
                <c16:uniqueId val="{000001A9-70B2-4DFE-9551-26E73ED02027}"/>
              </c:ext>
            </c:extLst>
          </c:dPt>
          <c:dPt>
            <c:idx val="4"/>
            <c:invertIfNegative val="0"/>
            <c:bubble3D val="0"/>
            <c:extLst>
              <c:ext xmlns:c16="http://schemas.microsoft.com/office/drawing/2014/chart" uri="{C3380CC4-5D6E-409C-BE32-E72D297353CC}">
                <c16:uniqueId val="{000001AA-70B2-4DFE-9551-26E73ED02027}"/>
              </c:ext>
            </c:extLst>
          </c:dPt>
          <c:dPt>
            <c:idx val="5"/>
            <c:invertIfNegative val="0"/>
            <c:bubble3D val="0"/>
            <c:extLst>
              <c:ext xmlns:c16="http://schemas.microsoft.com/office/drawing/2014/chart" uri="{C3380CC4-5D6E-409C-BE32-E72D297353CC}">
                <c16:uniqueId val="{000001AB-70B2-4DFE-9551-26E73ED02027}"/>
              </c:ext>
            </c:extLst>
          </c:dPt>
          <c:dPt>
            <c:idx val="6"/>
            <c:invertIfNegative val="0"/>
            <c:bubble3D val="0"/>
            <c:extLst>
              <c:ext xmlns:c16="http://schemas.microsoft.com/office/drawing/2014/chart" uri="{C3380CC4-5D6E-409C-BE32-E72D297353CC}">
                <c16:uniqueId val="{000001AC-70B2-4DFE-9551-26E73ED02027}"/>
              </c:ext>
            </c:extLst>
          </c:dPt>
          <c:dPt>
            <c:idx val="7"/>
            <c:invertIfNegative val="0"/>
            <c:bubble3D val="0"/>
            <c:extLst>
              <c:ext xmlns:c16="http://schemas.microsoft.com/office/drawing/2014/chart" uri="{C3380CC4-5D6E-409C-BE32-E72D297353CC}">
                <c16:uniqueId val="{000001AD-70B2-4DFE-9551-26E73ED02027}"/>
              </c:ext>
            </c:extLst>
          </c:dPt>
          <c:dPt>
            <c:idx val="8"/>
            <c:invertIfNegative val="0"/>
            <c:bubble3D val="0"/>
            <c:extLst>
              <c:ext xmlns:c16="http://schemas.microsoft.com/office/drawing/2014/chart" uri="{C3380CC4-5D6E-409C-BE32-E72D297353CC}">
                <c16:uniqueId val="{000001AE-70B2-4DFE-9551-26E73ED02027}"/>
              </c:ext>
            </c:extLst>
          </c:dPt>
          <c:dPt>
            <c:idx val="9"/>
            <c:invertIfNegative val="0"/>
            <c:bubble3D val="0"/>
            <c:extLst>
              <c:ext xmlns:c16="http://schemas.microsoft.com/office/drawing/2014/chart" uri="{C3380CC4-5D6E-409C-BE32-E72D297353CC}">
                <c16:uniqueId val="{000001AF-70B2-4DFE-9551-26E73ED02027}"/>
              </c:ext>
            </c:extLst>
          </c:dPt>
          <c:dPt>
            <c:idx val="10"/>
            <c:invertIfNegative val="0"/>
            <c:bubble3D val="0"/>
            <c:extLst>
              <c:ext xmlns:c16="http://schemas.microsoft.com/office/drawing/2014/chart" uri="{C3380CC4-5D6E-409C-BE32-E72D297353CC}">
                <c16:uniqueId val="{000001B0-70B2-4DFE-9551-26E73ED02027}"/>
              </c:ext>
            </c:extLst>
          </c:dPt>
          <c:dPt>
            <c:idx val="11"/>
            <c:invertIfNegative val="0"/>
            <c:bubble3D val="0"/>
            <c:extLst>
              <c:ext xmlns:c16="http://schemas.microsoft.com/office/drawing/2014/chart" uri="{C3380CC4-5D6E-409C-BE32-E72D297353CC}">
                <c16:uniqueId val="{000001B1-70B2-4DFE-9551-26E73ED02027}"/>
              </c:ext>
            </c:extLst>
          </c:dPt>
          <c:dPt>
            <c:idx val="12"/>
            <c:invertIfNegative val="0"/>
            <c:bubble3D val="0"/>
            <c:extLst>
              <c:ext xmlns:c16="http://schemas.microsoft.com/office/drawing/2014/chart" uri="{C3380CC4-5D6E-409C-BE32-E72D297353CC}">
                <c16:uniqueId val="{000001B2-70B2-4DFE-9551-26E73ED02027}"/>
              </c:ext>
            </c:extLst>
          </c:dPt>
          <c:dPt>
            <c:idx val="13"/>
            <c:invertIfNegative val="0"/>
            <c:bubble3D val="0"/>
            <c:extLst>
              <c:ext xmlns:c16="http://schemas.microsoft.com/office/drawing/2014/chart" uri="{C3380CC4-5D6E-409C-BE32-E72D297353CC}">
                <c16:uniqueId val="{000001B3-70B2-4DFE-9551-26E73ED02027}"/>
              </c:ext>
            </c:extLst>
          </c:dPt>
          <c:dPt>
            <c:idx val="14"/>
            <c:invertIfNegative val="0"/>
            <c:bubble3D val="0"/>
            <c:extLst>
              <c:ext xmlns:c16="http://schemas.microsoft.com/office/drawing/2014/chart" uri="{C3380CC4-5D6E-409C-BE32-E72D297353CC}">
                <c16:uniqueId val="{000001B4-70B2-4DFE-9551-26E73ED02027}"/>
              </c:ext>
            </c:extLst>
          </c:dPt>
          <c:dPt>
            <c:idx val="15"/>
            <c:invertIfNegative val="0"/>
            <c:bubble3D val="0"/>
            <c:extLst>
              <c:ext xmlns:c16="http://schemas.microsoft.com/office/drawing/2014/chart" uri="{C3380CC4-5D6E-409C-BE32-E72D297353CC}">
                <c16:uniqueId val="{000001B5-70B2-4DFE-9551-26E73ED02027}"/>
              </c:ext>
            </c:extLst>
          </c:dPt>
          <c:dPt>
            <c:idx val="16"/>
            <c:invertIfNegative val="0"/>
            <c:bubble3D val="0"/>
            <c:extLst>
              <c:ext xmlns:c16="http://schemas.microsoft.com/office/drawing/2014/chart" uri="{C3380CC4-5D6E-409C-BE32-E72D297353CC}">
                <c16:uniqueId val="{000001B6-70B2-4DFE-9551-26E73ED02027}"/>
              </c:ext>
            </c:extLst>
          </c:dPt>
          <c:dPt>
            <c:idx val="17"/>
            <c:invertIfNegative val="0"/>
            <c:bubble3D val="0"/>
            <c:extLst>
              <c:ext xmlns:c16="http://schemas.microsoft.com/office/drawing/2014/chart" uri="{C3380CC4-5D6E-409C-BE32-E72D297353CC}">
                <c16:uniqueId val="{000001B7-70B2-4DFE-9551-26E73ED02027}"/>
              </c:ext>
            </c:extLst>
          </c:dPt>
          <c:dPt>
            <c:idx val="18"/>
            <c:invertIfNegative val="0"/>
            <c:bubble3D val="0"/>
            <c:extLst>
              <c:ext xmlns:c16="http://schemas.microsoft.com/office/drawing/2014/chart" uri="{C3380CC4-5D6E-409C-BE32-E72D297353CC}">
                <c16:uniqueId val="{000001B8-70B2-4DFE-9551-26E73ED02027}"/>
              </c:ext>
            </c:extLst>
          </c:dPt>
          <c:dPt>
            <c:idx val="19"/>
            <c:invertIfNegative val="0"/>
            <c:bubble3D val="0"/>
            <c:extLst>
              <c:ext xmlns:c16="http://schemas.microsoft.com/office/drawing/2014/chart" uri="{C3380CC4-5D6E-409C-BE32-E72D297353CC}">
                <c16:uniqueId val="{000001B9-70B2-4DFE-9551-26E73ED02027}"/>
              </c:ext>
            </c:extLst>
          </c:dPt>
          <c:dPt>
            <c:idx val="20"/>
            <c:invertIfNegative val="0"/>
            <c:bubble3D val="0"/>
            <c:extLst>
              <c:ext xmlns:c16="http://schemas.microsoft.com/office/drawing/2014/chart" uri="{C3380CC4-5D6E-409C-BE32-E72D297353CC}">
                <c16:uniqueId val="{000001BA-70B2-4DFE-9551-26E73ED02027}"/>
              </c:ext>
            </c:extLst>
          </c:dPt>
          <c:dPt>
            <c:idx val="21"/>
            <c:invertIfNegative val="0"/>
            <c:bubble3D val="0"/>
            <c:extLst>
              <c:ext xmlns:c16="http://schemas.microsoft.com/office/drawing/2014/chart" uri="{C3380CC4-5D6E-409C-BE32-E72D297353CC}">
                <c16:uniqueId val="{000001BB-70B2-4DFE-9551-26E73ED02027}"/>
              </c:ext>
            </c:extLst>
          </c:dPt>
          <c:dPt>
            <c:idx val="22"/>
            <c:invertIfNegative val="0"/>
            <c:bubble3D val="0"/>
            <c:extLst>
              <c:ext xmlns:c16="http://schemas.microsoft.com/office/drawing/2014/chart" uri="{C3380CC4-5D6E-409C-BE32-E72D297353CC}">
                <c16:uniqueId val="{000001BC-70B2-4DFE-9551-26E73ED02027}"/>
              </c:ext>
            </c:extLst>
          </c:dPt>
          <c:dPt>
            <c:idx val="23"/>
            <c:invertIfNegative val="0"/>
            <c:bubble3D val="0"/>
            <c:extLst>
              <c:ext xmlns:c16="http://schemas.microsoft.com/office/drawing/2014/chart" uri="{C3380CC4-5D6E-409C-BE32-E72D297353CC}">
                <c16:uniqueId val="{000001BD-70B2-4DFE-9551-26E73ED02027}"/>
              </c:ext>
            </c:extLst>
          </c:dPt>
          <c:dPt>
            <c:idx val="24"/>
            <c:invertIfNegative val="0"/>
            <c:bubble3D val="0"/>
            <c:extLst>
              <c:ext xmlns:c16="http://schemas.microsoft.com/office/drawing/2014/chart" uri="{C3380CC4-5D6E-409C-BE32-E72D297353CC}">
                <c16:uniqueId val="{000001BE-70B2-4DFE-9551-26E73ED02027}"/>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Data'!$B$7:$W$7</c:f>
              <c:numCache>
                <c:formatCode>#,##0_ ;\-#,##0\ </c:formatCode>
                <c:ptCount val="22"/>
                <c:pt idx="0">
                  <c:v>0</c:v>
                </c:pt>
                <c:pt idx="1">
                  <c:v>-24</c:v>
                </c:pt>
                <c:pt idx="2">
                  <c:v>-24</c:v>
                </c:pt>
                <c:pt idx="3">
                  <c:v>-298</c:v>
                </c:pt>
                <c:pt idx="4">
                  <c:v>-12</c:v>
                </c:pt>
                <c:pt idx="5">
                  <c:v>103</c:v>
                </c:pt>
                <c:pt idx="6">
                  <c:v>103</c:v>
                </c:pt>
                <c:pt idx="7">
                  <c:v>103</c:v>
                </c:pt>
                <c:pt idx="8">
                  <c:v>103</c:v>
                </c:pt>
                <c:pt idx="9">
                  <c:v>103</c:v>
                </c:pt>
                <c:pt idx="10">
                  <c:v>103</c:v>
                </c:pt>
                <c:pt idx="11">
                  <c:v>103</c:v>
                </c:pt>
                <c:pt idx="12">
                  <c:v>103</c:v>
                </c:pt>
                <c:pt idx="13">
                  <c:v>103</c:v>
                </c:pt>
                <c:pt idx="14">
                  <c:v>103</c:v>
                </c:pt>
                <c:pt idx="15">
                  <c:v>103</c:v>
                </c:pt>
                <c:pt idx="16">
                  <c:v>103</c:v>
                </c:pt>
                <c:pt idx="17">
                  <c:v>103</c:v>
                </c:pt>
                <c:pt idx="18">
                  <c:v>103</c:v>
                </c:pt>
                <c:pt idx="19">
                  <c:v>103</c:v>
                </c:pt>
                <c:pt idx="20">
                  <c:v>103</c:v>
                </c:pt>
                <c:pt idx="21">
                  <c:v>103</c:v>
                </c:pt>
              </c:numCache>
            </c:numRef>
          </c:val>
          <c:extLst>
            <c:ext xmlns:c16="http://schemas.microsoft.com/office/drawing/2014/chart" uri="{C3380CC4-5D6E-409C-BE32-E72D297353CC}">
              <c16:uniqueId val="{000001BF-70B2-4DFE-9551-26E73ED02027}"/>
            </c:ext>
          </c:extLst>
        </c:ser>
        <c:ser>
          <c:idx val="8"/>
          <c:order val="5"/>
          <c:tx>
            <c:strRef>
              <c:f>'NewAndRetiredCapacity Data'!$A$8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1C1-70B2-4DFE-9551-26E73ED02027}"/>
              </c:ext>
            </c:extLst>
          </c:dPt>
          <c:dPt>
            <c:idx val="1"/>
            <c:invertIfNegative val="0"/>
            <c:bubble3D val="0"/>
            <c:extLst>
              <c:ext xmlns:c16="http://schemas.microsoft.com/office/drawing/2014/chart" uri="{C3380CC4-5D6E-409C-BE32-E72D297353CC}">
                <c16:uniqueId val="{000001C2-70B2-4DFE-9551-26E73ED02027}"/>
              </c:ext>
            </c:extLst>
          </c:dPt>
          <c:dPt>
            <c:idx val="2"/>
            <c:invertIfNegative val="0"/>
            <c:bubble3D val="0"/>
            <c:extLst>
              <c:ext xmlns:c16="http://schemas.microsoft.com/office/drawing/2014/chart" uri="{C3380CC4-5D6E-409C-BE32-E72D297353CC}">
                <c16:uniqueId val="{000001C3-70B2-4DFE-9551-26E73ED02027}"/>
              </c:ext>
            </c:extLst>
          </c:dPt>
          <c:dPt>
            <c:idx val="3"/>
            <c:invertIfNegative val="0"/>
            <c:bubble3D val="0"/>
            <c:extLst>
              <c:ext xmlns:c16="http://schemas.microsoft.com/office/drawing/2014/chart" uri="{C3380CC4-5D6E-409C-BE32-E72D297353CC}">
                <c16:uniqueId val="{000001C4-70B2-4DFE-9551-26E73ED02027}"/>
              </c:ext>
            </c:extLst>
          </c:dPt>
          <c:dPt>
            <c:idx val="4"/>
            <c:invertIfNegative val="0"/>
            <c:bubble3D val="0"/>
            <c:extLst>
              <c:ext xmlns:c16="http://schemas.microsoft.com/office/drawing/2014/chart" uri="{C3380CC4-5D6E-409C-BE32-E72D297353CC}">
                <c16:uniqueId val="{000001C5-70B2-4DFE-9551-26E73ED02027}"/>
              </c:ext>
            </c:extLst>
          </c:dPt>
          <c:dPt>
            <c:idx val="5"/>
            <c:invertIfNegative val="0"/>
            <c:bubble3D val="0"/>
            <c:extLst>
              <c:ext xmlns:c16="http://schemas.microsoft.com/office/drawing/2014/chart" uri="{C3380CC4-5D6E-409C-BE32-E72D297353CC}">
                <c16:uniqueId val="{000001C6-70B2-4DFE-9551-26E73ED02027}"/>
              </c:ext>
            </c:extLst>
          </c:dPt>
          <c:dPt>
            <c:idx val="6"/>
            <c:invertIfNegative val="0"/>
            <c:bubble3D val="0"/>
            <c:extLst>
              <c:ext xmlns:c16="http://schemas.microsoft.com/office/drawing/2014/chart" uri="{C3380CC4-5D6E-409C-BE32-E72D297353CC}">
                <c16:uniqueId val="{000001C7-70B2-4DFE-9551-26E73ED02027}"/>
              </c:ext>
            </c:extLst>
          </c:dPt>
          <c:dPt>
            <c:idx val="7"/>
            <c:invertIfNegative val="0"/>
            <c:bubble3D val="0"/>
            <c:extLst>
              <c:ext xmlns:c16="http://schemas.microsoft.com/office/drawing/2014/chart" uri="{C3380CC4-5D6E-409C-BE32-E72D297353CC}">
                <c16:uniqueId val="{000001C8-70B2-4DFE-9551-26E73ED02027}"/>
              </c:ext>
            </c:extLst>
          </c:dPt>
          <c:dPt>
            <c:idx val="8"/>
            <c:invertIfNegative val="0"/>
            <c:bubble3D val="0"/>
            <c:extLst>
              <c:ext xmlns:c16="http://schemas.microsoft.com/office/drawing/2014/chart" uri="{C3380CC4-5D6E-409C-BE32-E72D297353CC}">
                <c16:uniqueId val="{000001C9-70B2-4DFE-9551-26E73ED02027}"/>
              </c:ext>
            </c:extLst>
          </c:dPt>
          <c:dPt>
            <c:idx val="9"/>
            <c:invertIfNegative val="0"/>
            <c:bubble3D val="0"/>
            <c:extLst>
              <c:ext xmlns:c16="http://schemas.microsoft.com/office/drawing/2014/chart" uri="{C3380CC4-5D6E-409C-BE32-E72D297353CC}">
                <c16:uniqueId val="{000001CA-70B2-4DFE-9551-26E73ED02027}"/>
              </c:ext>
            </c:extLst>
          </c:dPt>
          <c:dPt>
            <c:idx val="10"/>
            <c:invertIfNegative val="0"/>
            <c:bubble3D val="0"/>
            <c:extLst>
              <c:ext xmlns:c16="http://schemas.microsoft.com/office/drawing/2014/chart" uri="{C3380CC4-5D6E-409C-BE32-E72D297353CC}">
                <c16:uniqueId val="{000001CB-70B2-4DFE-9551-26E73ED02027}"/>
              </c:ext>
            </c:extLst>
          </c:dPt>
          <c:dPt>
            <c:idx val="11"/>
            <c:invertIfNegative val="0"/>
            <c:bubble3D val="0"/>
            <c:extLst>
              <c:ext xmlns:c16="http://schemas.microsoft.com/office/drawing/2014/chart" uri="{C3380CC4-5D6E-409C-BE32-E72D297353CC}">
                <c16:uniqueId val="{000001CC-70B2-4DFE-9551-26E73ED02027}"/>
              </c:ext>
            </c:extLst>
          </c:dPt>
          <c:dPt>
            <c:idx val="12"/>
            <c:invertIfNegative val="0"/>
            <c:bubble3D val="0"/>
            <c:extLst>
              <c:ext xmlns:c16="http://schemas.microsoft.com/office/drawing/2014/chart" uri="{C3380CC4-5D6E-409C-BE32-E72D297353CC}">
                <c16:uniqueId val="{000001CD-70B2-4DFE-9551-26E73ED02027}"/>
              </c:ext>
            </c:extLst>
          </c:dPt>
          <c:dPt>
            <c:idx val="13"/>
            <c:invertIfNegative val="0"/>
            <c:bubble3D val="0"/>
            <c:extLst>
              <c:ext xmlns:c16="http://schemas.microsoft.com/office/drawing/2014/chart" uri="{C3380CC4-5D6E-409C-BE32-E72D297353CC}">
                <c16:uniqueId val="{000001CE-70B2-4DFE-9551-26E73ED02027}"/>
              </c:ext>
            </c:extLst>
          </c:dPt>
          <c:dPt>
            <c:idx val="14"/>
            <c:invertIfNegative val="0"/>
            <c:bubble3D val="0"/>
            <c:extLst>
              <c:ext xmlns:c16="http://schemas.microsoft.com/office/drawing/2014/chart" uri="{C3380CC4-5D6E-409C-BE32-E72D297353CC}">
                <c16:uniqueId val="{000001CF-70B2-4DFE-9551-26E73ED02027}"/>
              </c:ext>
            </c:extLst>
          </c:dPt>
          <c:dPt>
            <c:idx val="15"/>
            <c:invertIfNegative val="0"/>
            <c:bubble3D val="0"/>
            <c:extLst>
              <c:ext xmlns:c16="http://schemas.microsoft.com/office/drawing/2014/chart" uri="{C3380CC4-5D6E-409C-BE32-E72D297353CC}">
                <c16:uniqueId val="{000001D0-70B2-4DFE-9551-26E73ED02027}"/>
              </c:ext>
            </c:extLst>
          </c:dPt>
          <c:dPt>
            <c:idx val="16"/>
            <c:invertIfNegative val="0"/>
            <c:bubble3D val="0"/>
            <c:extLst>
              <c:ext xmlns:c16="http://schemas.microsoft.com/office/drawing/2014/chart" uri="{C3380CC4-5D6E-409C-BE32-E72D297353CC}">
                <c16:uniqueId val="{000001D1-70B2-4DFE-9551-26E73ED02027}"/>
              </c:ext>
            </c:extLst>
          </c:dPt>
          <c:dPt>
            <c:idx val="17"/>
            <c:invertIfNegative val="0"/>
            <c:bubble3D val="0"/>
            <c:extLst>
              <c:ext xmlns:c16="http://schemas.microsoft.com/office/drawing/2014/chart" uri="{C3380CC4-5D6E-409C-BE32-E72D297353CC}">
                <c16:uniqueId val="{000001D2-70B2-4DFE-9551-26E73ED02027}"/>
              </c:ext>
            </c:extLst>
          </c:dPt>
          <c:dPt>
            <c:idx val="18"/>
            <c:invertIfNegative val="0"/>
            <c:bubble3D val="0"/>
            <c:extLst>
              <c:ext xmlns:c16="http://schemas.microsoft.com/office/drawing/2014/chart" uri="{C3380CC4-5D6E-409C-BE32-E72D297353CC}">
                <c16:uniqueId val="{000001D3-70B2-4DFE-9551-26E73ED02027}"/>
              </c:ext>
            </c:extLst>
          </c:dPt>
          <c:dPt>
            <c:idx val="19"/>
            <c:invertIfNegative val="0"/>
            <c:bubble3D val="0"/>
            <c:extLst>
              <c:ext xmlns:c16="http://schemas.microsoft.com/office/drawing/2014/chart" uri="{C3380CC4-5D6E-409C-BE32-E72D297353CC}">
                <c16:uniqueId val="{000001D4-70B2-4DFE-9551-26E73ED02027}"/>
              </c:ext>
            </c:extLst>
          </c:dPt>
          <c:dPt>
            <c:idx val="20"/>
            <c:invertIfNegative val="0"/>
            <c:bubble3D val="0"/>
            <c:extLst>
              <c:ext xmlns:c16="http://schemas.microsoft.com/office/drawing/2014/chart" uri="{C3380CC4-5D6E-409C-BE32-E72D297353CC}">
                <c16:uniqueId val="{000001D5-70B2-4DFE-9551-26E73ED02027}"/>
              </c:ext>
            </c:extLst>
          </c:dPt>
          <c:dPt>
            <c:idx val="21"/>
            <c:invertIfNegative val="0"/>
            <c:bubble3D val="0"/>
            <c:extLst>
              <c:ext xmlns:c16="http://schemas.microsoft.com/office/drawing/2014/chart" uri="{C3380CC4-5D6E-409C-BE32-E72D297353CC}">
                <c16:uniqueId val="{000001D6-70B2-4DFE-9551-26E73ED02027}"/>
              </c:ext>
            </c:extLst>
          </c:dPt>
          <c:dPt>
            <c:idx val="22"/>
            <c:invertIfNegative val="0"/>
            <c:bubble3D val="0"/>
            <c:extLst>
              <c:ext xmlns:c16="http://schemas.microsoft.com/office/drawing/2014/chart" uri="{C3380CC4-5D6E-409C-BE32-E72D297353CC}">
                <c16:uniqueId val="{000001D7-70B2-4DFE-9551-26E73ED02027}"/>
              </c:ext>
            </c:extLst>
          </c:dPt>
          <c:dPt>
            <c:idx val="23"/>
            <c:invertIfNegative val="0"/>
            <c:bubble3D val="0"/>
            <c:extLst>
              <c:ext xmlns:c16="http://schemas.microsoft.com/office/drawing/2014/chart" uri="{C3380CC4-5D6E-409C-BE32-E72D297353CC}">
                <c16:uniqueId val="{000001D8-70B2-4DFE-9551-26E73ED02027}"/>
              </c:ext>
            </c:extLst>
          </c:dPt>
          <c:dPt>
            <c:idx val="24"/>
            <c:invertIfNegative val="0"/>
            <c:bubble3D val="0"/>
            <c:extLst>
              <c:ext xmlns:c16="http://schemas.microsoft.com/office/drawing/2014/chart" uri="{C3380CC4-5D6E-409C-BE32-E72D297353CC}">
                <c16:uniqueId val="{000001D9-70B2-4DFE-9551-26E73ED02027}"/>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Data'!$B$8:$W$8</c:f>
              <c:numCache>
                <c:formatCode>#,##0_ ;\-#,##0\ </c:formatCode>
                <c:ptCount val="22"/>
                <c:pt idx="0">
                  <c:v>0</c:v>
                </c:pt>
                <c:pt idx="1">
                  <c:v>1894.0000000000009</c:v>
                </c:pt>
                <c:pt idx="2">
                  <c:v>2294.0000000000009</c:v>
                </c:pt>
                <c:pt idx="3">
                  <c:v>2694</c:v>
                </c:pt>
                <c:pt idx="4">
                  <c:v>3094</c:v>
                </c:pt>
                <c:pt idx="5">
                  <c:v>3987</c:v>
                </c:pt>
                <c:pt idx="6">
                  <c:v>4387</c:v>
                </c:pt>
                <c:pt idx="7">
                  <c:v>4387</c:v>
                </c:pt>
                <c:pt idx="8">
                  <c:v>4512.5297862400002</c:v>
                </c:pt>
                <c:pt idx="9">
                  <c:v>4645.0455783100006</c:v>
                </c:pt>
                <c:pt idx="10">
                  <c:v>4820.5905002500003</c:v>
                </c:pt>
                <c:pt idx="11">
                  <c:v>4923.098727640001</c:v>
                </c:pt>
                <c:pt idx="12">
                  <c:v>4923.098727640001</c:v>
                </c:pt>
                <c:pt idx="13">
                  <c:v>4923.098727640001</c:v>
                </c:pt>
                <c:pt idx="14">
                  <c:v>5047.5783686000013</c:v>
                </c:pt>
                <c:pt idx="15">
                  <c:v>5427.7355007600017</c:v>
                </c:pt>
                <c:pt idx="16">
                  <c:v>6140.5538300300013</c:v>
                </c:pt>
                <c:pt idx="17">
                  <c:v>7875.5538300300013</c:v>
                </c:pt>
                <c:pt idx="18">
                  <c:v>7972.6185650900006</c:v>
                </c:pt>
                <c:pt idx="19">
                  <c:v>8121.5198374499996</c:v>
                </c:pt>
                <c:pt idx="20">
                  <c:v>8308.5253953899992</c:v>
                </c:pt>
                <c:pt idx="21">
                  <c:v>8308.5253953899992</c:v>
                </c:pt>
              </c:numCache>
            </c:numRef>
          </c:val>
          <c:extLst>
            <c:ext xmlns:c16="http://schemas.microsoft.com/office/drawing/2014/chart" uri="{C3380CC4-5D6E-409C-BE32-E72D297353CC}">
              <c16:uniqueId val="{000001DA-70B2-4DFE-9551-26E73ED02027}"/>
            </c:ext>
          </c:extLst>
        </c:ser>
        <c:ser>
          <c:idx val="5"/>
          <c:order val="6"/>
          <c:tx>
            <c:strRef>
              <c:f>'NewAndRetiredCapacity Data'!$A$11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1DC-70B2-4DFE-9551-26E73ED02027}"/>
              </c:ext>
            </c:extLst>
          </c:dPt>
          <c:dPt>
            <c:idx val="1"/>
            <c:invertIfNegative val="0"/>
            <c:bubble3D val="0"/>
            <c:extLst>
              <c:ext xmlns:c16="http://schemas.microsoft.com/office/drawing/2014/chart" uri="{C3380CC4-5D6E-409C-BE32-E72D297353CC}">
                <c16:uniqueId val="{000001DD-70B2-4DFE-9551-26E73ED02027}"/>
              </c:ext>
            </c:extLst>
          </c:dPt>
          <c:dPt>
            <c:idx val="2"/>
            <c:invertIfNegative val="0"/>
            <c:bubble3D val="0"/>
            <c:extLst>
              <c:ext xmlns:c16="http://schemas.microsoft.com/office/drawing/2014/chart" uri="{C3380CC4-5D6E-409C-BE32-E72D297353CC}">
                <c16:uniqueId val="{000001DE-70B2-4DFE-9551-26E73ED02027}"/>
              </c:ext>
            </c:extLst>
          </c:dPt>
          <c:dPt>
            <c:idx val="3"/>
            <c:invertIfNegative val="0"/>
            <c:bubble3D val="0"/>
            <c:extLst>
              <c:ext xmlns:c16="http://schemas.microsoft.com/office/drawing/2014/chart" uri="{C3380CC4-5D6E-409C-BE32-E72D297353CC}">
                <c16:uniqueId val="{000001DF-70B2-4DFE-9551-26E73ED02027}"/>
              </c:ext>
            </c:extLst>
          </c:dPt>
          <c:dPt>
            <c:idx val="4"/>
            <c:invertIfNegative val="0"/>
            <c:bubble3D val="0"/>
            <c:extLst>
              <c:ext xmlns:c16="http://schemas.microsoft.com/office/drawing/2014/chart" uri="{C3380CC4-5D6E-409C-BE32-E72D297353CC}">
                <c16:uniqueId val="{000001E0-70B2-4DFE-9551-26E73ED02027}"/>
              </c:ext>
            </c:extLst>
          </c:dPt>
          <c:dPt>
            <c:idx val="5"/>
            <c:invertIfNegative val="0"/>
            <c:bubble3D val="0"/>
            <c:extLst>
              <c:ext xmlns:c16="http://schemas.microsoft.com/office/drawing/2014/chart" uri="{C3380CC4-5D6E-409C-BE32-E72D297353CC}">
                <c16:uniqueId val="{000001E1-70B2-4DFE-9551-26E73ED02027}"/>
              </c:ext>
            </c:extLst>
          </c:dPt>
          <c:dPt>
            <c:idx val="6"/>
            <c:invertIfNegative val="0"/>
            <c:bubble3D val="0"/>
            <c:extLst>
              <c:ext xmlns:c16="http://schemas.microsoft.com/office/drawing/2014/chart" uri="{C3380CC4-5D6E-409C-BE32-E72D297353CC}">
                <c16:uniqueId val="{000001E2-70B2-4DFE-9551-26E73ED02027}"/>
              </c:ext>
            </c:extLst>
          </c:dPt>
          <c:dPt>
            <c:idx val="7"/>
            <c:invertIfNegative val="0"/>
            <c:bubble3D val="0"/>
            <c:extLst>
              <c:ext xmlns:c16="http://schemas.microsoft.com/office/drawing/2014/chart" uri="{C3380CC4-5D6E-409C-BE32-E72D297353CC}">
                <c16:uniqueId val="{000001E3-70B2-4DFE-9551-26E73ED02027}"/>
              </c:ext>
            </c:extLst>
          </c:dPt>
          <c:dPt>
            <c:idx val="8"/>
            <c:invertIfNegative val="0"/>
            <c:bubble3D val="0"/>
            <c:extLst>
              <c:ext xmlns:c16="http://schemas.microsoft.com/office/drawing/2014/chart" uri="{C3380CC4-5D6E-409C-BE32-E72D297353CC}">
                <c16:uniqueId val="{000001E4-70B2-4DFE-9551-26E73ED02027}"/>
              </c:ext>
            </c:extLst>
          </c:dPt>
          <c:dPt>
            <c:idx val="9"/>
            <c:invertIfNegative val="0"/>
            <c:bubble3D val="0"/>
            <c:extLst>
              <c:ext xmlns:c16="http://schemas.microsoft.com/office/drawing/2014/chart" uri="{C3380CC4-5D6E-409C-BE32-E72D297353CC}">
                <c16:uniqueId val="{000001E5-70B2-4DFE-9551-26E73ED02027}"/>
              </c:ext>
            </c:extLst>
          </c:dPt>
          <c:dPt>
            <c:idx val="10"/>
            <c:invertIfNegative val="0"/>
            <c:bubble3D val="0"/>
            <c:extLst>
              <c:ext xmlns:c16="http://schemas.microsoft.com/office/drawing/2014/chart" uri="{C3380CC4-5D6E-409C-BE32-E72D297353CC}">
                <c16:uniqueId val="{000001E6-70B2-4DFE-9551-26E73ED02027}"/>
              </c:ext>
            </c:extLst>
          </c:dPt>
          <c:dPt>
            <c:idx val="11"/>
            <c:invertIfNegative val="0"/>
            <c:bubble3D val="0"/>
            <c:extLst>
              <c:ext xmlns:c16="http://schemas.microsoft.com/office/drawing/2014/chart" uri="{C3380CC4-5D6E-409C-BE32-E72D297353CC}">
                <c16:uniqueId val="{000001E7-70B2-4DFE-9551-26E73ED02027}"/>
              </c:ext>
            </c:extLst>
          </c:dPt>
          <c:dPt>
            <c:idx val="12"/>
            <c:invertIfNegative val="0"/>
            <c:bubble3D val="0"/>
            <c:extLst>
              <c:ext xmlns:c16="http://schemas.microsoft.com/office/drawing/2014/chart" uri="{C3380CC4-5D6E-409C-BE32-E72D297353CC}">
                <c16:uniqueId val="{000001E8-70B2-4DFE-9551-26E73ED02027}"/>
              </c:ext>
            </c:extLst>
          </c:dPt>
          <c:dPt>
            <c:idx val="13"/>
            <c:invertIfNegative val="0"/>
            <c:bubble3D val="0"/>
            <c:extLst>
              <c:ext xmlns:c16="http://schemas.microsoft.com/office/drawing/2014/chart" uri="{C3380CC4-5D6E-409C-BE32-E72D297353CC}">
                <c16:uniqueId val="{000001E9-70B2-4DFE-9551-26E73ED02027}"/>
              </c:ext>
            </c:extLst>
          </c:dPt>
          <c:dPt>
            <c:idx val="14"/>
            <c:invertIfNegative val="0"/>
            <c:bubble3D val="0"/>
            <c:extLst>
              <c:ext xmlns:c16="http://schemas.microsoft.com/office/drawing/2014/chart" uri="{C3380CC4-5D6E-409C-BE32-E72D297353CC}">
                <c16:uniqueId val="{000001EA-70B2-4DFE-9551-26E73ED02027}"/>
              </c:ext>
            </c:extLst>
          </c:dPt>
          <c:dPt>
            <c:idx val="15"/>
            <c:invertIfNegative val="0"/>
            <c:bubble3D val="0"/>
            <c:extLst>
              <c:ext xmlns:c16="http://schemas.microsoft.com/office/drawing/2014/chart" uri="{C3380CC4-5D6E-409C-BE32-E72D297353CC}">
                <c16:uniqueId val="{000001EB-70B2-4DFE-9551-26E73ED02027}"/>
              </c:ext>
            </c:extLst>
          </c:dPt>
          <c:dPt>
            <c:idx val="16"/>
            <c:invertIfNegative val="0"/>
            <c:bubble3D val="0"/>
            <c:extLst>
              <c:ext xmlns:c16="http://schemas.microsoft.com/office/drawing/2014/chart" uri="{C3380CC4-5D6E-409C-BE32-E72D297353CC}">
                <c16:uniqueId val="{000001EC-70B2-4DFE-9551-26E73ED02027}"/>
              </c:ext>
            </c:extLst>
          </c:dPt>
          <c:dPt>
            <c:idx val="17"/>
            <c:invertIfNegative val="0"/>
            <c:bubble3D val="0"/>
            <c:extLst>
              <c:ext xmlns:c16="http://schemas.microsoft.com/office/drawing/2014/chart" uri="{C3380CC4-5D6E-409C-BE32-E72D297353CC}">
                <c16:uniqueId val="{000001ED-70B2-4DFE-9551-26E73ED02027}"/>
              </c:ext>
            </c:extLst>
          </c:dPt>
          <c:dPt>
            <c:idx val="18"/>
            <c:invertIfNegative val="0"/>
            <c:bubble3D val="0"/>
            <c:extLst>
              <c:ext xmlns:c16="http://schemas.microsoft.com/office/drawing/2014/chart" uri="{C3380CC4-5D6E-409C-BE32-E72D297353CC}">
                <c16:uniqueId val="{000001EE-70B2-4DFE-9551-26E73ED02027}"/>
              </c:ext>
            </c:extLst>
          </c:dPt>
          <c:dPt>
            <c:idx val="19"/>
            <c:invertIfNegative val="0"/>
            <c:bubble3D val="0"/>
            <c:extLst>
              <c:ext xmlns:c16="http://schemas.microsoft.com/office/drawing/2014/chart" uri="{C3380CC4-5D6E-409C-BE32-E72D297353CC}">
                <c16:uniqueId val="{000001EF-70B2-4DFE-9551-26E73ED02027}"/>
              </c:ext>
            </c:extLst>
          </c:dPt>
          <c:dPt>
            <c:idx val="20"/>
            <c:invertIfNegative val="0"/>
            <c:bubble3D val="0"/>
            <c:extLst>
              <c:ext xmlns:c16="http://schemas.microsoft.com/office/drawing/2014/chart" uri="{C3380CC4-5D6E-409C-BE32-E72D297353CC}">
                <c16:uniqueId val="{000001F0-70B2-4DFE-9551-26E73ED02027}"/>
              </c:ext>
            </c:extLst>
          </c:dPt>
          <c:dPt>
            <c:idx val="21"/>
            <c:invertIfNegative val="0"/>
            <c:bubble3D val="0"/>
            <c:extLst>
              <c:ext xmlns:c16="http://schemas.microsoft.com/office/drawing/2014/chart" uri="{C3380CC4-5D6E-409C-BE32-E72D297353CC}">
                <c16:uniqueId val="{000001F1-70B2-4DFE-9551-26E73ED02027}"/>
              </c:ext>
            </c:extLst>
          </c:dPt>
          <c:dPt>
            <c:idx val="22"/>
            <c:invertIfNegative val="0"/>
            <c:bubble3D val="0"/>
            <c:extLst>
              <c:ext xmlns:c16="http://schemas.microsoft.com/office/drawing/2014/chart" uri="{C3380CC4-5D6E-409C-BE32-E72D297353CC}">
                <c16:uniqueId val="{000001F2-70B2-4DFE-9551-26E73ED02027}"/>
              </c:ext>
            </c:extLst>
          </c:dPt>
          <c:dPt>
            <c:idx val="23"/>
            <c:invertIfNegative val="0"/>
            <c:bubble3D val="0"/>
            <c:extLst>
              <c:ext xmlns:c16="http://schemas.microsoft.com/office/drawing/2014/chart" uri="{C3380CC4-5D6E-409C-BE32-E72D297353CC}">
                <c16:uniqueId val="{000001F3-70B2-4DFE-9551-26E73ED02027}"/>
              </c:ext>
            </c:extLst>
          </c:dPt>
          <c:dPt>
            <c:idx val="24"/>
            <c:invertIfNegative val="0"/>
            <c:bubble3D val="0"/>
            <c:extLst>
              <c:ext xmlns:c16="http://schemas.microsoft.com/office/drawing/2014/chart" uri="{C3380CC4-5D6E-409C-BE32-E72D297353CC}">
                <c16:uniqueId val="{000001F4-70B2-4DFE-9551-26E73ED02027}"/>
              </c:ext>
            </c:extLst>
          </c:dPt>
          <c:val>
            <c:numRef>
              <c:f>'NewAndRetiredCapacity Data'!$B$11:$W$11</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114.28591900000001</c:v>
                </c:pt>
                <c:pt idx="18">
                  <c:v>194.46087225000002</c:v>
                </c:pt>
                <c:pt idx="19">
                  <c:v>194.46087225000002</c:v>
                </c:pt>
                <c:pt idx="20">
                  <c:v>294.82928600000002</c:v>
                </c:pt>
                <c:pt idx="21">
                  <c:v>294.82928600000002</c:v>
                </c:pt>
              </c:numCache>
            </c:numRef>
          </c:val>
          <c:extLst>
            <c:ext xmlns:c16="http://schemas.microsoft.com/office/drawing/2014/chart" uri="{C3380CC4-5D6E-409C-BE32-E72D297353CC}">
              <c16:uniqueId val="{000001F5-70B2-4DFE-9551-26E73ED02027}"/>
            </c:ext>
          </c:extLst>
        </c:ser>
        <c:ser>
          <c:idx val="11"/>
          <c:order val="7"/>
          <c:tx>
            <c:strRef>
              <c:f>'NewAndRetiredCapacity Data'!$A$9</c:f>
              <c:strCache>
                <c:ptCount val="1"/>
                <c:pt idx="0">
                  <c:v>Utility Solar</c:v>
                </c:pt>
              </c:strCache>
            </c:strRef>
          </c:tx>
          <c:spPr>
            <a:solidFill>
              <a:srgbClr val="FFC222"/>
            </a:solidFill>
            <a:ln>
              <a:noFill/>
            </a:ln>
          </c:spPr>
          <c:invertIfNegative val="0"/>
          <c:dPt>
            <c:idx val="0"/>
            <c:invertIfNegative val="0"/>
            <c:bubble3D val="0"/>
            <c:spPr>
              <a:solidFill>
                <a:srgbClr val="FFC222"/>
              </a:solidFill>
              <a:ln w="3175" cmpd="sng">
                <a:noFill/>
                <a:prstDash val="solid"/>
              </a:ln>
            </c:spPr>
            <c:extLst>
              <c:ext xmlns:c16="http://schemas.microsoft.com/office/drawing/2014/chart" uri="{C3380CC4-5D6E-409C-BE32-E72D297353CC}">
                <c16:uniqueId val="{000001F8-70B2-4DFE-9551-26E73ED02027}"/>
              </c:ext>
            </c:extLst>
          </c:dPt>
          <c:dPt>
            <c:idx val="1"/>
            <c:invertIfNegative val="0"/>
            <c:bubble3D val="0"/>
            <c:spPr>
              <a:solidFill>
                <a:srgbClr val="FFC222"/>
              </a:solidFill>
              <a:ln w="3175" cmpd="sng">
                <a:noFill/>
                <a:prstDash val="solid"/>
              </a:ln>
            </c:spPr>
            <c:extLst>
              <c:ext xmlns:c16="http://schemas.microsoft.com/office/drawing/2014/chart" uri="{C3380CC4-5D6E-409C-BE32-E72D297353CC}">
                <c16:uniqueId val="{000001FA-70B2-4DFE-9551-26E73ED02027}"/>
              </c:ext>
            </c:extLst>
          </c:dPt>
          <c:dPt>
            <c:idx val="2"/>
            <c:invertIfNegative val="0"/>
            <c:bubble3D val="0"/>
            <c:spPr>
              <a:solidFill>
                <a:srgbClr val="FFC222"/>
              </a:solidFill>
              <a:ln w="3175" cmpd="sng">
                <a:noFill/>
                <a:prstDash val="solid"/>
              </a:ln>
            </c:spPr>
            <c:extLst>
              <c:ext xmlns:c16="http://schemas.microsoft.com/office/drawing/2014/chart" uri="{C3380CC4-5D6E-409C-BE32-E72D297353CC}">
                <c16:uniqueId val="{000001FC-70B2-4DFE-9551-26E73ED02027}"/>
              </c:ext>
            </c:extLst>
          </c:dPt>
          <c:dPt>
            <c:idx val="3"/>
            <c:invertIfNegative val="0"/>
            <c:bubble3D val="0"/>
            <c:spPr>
              <a:solidFill>
                <a:srgbClr val="FFC222"/>
              </a:solidFill>
              <a:ln w="3175" cmpd="sng">
                <a:noFill/>
                <a:prstDash val="solid"/>
              </a:ln>
            </c:spPr>
            <c:extLst>
              <c:ext xmlns:c16="http://schemas.microsoft.com/office/drawing/2014/chart" uri="{C3380CC4-5D6E-409C-BE32-E72D297353CC}">
                <c16:uniqueId val="{000001FE-70B2-4DFE-9551-26E73ED02027}"/>
              </c:ext>
            </c:extLst>
          </c:dPt>
          <c:dPt>
            <c:idx val="4"/>
            <c:invertIfNegative val="0"/>
            <c:bubble3D val="0"/>
            <c:spPr>
              <a:solidFill>
                <a:srgbClr val="FFC222"/>
              </a:solidFill>
              <a:ln w="3175" cmpd="sng">
                <a:noFill/>
                <a:prstDash val="solid"/>
              </a:ln>
            </c:spPr>
            <c:extLst>
              <c:ext xmlns:c16="http://schemas.microsoft.com/office/drawing/2014/chart" uri="{C3380CC4-5D6E-409C-BE32-E72D297353CC}">
                <c16:uniqueId val="{00000200-70B2-4DFE-9551-26E73ED02027}"/>
              </c:ext>
            </c:extLst>
          </c:dPt>
          <c:dPt>
            <c:idx val="5"/>
            <c:invertIfNegative val="0"/>
            <c:bubble3D val="0"/>
            <c:spPr>
              <a:solidFill>
                <a:srgbClr val="FFC222"/>
              </a:solidFill>
              <a:ln w="3175" cmpd="sng">
                <a:noFill/>
                <a:prstDash val="solid"/>
              </a:ln>
            </c:spPr>
            <c:extLst>
              <c:ext xmlns:c16="http://schemas.microsoft.com/office/drawing/2014/chart" uri="{C3380CC4-5D6E-409C-BE32-E72D297353CC}">
                <c16:uniqueId val="{00000202-70B2-4DFE-9551-26E73ED02027}"/>
              </c:ext>
            </c:extLst>
          </c:dPt>
          <c:dPt>
            <c:idx val="6"/>
            <c:invertIfNegative val="0"/>
            <c:bubble3D val="0"/>
            <c:spPr>
              <a:solidFill>
                <a:srgbClr val="FFC222"/>
              </a:solidFill>
              <a:ln w="3175" cmpd="sng">
                <a:noFill/>
                <a:prstDash val="solid"/>
              </a:ln>
            </c:spPr>
            <c:extLst>
              <c:ext xmlns:c16="http://schemas.microsoft.com/office/drawing/2014/chart" uri="{C3380CC4-5D6E-409C-BE32-E72D297353CC}">
                <c16:uniqueId val="{00000204-70B2-4DFE-9551-26E73ED02027}"/>
              </c:ext>
            </c:extLst>
          </c:dPt>
          <c:dPt>
            <c:idx val="7"/>
            <c:invertIfNegative val="0"/>
            <c:bubble3D val="0"/>
            <c:spPr>
              <a:solidFill>
                <a:srgbClr val="FFC222"/>
              </a:solidFill>
              <a:ln w="3175" cmpd="sng">
                <a:noFill/>
                <a:prstDash val="solid"/>
              </a:ln>
            </c:spPr>
            <c:extLst>
              <c:ext xmlns:c16="http://schemas.microsoft.com/office/drawing/2014/chart" uri="{C3380CC4-5D6E-409C-BE32-E72D297353CC}">
                <c16:uniqueId val="{00000206-70B2-4DFE-9551-26E73ED02027}"/>
              </c:ext>
            </c:extLst>
          </c:dPt>
          <c:dPt>
            <c:idx val="8"/>
            <c:invertIfNegative val="0"/>
            <c:bubble3D val="0"/>
            <c:spPr>
              <a:solidFill>
                <a:srgbClr val="FFC222"/>
              </a:solidFill>
              <a:ln w="3175" cmpd="sng">
                <a:noFill/>
                <a:prstDash val="solid"/>
              </a:ln>
            </c:spPr>
            <c:extLst>
              <c:ext xmlns:c16="http://schemas.microsoft.com/office/drawing/2014/chart" uri="{C3380CC4-5D6E-409C-BE32-E72D297353CC}">
                <c16:uniqueId val="{00000208-70B2-4DFE-9551-26E73ED02027}"/>
              </c:ext>
            </c:extLst>
          </c:dPt>
          <c:dPt>
            <c:idx val="9"/>
            <c:invertIfNegative val="0"/>
            <c:bubble3D val="0"/>
            <c:spPr>
              <a:solidFill>
                <a:srgbClr val="FFC222"/>
              </a:solidFill>
              <a:ln w="3175" cmpd="sng">
                <a:noFill/>
                <a:prstDash val="solid"/>
              </a:ln>
            </c:spPr>
            <c:extLst>
              <c:ext xmlns:c16="http://schemas.microsoft.com/office/drawing/2014/chart" uri="{C3380CC4-5D6E-409C-BE32-E72D297353CC}">
                <c16:uniqueId val="{0000020A-70B2-4DFE-9551-26E73ED02027}"/>
              </c:ext>
            </c:extLst>
          </c:dPt>
          <c:dPt>
            <c:idx val="10"/>
            <c:invertIfNegative val="0"/>
            <c:bubble3D val="0"/>
            <c:spPr>
              <a:solidFill>
                <a:srgbClr val="FFC222"/>
              </a:solidFill>
              <a:ln w="3175" cmpd="sng">
                <a:noFill/>
                <a:prstDash val="solid"/>
              </a:ln>
            </c:spPr>
            <c:extLst>
              <c:ext xmlns:c16="http://schemas.microsoft.com/office/drawing/2014/chart" uri="{C3380CC4-5D6E-409C-BE32-E72D297353CC}">
                <c16:uniqueId val="{0000020C-70B2-4DFE-9551-26E73ED02027}"/>
              </c:ext>
            </c:extLst>
          </c:dPt>
          <c:dPt>
            <c:idx val="11"/>
            <c:invertIfNegative val="0"/>
            <c:bubble3D val="0"/>
            <c:spPr>
              <a:solidFill>
                <a:srgbClr val="FFC222"/>
              </a:solidFill>
              <a:ln w="3175" cmpd="sng">
                <a:noFill/>
                <a:prstDash val="solid"/>
              </a:ln>
            </c:spPr>
            <c:extLst>
              <c:ext xmlns:c16="http://schemas.microsoft.com/office/drawing/2014/chart" uri="{C3380CC4-5D6E-409C-BE32-E72D297353CC}">
                <c16:uniqueId val="{0000020E-70B2-4DFE-9551-26E73ED02027}"/>
              </c:ext>
            </c:extLst>
          </c:dPt>
          <c:dPt>
            <c:idx val="12"/>
            <c:invertIfNegative val="0"/>
            <c:bubble3D val="0"/>
            <c:spPr>
              <a:solidFill>
                <a:srgbClr val="FFC222"/>
              </a:solidFill>
              <a:ln w="3175" cmpd="sng">
                <a:noFill/>
                <a:prstDash val="solid"/>
              </a:ln>
            </c:spPr>
            <c:extLst>
              <c:ext xmlns:c16="http://schemas.microsoft.com/office/drawing/2014/chart" uri="{C3380CC4-5D6E-409C-BE32-E72D297353CC}">
                <c16:uniqueId val="{00000210-70B2-4DFE-9551-26E73ED02027}"/>
              </c:ext>
            </c:extLst>
          </c:dPt>
          <c:dPt>
            <c:idx val="13"/>
            <c:invertIfNegative val="0"/>
            <c:bubble3D val="0"/>
            <c:spPr>
              <a:solidFill>
                <a:srgbClr val="FFC222"/>
              </a:solidFill>
              <a:ln w="3175" cmpd="sng">
                <a:noFill/>
                <a:prstDash val="solid"/>
              </a:ln>
            </c:spPr>
            <c:extLst>
              <c:ext xmlns:c16="http://schemas.microsoft.com/office/drawing/2014/chart" uri="{C3380CC4-5D6E-409C-BE32-E72D297353CC}">
                <c16:uniqueId val="{00000212-70B2-4DFE-9551-26E73ED02027}"/>
              </c:ext>
            </c:extLst>
          </c:dPt>
          <c:dPt>
            <c:idx val="14"/>
            <c:invertIfNegative val="0"/>
            <c:bubble3D val="0"/>
            <c:spPr>
              <a:solidFill>
                <a:srgbClr val="FFC222"/>
              </a:solidFill>
              <a:ln w="3175" cmpd="sng">
                <a:noFill/>
                <a:prstDash val="solid"/>
              </a:ln>
            </c:spPr>
            <c:extLst>
              <c:ext xmlns:c16="http://schemas.microsoft.com/office/drawing/2014/chart" uri="{C3380CC4-5D6E-409C-BE32-E72D297353CC}">
                <c16:uniqueId val="{00000214-70B2-4DFE-9551-26E73ED02027}"/>
              </c:ext>
            </c:extLst>
          </c:dPt>
          <c:dPt>
            <c:idx val="15"/>
            <c:invertIfNegative val="0"/>
            <c:bubble3D val="0"/>
            <c:spPr>
              <a:solidFill>
                <a:srgbClr val="FFC222"/>
              </a:solidFill>
              <a:ln w="3175" cmpd="sng">
                <a:noFill/>
                <a:prstDash val="solid"/>
              </a:ln>
            </c:spPr>
            <c:extLst>
              <c:ext xmlns:c16="http://schemas.microsoft.com/office/drawing/2014/chart" uri="{C3380CC4-5D6E-409C-BE32-E72D297353CC}">
                <c16:uniqueId val="{00000216-70B2-4DFE-9551-26E73ED02027}"/>
              </c:ext>
            </c:extLst>
          </c:dPt>
          <c:dPt>
            <c:idx val="16"/>
            <c:invertIfNegative val="0"/>
            <c:bubble3D val="0"/>
            <c:spPr>
              <a:solidFill>
                <a:srgbClr val="FFC222"/>
              </a:solidFill>
              <a:ln w="3175" cmpd="sng">
                <a:noFill/>
                <a:prstDash val="solid"/>
              </a:ln>
            </c:spPr>
            <c:extLst>
              <c:ext xmlns:c16="http://schemas.microsoft.com/office/drawing/2014/chart" uri="{C3380CC4-5D6E-409C-BE32-E72D297353CC}">
                <c16:uniqueId val="{00000218-70B2-4DFE-9551-26E73ED02027}"/>
              </c:ext>
            </c:extLst>
          </c:dPt>
          <c:dPt>
            <c:idx val="17"/>
            <c:invertIfNegative val="0"/>
            <c:bubble3D val="0"/>
            <c:spPr>
              <a:solidFill>
                <a:srgbClr val="FFC222"/>
              </a:solidFill>
              <a:ln w="3175" cmpd="sng">
                <a:noFill/>
                <a:prstDash val="solid"/>
              </a:ln>
            </c:spPr>
            <c:extLst>
              <c:ext xmlns:c16="http://schemas.microsoft.com/office/drawing/2014/chart" uri="{C3380CC4-5D6E-409C-BE32-E72D297353CC}">
                <c16:uniqueId val="{0000021A-70B2-4DFE-9551-26E73ED02027}"/>
              </c:ext>
            </c:extLst>
          </c:dPt>
          <c:dPt>
            <c:idx val="18"/>
            <c:invertIfNegative val="0"/>
            <c:bubble3D val="0"/>
            <c:spPr>
              <a:solidFill>
                <a:srgbClr val="FFC222"/>
              </a:solidFill>
              <a:ln w="3175" cmpd="sng">
                <a:noFill/>
                <a:prstDash val="solid"/>
              </a:ln>
            </c:spPr>
            <c:extLst>
              <c:ext xmlns:c16="http://schemas.microsoft.com/office/drawing/2014/chart" uri="{C3380CC4-5D6E-409C-BE32-E72D297353CC}">
                <c16:uniqueId val="{0000021C-70B2-4DFE-9551-26E73ED02027}"/>
              </c:ext>
            </c:extLst>
          </c:dPt>
          <c:dPt>
            <c:idx val="19"/>
            <c:invertIfNegative val="0"/>
            <c:bubble3D val="0"/>
            <c:spPr>
              <a:solidFill>
                <a:srgbClr val="FFC222"/>
              </a:solidFill>
              <a:ln w="3175" cmpd="sng">
                <a:noFill/>
                <a:prstDash val="solid"/>
              </a:ln>
            </c:spPr>
            <c:extLst>
              <c:ext xmlns:c16="http://schemas.microsoft.com/office/drawing/2014/chart" uri="{C3380CC4-5D6E-409C-BE32-E72D297353CC}">
                <c16:uniqueId val="{0000021E-70B2-4DFE-9551-26E73ED02027}"/>
              </c:ext>
            </c:extLst>
          </c:dPt>
          <c:dPt>
            <c:idx val="20"/>
            <c:invertIfNegative val="0"/>
            <c:bubble3D val="0"/>
            <c:spPr>
              <a:solidFill>
                <a:srgbClr val="FFC222"/>
              </a:solidFill>
              <a:ln w="3175" cmpd="sng">
                <a:noFill/>
                <a:prstDash val="solid"/>
              </a:ln>
            </c:spPr>
            <c:extLst>
              <c:ext xmlns:c16="http://schemas.microsoft.com/office/drawing/2014/chart" uri="{C3380CC4-5D6E-409C-BE32-E72D297353CC}">
                <c16:uniqueId val="{00000220-70B2-4DFE-9551-26E73ED02027}"/>
              </c:ext>
            </c:extLst>
          </c:dPt>
          <c:dPt>
            <c:idx val="21"/>
            <c:invertIfNegative val="0"/>
            <c:bubble3D val="0"/>
            <c:spPr>
              <a:solidFill>
                <a:srgbClr val="FFC222"/>
              </a:solidFill>
              <a:ln w="3175" cmpd="sng">
                <a:noFill/>
                <a:prstDash val="solid"/>
              </a:ln>
            </c:spPr>
            <c:extLst>
              <c:ext xmlns:c16="http://schemas.microsoft.com/office/drawing/2014/chart" uri="{C3380CC4-5D6E-409C-BE32-E72D297353CC}">
                <c16:uniqueId val="{00000222-70B2-4DFE-9551-26E73ED02027}"/>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Data'!$B$9:$W$9</c:f>
              <c:numCache>
                <c:formatCode>#,##0_ ;\-#,##0\ </c:formatCode>
                <c:ptCount val="22"/>
                <c:pt idx="0">
                  <c:v>0</c:v>
                </c:pt>
                <c:pt idx="1">
                  <c:v>474.60245868000038</c:v>
                </c:pt>
                <c:pt idx="2">
                  <c:v>474.60245868000038</c:v>
                </c:pt>
                <c:pt idx="3">
                  <c:v>570.60245868000038</c:v>
                </c:pt>
                <c:pt idx="4">
                  <c:v>1549.6816337400001</c:v>
                </c:pt>
                <c:pt idx="5">
                  <c:v>2133.6816337400001</c:v>
                </c:pt>
                <c:pt idx="6">
                  <c:v>3459.6116768899997</c:v>
                </c:pt>
                <c:pt idx="7">
                  <c:v>4720.3290502799991</c:v>
                </c:pt>
                <c:pt idx="8">
                  <c:v>5367.0802352299997</c:v>
                </c:pt>
                <c:pt idx="9">
                  <c:v>5928.3672412899996</c:v>
                </c:pt>
                <c:pt idx="10">
                  <c:v>6535.7106210399998</c:v>
                </c:pt>
                <c:pt idx="11">
                  <c:v>7116.1324114899999</c:v>
                </c:pt>
                <c:pt idx="12">
                  <c:v>7116.1324114899999</c:v>
                </c:pt>
                <c:pt idx="13">
                  <c:v>7116.1324114899999</c:v>
                </c:pt>
                <c:pt idx="14">
                  <c:v>7116.1324114899999</c:v>
                </c:pt>
                <c:pt idx="15">
                  <c:v>7116.1324114899999</c:v>
                </c:pt>
                <c:pt idx="16">
                  <c:v>8298.6230721000011</c:v>
                </c:pt>
                <c:pt idx="17">
                  <c:v>11654.924073329999</c:v>
                </c:pt>
                <c:pt idx="18">
                  <c:v>15410.003112779998</c:v>
                </c:pt>
                <c:pt idx="19">
                  <c:v>15934.357155890002</c:v>
                </c:pt>
                <c:pt idx="20">
                  <c:v>17164.928192079999</c:v>
                </c:pt>
                <c:pt idx="21">
                  <c:v>17449.608943989999</c:v>
                </c:pt>
              </c:numCache>
            </c:numRef>
          </c:val>
          <c:extLst>
            <c:ext xmlns:c16="http://schemas.microsoft.com/office/drawing/2014/chart" uri="{C3380CC4-5D6E-409C-BE32-E72D297353CC}">
              <c16:uniqueId val="{00000223-70B2-4DFE-9551-26E73ED02027}"/>
            </c:ext>
          </c:extLst>
        </c:ser>
        <c:ser>
          <c:idx val="9"/>
          <c:order val="8"/>
          <c:tx>
            <c:strRef>
              <c:f>'NewAndRetiredCapacity Data'!$A$10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25-70B2-4DFE-9551-26E73ED02027}"/>
              </c:ext>
            </c:extLst>
          </c:dPt>
          <c:dPt>
            <c:idx val="1"/>
            <c:invertIfNegative val="0"/>
            <c:bubble3D val="0"/>
            <c:extLst>
              <c:ext xmlns:c16="http://schemas.microsoft.com/office/drawing/2014/chart" uri="{C3380CC4-5D6E-409C-BE32-E72D297353CC}">
                <c16:uniqueId val="{00000226-70B2-4DFE-9551-26E73ED02027}"/>
              </c:ext>
            </c:extLst>
          </c:dPt>
          <c:dPt>
            <c:idx val="2"/>
            <c:invertIfNegative val="0"/>
            <c:bubble3D val="0"/>
            <c:extLst>
              <c:ext xmlns:c16="http://schemas.microsoft.com/office/drawing/2014/chart" uri="{C3380CC4-5D6E-409C-BE32-E72D297353CC}">
                <c16:uniqueId val="{00000227-70B2-4DFE-9551-26E73ED02027}"/>
              </c:ext>
            </c:extLst>
          </c:dPt>
          <c:dPt>
            <c:idx val="3"/>
            <c:invertIfNegative val="0"/>
            <c:bubble3D val="0"/>
            <c:extLst>
              <c:ext xmlns:c16="http://schemas.microsoft.com/office/drawing/2014/chart" uri="{C3380CC4-5D6E-409C-BE32-E72D297353CC}">
                <c16:uniqueId val="{00000228-70B2-4DFE-9551-26E73ED02027}"/>
              </c:ext>
            </c:extLst>
          </c:dPt>
          <c:dPt>
            <c:idx val="4"/>
            <c:invertIfNegative val="0"/>
            <c:bubble3D val="0"/>
            <c:extLst>
              <c:ext xmlns:c16="http://schemas.microsoft.com/office/drawing/2014/chart" uri="{C3380CC4-5D6E-409C-BE32-E72D297353CC}">
                <c16:uniqueId val="{00000229-70B2-4DFE-9551-26E73ED02027}"/>
              </c:ext>
            </c:extLst>
          </c:dPt>
          <c:dPt>
            <c:idx val="5"/>
            <c:invertIfNegative val="0"/>
            <c:bubble3D val="0"/>
            <c:extLst>
              <c:ext xmlns:c16="http://schemas.microsoft.com/office/drawing/2014/chart" uri="{C3380CC4-5D6E-409C-BE32-E72D297353CC}">
                <c16:uniqueId val="{0000022A-70B2-4DFE-9551-26E73ED02027}"/>
              </c:ext>
            </c:extLst>
          </c:dPt>
          <c:dPt>
            <c:idx val="6"/>
            <c:invertIfNegative val="0"/>
            <c:bubble3D val="0"/>
            <c:extLst>
              <c:ext xmlns:c16="http://schemas.microsoft.com/office/drawing/2014/chart" uri="{C3380CC4-5D6E-409C-BE32-E72D297353CC}">
                <c16:uniqueId val="{0000022B-70B2-4DFE-9551-26E73ED02027}"/>
              </c:ext>
            </c:extLst>
          </c:dPt>
          <c:dPt>
            <c:idx val="7"/>
            <c:invertIfNegative val="0"/>
            <c:bubble3D val="0"/>
            <c:extLst>
              <c:ext xmlns:c16="http://schemas.microsoft.com/office/drawing/2014/chart" uri="{C3380CC4-5D6E-409C-BE32-E72D297353CC}">
                <c16:uniqueId val="{0000022C-70B2-4DFE-9551-26E73ED02027}"/>
              </c:ext>
            </c:extLst>
          </c:dPt>
          <c:dPt>
            <c:idx val="8"/>
            <c:invertIfNegative val="0"/>
            <c:bubble3D val="0"/>
            <c:extLst>
              <c:ext xmlns:c16="http://schemas.microsoft.com/office/drawing/2014/chart" uri="{C3380CC4-5D6E-409C-BE32-E72D297353CC}">
                <c16:uniqueId val="{0000022D-70B2-4DFE-9551-26E73ED02027}"/>
              </c:ext>
            </c:extLst>
          </c:dPt>
          <c:dPt>
            <c:idx val="9"/>
            <c:invertIfNegative val="0"/>
            <c:bubble3D val="0"/>
            <c:extLst>
              <c:ext xmlns:c16="http://schemas.microsoft.com/office/drawing/2014/chart" uri="{C3380CC4-5D6E-409C-BE32-E72D297353CC}">
                <c16:uniqueId val="{0000022E-70B2-4DFE-9551-26E73ED02027}"/>
              </c:ext>
            </c:extLst>
          </c:dPt>
          <c:dPt>
            <c:idx val="10"/>
            <c:invertIfNegative val="0"/>
            <c:bubble3D val="0"/>
            <c:extLst>
              <c:ext xmlns:c16="http://schemas.microsoft.com/office/drawing/2014/chart" uri="{C3380CC4-5D6E-409C-BE32-E72D297353CC}">
                <c16:uniqueId val="{0000022F-70B2-4DFE-9551-26E73ED02027}"/>
              </c:ext>
            </c:extLst>
          </c:dPt>
          <c:dPt>
            <c:idx val="11"/>
            <c:invertIfNegative val="0"/>
            <c:bubble3D val="0"/>
            <c:extLst>
              <c:ext xmlns:c16="http://schemas.microsoft.com/office/drawing/2014/chart" uri="{C3380CC4-5D6E-409C-BE32-E72D297353CC}">
                <c16:uniqueId val="{00000230-70B2-4DFE-9551-26E73ED02027}"/>
              </c:ext>
            </c:extLst>
          </c:dPt>
          <c:dPt>
            <c:idx val="12"/>
            <c:invertIfNegative val="0"/>
            <c:bubble3D val="0"/>
            <c:extLst>
              <c:ext xmlns:c16="http://schemas.microsoft.com/office/drawing/2014/chart" uri="{C3380CC4-5D6E-409C-BE32-E72D297353CC}">
                <c16:uniqueId val="{00000231-70B2-4DFE-9551-26E73ED02027}"/>
              </c:ext>
            </c:extLst>
          </c:dPt>
          <c:dPt>
            <c:idx val="13"/>
            <c:invertIfNegative val="0"/>
            <c:bubble3D val="0"/>
            <c:extLst>
              <c:ext xmlns:c16="http://schemas.microsoft.com/office/drawing/2014/chart" uri="{C3380CC4-5D6E-409C-BE32-E72D297353CC}">
                <c16:uniqueId val="{00000232-70B2-4DFE-9551-26E73ED02027}"/>
              </c:ext>
            </c:extLst>
          </c:dPt>
          <c:dPt>
            <c:idx val="14"/>
            <c:invertIfNegative val="0"/>
            <c:bubble3D val="0"/>
            <c:extLst>
              <c:ext xmlns:c16="http://schemas.microsoft.com/office/drawing/2014/chart" uri="{C3380CC4-5D6E-409C-BE32-E72D297353CC}">
                <c16:uniqueId val="{00000233-70B2-4DFE-9551-26E73ED02027}"/>
              </c:ext>
            </c:extLst>
          </c:dPt>
          <c:dPt>
            <c:idx val="15"/>
            <c:invertIfNegative val="0"/>
            <c:bubble3D val="0"/>
            <c:extLst>
              <c:ext xmlns:c16="http://schemas.microsoft.com/office/drawing/2014/chart" uri="{C3380CC4-5D6E-409C-BE32-E72D297353CC}">
                <c16:uniqueId val="{00000234-70B2-4DFE-9551-26E73ED02027}"/>
              </c:ext>
            </c:extLst>
          </c:dPt>
          <c:dPt>
            <c:idx val="16"/>
            <c:invertIfNegative val="0"/>
            <c:bubble3D val="0"/>
            <c:extLst>
              <c:ext xmlns:c16="http://schemas.microsoft.com/office/drawing/2014/chart" uri="{C3380CC4-5D6E-409C-BE32-E72D297353CC}">
                <c16:uniqueId val="{00000235-70B2-4DFE-9551-26E73ED02027}"/>
              </c:ext>
            </c:extLst>
          </c:dPt>
          <c:dPt>
            <c:idx val="17"/>
            <c:invertIfNegative val="0"/>
            <c:bubble3D val="0"/>
            <c:extLst>
              <c:ext xmlns:c16="http://schemas.microsoft.com/office/drawing/2014/chart" uri="{C3380CC4-5D6E-409C-BE32-E72D297353CC}">
                <c16:uniqueId val="{00000236-70B2-4DFE-9551-26E73ED02027}"/>
              </c:ext>
            </c:extLst>
          </c:dPt>
          <c:dPt>
            <c:idx val="18"/>
            <c:invertIfNegative val="0"/>
            <c:bubble3D val="0"/>
            <c:extLst>
              <c:ext xmlns:c16="http://schemas.microsoft.com/office/drawing/2014/chart" uri="{C3380CC4-5D6E-409C-BE32-E72D297353CC}">
                <c16:uniqueId val="{00000237-70B2-4DFE-9551-26E73ED02027}"/>
              </c:ext>
            </c:extLst>
          </c:dPt>
          <c:dPt>
            <c:idx val="19"/>
            <c:invertIfNegative val="0"/>
            <c:bubble3D val="0"/>
            <c:extLst>
              <c:ext xmlns:c16="http://schemas.microsoft.com/office/drawing/2014/chart" uri="{C3380CC4-5D6E-409C-BE32-E72D297353CC}">
                <c16:uniqueId val="{00000238-70B2-4DFE-9551-26E73ED02027}"/>
              </c:ext>
            </c:extLst>
          </c:dPt>
          <c:dPt>
            <c:idx val="20"/>
            <c:invertIfNegative val="0"/>
            <c:bubble3D val="0"/>
            <c:extLst>
              <c:ext xmlns:c16="http://schemas.microsoft.com/office/drawing/2014/chart" uri="{C3380CC4-5D6E-409C-BE32-E72D297353CC}">
                <c16:uniqueId val="{00000239-70B2-4DFE-9551-26E73ED02027}"/>
              </c:ext>
            </c:extLst>
          </c:dPt>
          <c:dPt>
            <c:idx val="21"/>
            <c:invertIfNegative val="0"/>
            <c:bubble3D val="0"/>
            <c:extLst>
              <c:ext xmlns:c16="http://schemas.microsoft.com/office/drawing/2014/chart" uri="{C3380CC4-5D6E-409C-BE32-E72D297353CC}">
                <c16:uniqueId val="{0000023A-70B2-4DFE-9551-26E73ED02027}"/>
              </c:ext>
            </c:extLst>
          </c:dPt>
          <c:dPt>
            <c:idx val="22"/>
            <c:invertIfNegative val="0"/>
            <c:bubble3D val="0"/>
            <c:extLst>
              <c:ext xmlns:c16="http://schemas.microsoft.com/office/drawing/2014/chart" uri="{C3380CC4-5D6E-409C-BE32-E72D297353CC}">
                <c16:uniqueId val="{0000023B-70B2-4DFE-9551-26E73ED02027}"/>
              </c:ext>
            </c:extLst>
          </c:dPt>
          <c:dPt>
            <c:idx val="23"/>
            <c:invertIfNegative val="0"/>
            <c:bubble3D val="0"/>
            <c:extLst>
              <c:ext xmlns:c16="http://schemas.microsoft.com/office/drawing/2014/chart" uri="{C3380CC4-5D6E-409C-BE32-E72D297353CC}">
                <c16:uniqueId val="{0000023C-70B2-4DFE-9551-26E73ED02027}"/>
              </c:ext>
            </c:extLst>
          </c:dPt>
          <c:dPt>
            <c:idx val="24"/>
            <c:invertIfNegative val="0"/>
            <c:bubble3D val="0"/>
            <c:extLst>
              <c:ext xmlns:c16="http://schemas.microsoft.com/office/drawing/2014/chart" uri="{C3380CC4-5D6E-409C-BE32-E72D297353CC}">
                <c16:uniqueId val="{0000023D-70B2-4DFE-9551-26E73ED02027}"/>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Data'!$B$10:$W$10</c:f>
              <c:numCache>
                <c:formatCode>#,##0_ ;\-#,##0\ </c:formatCode>
                <c:ptCount val="22"/>
                <c:pt idx="0">
                  <c:v>0</c:v>
                </c:pt>
                <c:pt idx="1">
                  <c:v>20</c:v>
                </c:pt>
                <c:pt idx="2">
                  <c:v>120</c:v>
                </c:pt>
                <c:pt idx="3">
                  <c:v>120</c:v>
                </c:pt>
                <c:pt idx="4">
                  <c:v>120</c:v>
                </c:pt>
                <c:pt idx="5">
                  <c:v>120</c:v>
                </c:pt>
                <c:pt idx="6">
                  <c:v>322.37627999999995</c:v>
                </c:pt>
                <c:pt idx="7">
                  <c:v>487.87858000000006</c:v>
                </c:pt>
                <c:pt idx="8">
                  <c:v>487.87858000000006</c:v>
                </c:pt>
                <c:pt idx="9">
                  <c:v>487.87858000000006</c:v>
                </c:pt>
                <c:pt idx="10">
                  <c:v>487.87858000000006</c:v>
                </c:pt>
                <c:pt idx="11">
                  <c:v>1112.2205090000002</c:v>
                </c:pt>
                <c:pt idx="12">
                  <c:v>1112.2205090000002</c:v>
                </c:pt>
                <c:pt idx="13">
                  <c:v>1112.2205090000002</c:v>
                </c:pt>
                <c:pt idx="14">
                  <c:v>1559.3442959999998</c:v>
                </c:pt>
                <c:pt idx="15">
                  <c:v>1821.8486189999999</c:v>
                </c:pt>
                <c:pt idx="16">
                  <c:v>3594.6387399999999</c:v>
                </c:pt>
                <c:pt idx="17">
                  <c:v>5867.2803309999999</c:v>
                </c:pt>
                <c:pt idx="18">
                  <c:v>8740.4491569999991</c:v>
                </c:pt>
                <c:pt idx="19">
                  <c:v>9166.9103020000002</c:v>
                </c:pt>
                <c:pt idx="20">
                  <c:v>10114.026132999999</c:v>
                </c:pt>
                <c:pt idx="21">
                  <c:v>10294.818201999999</c:v>
                </c:pt>
              </c:numCache>
            </c:numRef>
          </c:val>
          <c:extLst>
            <c:ext xmlns:c16="http://schemas.microsoft.com/office/drawing/2014/chart" uri="{C3380CC4-5D6E-409C-BE32-E72D297353CC}">
              <c16:uniqueId val="{0000023E-70B2-4DFE-9551-26E73ED02027}"/>
            </c:ext>
          </c:extLst>
        </c:ser>
        <c:ser>
          <c:idx val="6"/>
          <c:order val="9"/>
          <c:tx>
            <c:strRef>
              <c:f>'NewAndRetiredCapacity Data'!$A$12</c:f>
              <c:strCache>
                <c:ptCount val="1"/>
                <c:pt idx="0">
                  <c:v>Distributed storage</c:v>
                </c:pt>
              </c:strCache>
            </c:strRef>
          </c:tx>
          <c:spPr>
            <a:solidFill>
              <a:srgbClr val="92D050"/>
            </a:solidFill>
            <a:ln>
              <a:noFill/>
            </a:ln>
            <a:effectLst/>
          </c:spPr>
          <c:invertIfNegative val="0"/>
          <c:dPt>
            <c:idx val="0"/>
            <c:invertIfNegative val="0"/>
            <c:bubble3D val="0"/>
            <c:extLst>
              <c:ext xmlns:c16="http://schemas.microsoft.com/office/drawing/2014/chart" uri="{C3380CC4-5D6E-409C-BE32-E72D297353CC}">
                <c16:uniqueId val="{00000240-70B2-4DFE-9551-26E73ED02027}"/>
              </c:ext>
            </c:extLst>
          </c:dPt>
          <c:dPt>
            <c:idx val="1"/>
            <c:invertIfNegative val="0"/>
            <c:bubble3D val="0"/>
            <c:extLst>
              <c:ext xmlns:c16="http://schemas.microsoft.com/office/drawing/2014/chart" uri="{C3380CC4-5D6E-409C-BE32-E72D297353CC}">
                <c16:uniqueId val="{00000241-70B2-4DFE-9551-26E73ED02027}"/>
              </c:ext>
            </c:extLst>
          </c:dPt>
          <c:dPt>
            <c:idx val="2"/>
            <c:invertIfNegative val="0"/>
            <c:bubble3D val="0"/>
            <c:extLst>
              <c:ext xmlns:c16="http://schemas.microsoft.com/office/drawing/2014/chart" uri="{C3380CC4-5D6E-409C-BE32-E72D297353CC}">
                <c16:uniqueId val="{00000242-70B2-4DFE-9551-26E73ED02027}"/>
              </c:ext>
            </c:extLst>
          </c:dPt>
          <c:dPt>
            <c:idx val="3"/>
            <c:invertIfNegative val="0"/>
            <c:bubble3D val="0"/>
            <c:extLst>
              <c:ext xmlns:c16="http://schemas.microsoft.com/office/drawing/2014/chart" uri="{C3380CC4-5D6E-409C-BE32-E72D297353CC}">
                <c16:uniqueId val="{00000243-70B2-4DFE-9551-26E73ED02027}"/>
              </c:ext>
            </c:extLst>
          </c:dPt>
          <c:dPt>
            <c:idx val="4"/>
            <c:invertIfNegative val="0"/>
            <c:bubble3D val="0"/>
            <c:extLst>
              <c:ext xmlns:c16="http://schemas.microsoft.com/office/drawing/2014/chart" uri="{C3380CC4-5D6E-409C-BE32-E72D297353CC}">
                <c16:uniqueId val="{00000244-70B2-4DFE-9551-26E73ED02027}"/>
              </c:ext>
            </c:extLst>
          </c:dPt>
          <c:dPt>
            <c:idx val="5"/>
            <c:invertIfNegative val="0"/>
            <c:bubble3D val="0"/>
            <c:extLst>
              <c:ext xmlns:c16="http://schemas.microsoft.com/office/drawing/2014/chart" uri="{C3380CC4-5D6E-409C-BE32-E72D297353CC}">
                <c16:uniqueId val="{00000245-70B2-4DFE-9551-26E73ED02027}"/>
              </c:ext>
            </c:extLst>
          </c:dPt>
          <c:dPt>
            <c:idx val="6"/>
            <c:invertIfNegative val="0"/>
            <c:bubble3D val="0"/>
            <c:extLst>
              <c:ext xmlns:c16="http://schemas.microsoft.com/office/drawing/2014/chart" uri="{C3380CC4-5D6E-409C-BE32-E72D297353CC}">
                <c16:uniqueId val="{00000246-70B2-4DFE-9551-26E73ED02027}"/>
              </c:ext>
            </c:extLst>
          </c:dPt>
          <c:dPt>
            <c:idx val="7"/>
            <c:invertIfNegative val="0"/>
            <c:bubble3D val="0"/>
            <c:extLst>
              <c:ext xmlns:c16="http://schemas.microsoft.com/office/drawing/2014/chart" uri="{C3380CC4-5D6E-409C-BE32-E72D297353CC}">
                <c16:uniqueId val="{00000247-70B2-4DFE-9551-26E73ED02027}"/>
              </c:ext>
            </c:extLst>
          </c:dPt>
          <c:dPt>
            <c:idx val="8"/>
            <c:invertIfNegative val="0"/>
            <c:bubble3D val="0"/>
            <c:extLst>
              <c:ext xmlns:c16="http://schemas.microsoft.com/office/drawing/2014/chart" uri="{C3380CC4-5D6E-409C-BE32-E72D297353CC}">
                <c16:uniqueId val="{00000248-70B2-4DFE-9551-26E73ED02027}"/>
              </c:ext>
            </c:extLst>
          </c:dPt>
          <c:dPt>
            <c:idx val="9"/>
            <c:invertIfNegative val="0"/>
            <c:bubble3D val="0"/>
            <c:extLst>
              <c:ext xmlns:c16="http://schemas.microsoft.com/office/drawing/2014/chart" uri="{C3380CC4-5D6E-409C-BE32-E72D297353CC}">
                <c16:uniqueId val="{00000249-70B2-4DFE-9551-26E73ED02027}"/>
              </c:ext>
            </c:extLst>
          </c:dPt>
          <c:dPt>
            <c:idx val="10"/>
            <c:invertIfNegative val="0"/>
            <c:bubble3D val="0"/>
            <c:extLst>
              <c:ext xmlns:c16="http://schemas.microsoft.com/office/drawing/2014/chart" uri="{C3380CC4-5D6E-409C-BE32-E72D297353CC}">
                <c16:uniqueId val="{0000024A-70B2-4DFE-9551-26E73ED02027}"/>
              </c:ext>
            </c:extLst>
          </c:dPt>
          <c:dPt>
            <c:idx val="11"/>
            <c:invertIfNegative val="0"/>
            <c:bubble3D val="0"/>
            <c:extLst>
              <c:ext xmlns:c16="http://schemas.microsoft.com/office/drawing/2014/chart" uri="{C3380CC4-5D6E-409C-BE32-E72D297353CC}">
                <c16:uniqueId val="{0000024B-70B2-4DFE-9551-26E73ED02027}"/>
              </c:ext>
            </c:extLst>
          </c:dPt>
          <c:dPt>
            <c:idx val="12"/>
            <c:invertIfNegative val="0"/>
            <c:bubble3D val="0"/>
            <c:extLst>
              <c:ext xmlns:c16="http://schemas.microsoft.com/office/drawing/2014/chart" uri="{C3380CC4-5D6E-409C-BE32-E72D297353CC}">
                <c16:uniqueId val="{0000024C-70B2-4DFE-9551-26E73ED02027}"/>
              </c:ext>
            </c:extLst>
          </c:dPt>
          <c:dPt>
            <c:idx val="13"/>
            <c:invertIfNegative val="0"/>
            <c:bubble3D val="0"/>
            <c:extLst>
              <c:ext xmlns:c16="http://schemas.microsoft.com/office/drawing/2014/chart" uri="{C3380CC4-5D6E-409C-BE32-E72D297353CC}">
                <c16:uniqueId val="{0000024D-70B2-4DFE-9551-26E73ED02027}"/>
              </c:ext>
            </c:extLst>
          </c:dPt>
          <c:dPt>
            <c:idx val="14"/>
            <c:invertIfNegative val="0"/>
            <c:bubble3D val="0"/>
            <c:extLst>
              <c:ext xmlns:c16="http://schemas.microsoft.com/office/drawing/2014/chart" uri="{C3380CC4-5D6E-409C-BE32-E72D297353CC}">
                <c16:uniqueId val="{0000024E-70B2-4DFE-9551-26E73ED02027}"/>
              </c:ext>
            </c:extLst>
          </c:dPt>
          <c:dPt>
            <c:idx val="15"/>
            <c:invertIfNegative val="0"/>
            <c:bubble3D val="0"/>
            <c:extLst>
              <c:ext xmlns:c16="http://schemas.microsoft.com/office/drawing/2014/chart" uri="{C3380CC4-5D6E-409C-BE32-E72D297353CC}">
                <c16:uniqueId val="{0000024F-70B2-4DFE-9551-26E73ED02027}"/>
              </c:ext>
            </c:extLst>
          </c:dPt>
          <c:dPt>
            <c:idx val="16"/>
            <c:invertIfNegative val="0"/>
            <c:bubble3D val="0"/>
            <c:extLst>
              <c:ext xmlns:c16="http://schemas.microsoft.com/office/drawing/2014/chart" uri="{C3380CC4-5D6E-409C-BE32-E72D297353CC}">
                <c16:uniqueId val="{00000250-70B2-4DFE-9551-26E73ED02027}"/>
              </c:ext>
            </c:extLst>
          </c:dPt>
          <c:dPt>
            <c:idx val="17"/>
            <c:invertIfNegative val="0"/>
            <c:bubble3D val="0"/>
            <c:extLst>
              <c:ext xmlns:c16="http://schemas.microsoft.com/office/drawing/2014/chart" uri="{C3380CC4-5D6E-409C-BE32-E72D297353CC}">
                <c16:uniqueId val="{00000251-70B2-4DFE-9551-26E73ED02027}"/>
              </c:ext>
            </c:extLst>
          </c:dPt>
          <c:dPt>
            <c:idx val="18"/>
            <c:invertIfNegative val="0"/>
            <c:bubble3D val="0"/>
            <c:extLst>
              <c:ext xmlns:c16="http://schemas.microsoft.com/office/drawing/2014/chart" uri="{C3380CC4-5D6E-409C-BE32-E72D297353CC}">
                <c16:uniqueId val="{00000252-70B2-4DFE-9551-26E73ED02027}"/>
              </c:ext>
            </c:extLst>
          </c:dPt>
          <c:dPt>
            <c:idx val="19"/>
            <c:invertIfNegative val="0"/>
            <c:bubble3D val="0"/>
            <c:extLst>
              <c:ext xmlns:c16="http://schemas.microsoft.com/office/drawing/2014/chart" uri="{C3380CC4-5D6E-409C-BE32-E72D297353CC}">
                <c16:uniqueId val="{00000253-70B2-4DFE-9551-26E73ED02027}"/>
              </c:ext>
            </c:extLst>
          </c:dPt>
          <c:dPt>
            <c:idx val="20"/>
            <c:invertIfNegative val="0"/>
            <c:bubble3D val="0"/>
            <c:extLst>
              <c:ext xmlns:c16="http://schemas.microsoft.com/office/drawing/2014/chart" uri="{C3380CC4-5D6E-409C-BE32-E72D297353CC}">
                <c16:uniqueId val="{00000254-70B2-4DFE-9551-26E73ED02027}"/>
              </c:ext>
            </c:extLst>
          </c:dPt>
          <c:dPt>
            <c:idx val="21"/>
            <c:invertIfNegative val="0"/>
            <c:bubble3D val="0"/>
            <c:extLst>
              <c:ext xmlns:c16="http://schemas.microsoft.com/office/drawing/2014/chart" uri="{C3380CC4-5D6E-409C-BE32-E72D297353CC}">
                <c16:uniqueId val="{00000255-70B2-4DFE-9551-26E73ED02027}"/>
              </c:ext>
            </c:extLst>
          </c:dPt>
          <c:dPt>
            <c:idx val="22"/>
            <c:invertIfNegative val="0"/>
            <c:bubble3D val="0"/>
            <c:extLst>
              <c:ext xmlns:c16="http://schemas.microsoft.com/office/drawing/2014/chart" uri="{C3380CC4-5D6E-409C-BE32-E72D297353CC}">
                <c16:uniqueId val="{00000256-70B2-4DFE-9551-26E73ED02027}"/>
              </c:ext>
            </c:extLst>
          </c:dPt>
          <c:dPt>
            <c:idx val="23"/>
            <c:invertIfNegative val="0"/>
            <c:bubble3D val="0"/>
            <c:extLst>
              <c:ext xmlns:c16="http://schemas.microsoft.com/office/drawing/2014/chart" uri="{C3380CC4-5D6E-409C-BE32-E72D297353CC}">
                <c16:uniqueId val="{00000257-70B2-4DFE-9551-26E73ED02027}"/>
              </c:ext>
            </c:extLst>
          </c:dPt>
          <c:dPt>
            <c:idx val="24"/>
            <c:invertIfNegative val="0"/>
            <c:bubble3D val="0"/>
            <c:extLst>
              <c:ext xmlns:c16="http://schemas.microsoft.com/office/drawing/2014/chart" uri="{C3380CC4-5D6E-409C-BE32-E72D297353CC}">
                <c16:uniqueId val="{00000258-70B2-4DFE-9551-26E73ED02027}"/>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Data'!$B$12:$W$12</c:f>
              <c:numCache>
                <c:formatCode>#,##0_ ;\-#,##0\ </c:formatCode>
                <c:ptCount val="22"/>
                <c:pt idx="0">
                  <c:v>0</c:v>
                </c:pt>
                <c:pt idx="1">
                  <c:v>138.62</c:v>
                </c:pt>
                <c:pt idx="2">
                  <c:v>305.57000000000005</c:v>
                </c:pt>
                <c:pt idx="3">
                  <c:v>521.71</c:v>
                </c:pt>
                <c:pt idx="4">
                  <c:v>779.7299999999999</c:v>
                </c:pt>
                <c:pt idx="5">
                  <c:v>1087.8400000000001</c:v>
                </c:pt>
                <c:pt idx="6">
                  <c:v>1444.0100000000002</c:v>
                </c:pt>
                <c:pt idx="7">
                  <c:v>1851.1399999999999</c:v>
                </c:pt>
                <c:pt idx="8">
                  <c:v>2309.79</c:v>
                </c:pt>
                <c:pt idx="9">
                  <c:v>2818.7599999999998</c:v>
                </c:pt>
                <c:pt idx="10">
                  <c:v>3380.5899999999997</c:v>
                </c:pt>
                <c:pt idx="11">
                  <c:v>4007.7799999999997</c:v>
                </c:pt>
                <c:pt idx="12">
                  <c:v>4709.6099999999997</c:v>
                </c:pt>
                <c:pt idx="13">
                  <c:v>5518.5599999999995</c:v>
                </c:pt>
                <c:pt idx="14">
                  <c:v>6470.5599999999995</c:v>
                </c:pt>
                <c:pt idx="15">
                  <c:v>7589.22</c:v>
                </c:pt>
                <c:pt idx="16">
                  <c:v>8881.6500000000015</c:v>
                </c:pt>
                <c:pt idx="17">
                  <c:v>10276.92</c:v>
                </c:pt>
                <c:pt idx="18">
                  <c:v>11691.1</c:v>
                </c:pt>
                <c:pt idx="19">
                  <c:v>13031.27</c:v>
                </c:pt>
                <c:pt idx="20">
                  <c:v>14208.720000000001</c:v>
                </c:pt>
                <c:pt idx="21">
                  <c:v>15216.92</c:v>
                </c:pt>
              </c:numCache>
            </c:numRef>
          </c:val>
          <c:extLst>
            <c:ext xmlns:c16="http://schemas.microsoft.com/office/drawing/2014/chart" uri="{C3380CC4-5D6E-409C-BE32-E72D297353CC}">
              <c16:uniqueId val="{00000259-70B2-4DFE-9551-26E73ED02027}"/>
            </c:ext>
          </c:extLst>
        </c:ser>
        <c:ser>
          <c:idx val="12"/>
          <c:order val="10"/>
          <c:tx>
            <c:strRef>
              <c:f>'NewAndRetiredCapacity Data'!$A$13</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25C-70B2-4DFE-9551-26E73ED02027}"/>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25E-70B2-4DFE-9551-26E73ED02027}"/>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260-70B2-4DFE-9551-26E73ED02027}"/>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262-70B2-4DFE-9551-26E73ED02027}"/>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264-70B2-4DFE-9551-26E73ED02027}"/>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266-70B2-4DFE-9551-26E73ED02027}"/>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268-70B2-4DFE-9551-26E73ED02027}"/>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26A-70B2-4DFE-9551-26E73ED02027}"/>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26C-70B2-4DFE-9551-26E73ED02027}"/>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26E-70B2-4DFE-9551-26E73ED02027}"/>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270-70B2-4DFE-9551-26E73ED02027}"/>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272-70B2-4DFE-9551-26E73ED02027}"/>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274-70B2-4DFE-9551-26E73ED02027}"/>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276-70B2-4DFE-9551-26E73ED02027}"/>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278-70B2-4DFE-9551-26E73ED02027}"/>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27A-70B2-4DFE-9551-26E73ED02027}"/>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27C-70B2-4DFE-9551-26E73ED02027}"/>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27E-70B2-4DFE-9551-26E73ED02027}"/>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280-70B2-4DFE-9551-26E73ED02027}"/>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282-70B2-4DFE-9551-26E73ED02027}"/>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284-70B2-4DFE-9551-26E73ED02027}"/>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286-70B2-4DFE-9551-26E73ED02027}"/>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Data'!$B$13:$W$13</c:f>
              <c:numCache>
                <c:formatCode>#,##0_ ;\-#,##0\ </c:formatCode>
                <c:ptCount val="22"/>
                <c:pt idx="0">
                  <c:v>0</c:v>
                </c:pt>
                <c:pt idx="1">
                  <c:v>878</c:v>
                </c:pt>
                <c:pt idx="2">
                  <c:v>1799</c:v>
                </c:pt>
                <c:pt idx="3">
                  <c:v>2790</c:v>
                </c:pt>
                <c:pt idx="4">
                  <c:v>3886</c:v>
                </c:pt>
                <c:pt idx="5">
                  <c:v>5156</c:v>
                </c:pt>
                <c:pt idx="6">
                  <c:v>6634</c:v>
                </c:pt>
                <c:pt idx="7">
                  <c:v>8404</c:v>
                </c:pt>
                <c:pt idx="8">
                  <c:v>10600</c:v>
                </c:pt>
                <c:pt idx="9">
                  <c:v>13375</c:v>
                </c:pt>
                <c:pt idx="10">
                  <c:v>16872</c:v>
                </c:pt>
                <c:pt idx="11">
                  <c:v>21096</c:v>
                </c:pt>
                <c:pt idx="12">
                  <c:v>25804</c:v>
                </c:pt>
                <c:pt idx="13">
                  <c:v>30580</c:v>
                </c:pt>
                <c:pt idx="14">
                  <c:v>34966</c:v>
                </c:pt>
                <c:pt idx="15">
                  <c:v>38620</c:v>
                </c:pt>
                <c:pt idx="16">
                  <c:v>41535</c:v>
                </c:pt>
                <c:pt idx="17">
                  <c:v>43682</c:v>
                </c:pt>
                <c:pt idx="18">
                  <c:v>45328</c:v>
                </c:pt>
                <c:pt idx="19">
                  <c:v>46747</c:v>
                </c:pt>
                <c:pt idx="20">
                  <c:v>47900</c:v>
                </c:pt>
                <c:pt idx="21">
                  <c:v>48896</c:v>
                </c:pt>
              </c:numCache>
            </c:numRef>
          </c:val>
          <c:extLst>
            <c:ext xmlns:c16="http://schemas.microsoft.com/office/drawing/2014/chart" uri="{C3380CC4-5D6E-409C-BE32-E72D297353CC}">
              <c16:uniqueId val="{00000287-70B2-4DFE-9551-26E73ED02027}"/>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7444615998323514"/>
              <c:y val="0.76911129272482814"/>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8732249658749447"/>
          <c:y val="0.80852191077053737"/>
          <c:w val="0.68014288900533126"/>
          <c:h val="0.17080466276210157"/>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sheetPr codeName="Chart2"/>
  <sheetViews>
    <sheetView zoomScale="130" workbookViewId="0"/>
  </sheetViews>
  <pageMargins left="2.6181102362204722" right="2.6181102362204722" top="1.734251968503937" bottom="1.734251968503937"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sheetPr codeName="Chart3"/>
  <sheetViews>
    <sheetView zoomScale="145" workbookViewId="0"/>
  </sheetViews>
  <pageMargins left="2.6181102362204722" right="2.6181102362204722" top="1.734251968503937" bottom="1.734251968503937"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sheetPr codeName="Chart1"/>
  <sheetViews>
    <sheetView zoomScale="130" workbookViewId="0"/>
  </sheetViews>
  <pageMargins left="2.6181102362204722" right="2.6181102362204722" top="1.734251968503937" bottom="1.734251968503937" header="0.3" footer="0.3"/>
  <pageSetup paperSize="9" orientation="landscape" verticalDpi="1200"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5800397" cy="4289534"/>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NewAEMOtheme">
  <a:themeElements>
    <a:clrScheme name="AEMO">
      <a:dk1>
        <a:srgbClr val="222324"/>
      </a:dk1>
      <a:lt1>
        <a:sysClr val="window" lastClr="FFFFFF"/>
      </a:lt1>
      <a:dk2>
        <a:srgbClr val="000000"/>
      </a:dk2>
      <a:lt2>
        <a:srgbClr val="E0E8EA"/>
      </a:lt2>
      <a:accent1>
        <a:srgbClr val="C41230"/>
      </a:accent1>
      <a:accent2>
        <a:srgbClr val="360F3C"/>
      </a:accent2>
      <a:accent3>
        <a:srgbClr val="F37421"/>
      </a:accent3>
      <a:accent4>
        <a:srgbClr val="FFC222"/>
      </a:accent4>
      <a:accent5>
        <a:srgbClr val="82859C"/>
      </a:accent5>
      <a:accent6>
        <a:srgbClr val="B3E0EE"/>
      </a:accent6>
      <a:hlink>
        <a:srgbClr val="C41230"/>
      </a:hlink>
      <a:folHlink>
        <a:srgbClr val="C41230"/>
      </a:folHlink>
    </a:clrScheme>
    <a:fontScheme name="AEMO">
      <a:majorFont>
        <a:latin typeface="Tw Cen MT"/>
        <a:ea typeface=""/>
        <a:cs typeface=""/>
      </a:majorFont>
      <a:minorFont>
        <a:latin typeface="Tw Cen M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rtlCol="0" anchor="ct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C28"/>
  <sheetViews>
    <sheetView tabSelected="1" zoomScaleNormal="100" workbookViewId="0"/>
  </sheetViews>
  <sheetFormatPr defaultColWidth="9.140625" defaultRowHeight="12.75" x14ac:dyDescent="0.2"/>
  <cols>
    <col min="1" max="1" width="3.140625" style="7" customWidth="1"/>
    <col min="2" max="2" width="30" style="7" customWidth="1"/>
    <col min="3" max="3" width="52.42578125" style="7" customWidth="1"/>
    <col min="4" max="16384" width="9.140625" style="7"/>
  </cols>
  <sheetData>
    <row r="2" spans="2:3" ht="25.5" x14ac:dyDescent="0.2">
      <c r="B2" s="8" t="s">
        <v>73</v>
      </c>
      <c r="C2" s="3"/>
    </row>
    <row r="3" spans="2:3" x14ac:dyDescent="0.2">
      <c r="B3" s="92"/>
      <c r="C3" s="92"/>
    </row>
    <row r="4" spans="2:3" ht="47.25" customHeight="1" x14ac:dyDescent="0.2">
      <c r="B4" s="93" t="s">
        <v>23</v>
      </c>
      <c r="C4" s="93"/>
    </row>
    <row r="5" spans="2:3" ht="18" customHeight="1" x14ac:dyDescent="0.2">
      <c r="B5" s="82"/>
      <c r="C5" s="82"/>
    </row>
    <row r="6" spans="2:3" ht="18" customHeight="1" x14ac:dyDescent="0.2">
      <c r="B6" s="9" t="s">
        <v>99</v>
      </c>
      <c r="C6" s="82"/>
    </row>
    <row r="7" spans="2:3" ht="16.5" customHeight="1" x14ac:dyDescent="0.2">
      <c r="B7" s="9"/>
      <c r="C7" s="82"/>
    </row>
    <row r="8" spans="2:3" ht="18" customHeight="1" x14ac:dyDescent="0.25">
      <c r="B8" s="87" t="s">
        <v>100</v>
      </c>
      <c r="C8" s="12" t="s">
        <v>101</v>
      </c>
    </row>
    <row r="9" spans="2:3" ht="18" customHeight="1" x14ac:dyDescent="0.2">
      <c r="B9" s="88" t="s">
        <v>102</v>
      </c>
      <c r="C9" s="14" t="s">
        <v>103</v>
      </c>
    </row>
    <row r="10" spans="2:3" ht="48" customHeight="1" x14ac:dyDescent="0.2">
      <c r="B10" s="89" t="s">
        <v>104</v>
      </c>
      <c r="C10" s="18" t="s">
        <v>105</v>
      </c>
    </row>
    <row r="11" spans="2:3" x14ac:dyDescent="0.2">
      <c r="B11" s="19"/>
      <c r="C11" s="10"/>
    </row>
    <row r="12" spans="2:3" ht="18" customHeight="1" x14ac:dyDescent="0.2">
      <c r="B12" s="81"/>
      <c r="C12" s="81"/>
    </row>
    <row r="13" spans="2:3" ht="18" customHeight="1" x14ac:dyDescent="0.2">
      <c r="B13" s="9" t="s">
        <v>43</v>
      </c>
      <c r="C13" s="81"/>
    </row>
    <row r="14" spans="2:3" ht="45" customHeight="1" x14ac:dyDescent="0.2">
      <c r="B14" s="93" t="s">
        <v>78</v>
      </c>
      <c r="C14" s="93"/>
    </row>
    <row r="15" spans="2:3" ht="15" x14ac:dyDescent="0.2">
      <c r="C15" s="4"/>
    </row>
    <row r="16" spans="2:3" ht="18.75" x14ac:dyDescent="0.2">
      <c r="B16" s="9" t="s">
        <v>24</v>
      </c>
      <c r="C16" s="4"/>
    </row>
    <row r="17" spans="1:3" ht="11.25" customHeight="1" x14ac:dyDescent="0.2">
      <c r="B17" s="9"/>
      <c r="C17" s="4"/>
    </row>
    <row r="18" spans="1:3" ht="15.75" x14ac:dyDescent="0.25">
      <c r="A18" s="10"/>
      <c r="B18" s="11" t="s">
        <v>25</v>
      </c>
      <c r="C18" s="12" t="s">
        <v>26</v>
      </c>
    </row>
    <row r="19" spans="1:3" ht="33.75" customHeight="1" x14ac:dyDescent="0.2">
      <c r="A19" s="10"/>
      <c r="B19" s="13" t="s">
        <v>79</v>
      </c>
      <c r="C19" s="14" t="s">
        <v>80</v>
      </c>
    </row>
    <row r="20" spans="1:3" ht="37.5" customHeight="1" x14ac:dyDescent="0.2">
      <c r="A20" s="10"/>
      <c r="B20" s="16" t="s">
        <v>106</v>
      </c>
      <c r="C20" s="80" t="s">
        <v>75</v>
      </c>
    </row>
    <row r="21" spans="1:3" ht="33.75" customHeight="1" x14ac:dyDescent="0.2">
      <c r="A21" s="10"/>
      <c r="B21" s="15" t="s">
        <v>27</v>
      </c>
      <c r="C21" s="90" t="s">
        <v>51</v>
      </c>
    </row>
    <row r="22" spans="1:3" ht="33.75" customHeight="1" x14ac:dyDescent="0.2">
      <c r="A22" s="10"/>
      <c r="B22" s="16" t="s">
        <v>28</v>
      </c>
      <c r="C22" s="94"/>
    </row>
    <row r="23" spans="1:3" ht="33.75" customHeight="1" x14ac:dyDescent="0.2">
      <c r="A23" s="10"/>
      <c r="B23" s="16" t="s">
        <v>29</v>
      </c>
      <c r="C23" s="91" t="s">
        <v>74</v>
      </c>
    </row>
    <row r="24" spans="1:3" ht="33.75" customHeight="1" x14ac:dyDescent="0.2">
      <c r="A24" s="10"/>
      <c r="B24" s="16" t="s">
        <v>30</v>
      </c>
      <c r="C24" s="91"/>
    </row>
    <row r="25" spans="1:3" ht="33.75" customHeight="1" x14ac:dyDescent="0.2">
      <c r="A25" s="10"/>
      <c r="B25" s="15" t="s">
        <v>31</v>
      </c>
      <c r="C25" s="90" t="s">
        <v>52</v>
      </c>
    </row>
    <row r="26" spans="1:3" ht="33.75" customHeight="1" x14ac:dyDescent="0.2">
      <c r="A26" s="10"/>
      <c r="B26" s="16" t="s">
        <v>32</v>
      </c>
      <c r="C26" s="91"/>
    </row>
    <row r="27" spans="1:3" ht="33.75" customHeight="1" x14ac:dyDescent="0.2">
      <c r="A27" s="10"/>
      <c r="B27" s="17" t="s">
        <v>33</v>
      </c>
      <c r="C27" s="18" t="s">
        <v>53</v>
      </c>
    </row>
    <row r="28" spans="1:3" x14ac:dyDescent="0.2">
      <c r="A28" s="10"/>
      <c r="B28" s="19"/>
      <c r="C28" s="10"/>
    </row>
  </sheetData>
  <mergeCells count="6">
    <mergeCell ref="C25:C26"/>
    <mergeCell ref="B3:C3"/>
    <mergeCell ref="B4:C4"/>
    <mergeCell ref="B14:C14"/>
    <mergeCell ref="C21:C22"/>
    <mergeCell ref="C23:C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U24"/>
  <sheetViews>
    <sheetView zoomScale="90" zoomScaleNormal="90" workbookViewId="0"/>
  </sheetViews>
  <sheetFormatPr defaultRowHeight="14.25" x14ac:dyDescent="0.2"/>
  <cols>
    <col min="1" max="1" width="4.5703125" style="60" customWidth="1"/>
    <col min="2" max="2" width="3.5703125" style="60" customWidth="1"/>
    <col min="3" max="6" width="22.7109375" style="60" customWidth="1"/>
    <col min="7" max="9" width="2.140625" style="60" customWidth="1"/>
    <col min="10" max="13" width="22.7109375" style="60" customWidth="1"/>
    <col min="14" max="16" width="2.140625" style="60" customWidth="1"/>
    <col min="17" max="20" width="22.7109375" style="60" customWidth="1"/>
    <col min="21" max="21" width="2.5703125" style="60" customWidth="1"/>
    <col min="22" max="16384" width="9.140625" style="60"/>
  </cols>
  <sheetData>
    <row r="2" spans="3:21" x14ac:dyDescent="0.2">
      <c r="I2" s="66"/>
      <c r="J2" s="66"/>
      <c r="K2" s="66"/>
      <c r="L2" s="66"/>
      <c r="M2" s="66"/>
      <c r="N2" s="66"/>
    </row>
    <row r="3" spans="3:21" ht="18.75" customHeight="1" x14ac:dyDescent="0.25">
      <c r="C3" s="64" t="s">
        <v>81</v>
      </c>
      <c r="D3" s="65"/>
      <c r="E3" s="66"/>
      <c r="F3" s="66"/>
      <c r="G3" s="66"/>
      <c r="I3" s="66"/>
      <c r="J3" s="64" t="s">
        <v>82</v>
      </c>
      <c r="K3" s="65"/>
      <c r="N3" s="66"/>
      <c r="Q3" s="64" t="s">
        <v>83</v>
      </c>
      <c r="R3" s="65"/>
    </row>
    <row r="4" spans="3:21" ht="26.25" x14ac:dyDescent="0.25">
      <c r="C4" s="69"/>
      <c r="D4" s="70" t="s">
        <v>84</v>
      </c>
      <c r="E4" s="70" t="s">
        <v>85</v>
      </c>
      <c r="F4" s="71" t="s">
        <v>76</v>
      </c>
      <c r="G4" s="66"/>
      <c r="I4" s="66"/>
      <c r="J4" s="69"/>
      <c r="K4" s="70" t="s">
        <v>86</v>
      </c>
      <c r="L4" s="70" t="s">
        <v>87</v>
      </c>
      <c r="M4" s="71" t="s">
        <v>76</v>
      </c>
      <c r="N4" s="66"/>
      <c r="Q4" s="72"/>
      <c r="R4" s="70" t="s">
        <v>88</v>
      </c>
      <c r="S4" s="70" t="s">
        <v>89</v>
      </c>
      <c r="T4" s="71" t="s">
        <v>76</v>
      </c>
    </row>
    <row r="5" spans="3:21" ht="18.75" customHeight="1" x14ac:dyDescent="0.2">
      <c r="C5" s="73" t="s">
        <v>46</v>
      </c>
      <c r="D5" s="74">
        <v>41916.916936302674</v>
      </c>
      <c r="E5" s="74">
        <v>39961.171508822546</v>
      </c>
      <c r="F5" s="74">
        <v>1955.7454274801275</v>
      </c>
      <c r="G5" s="66"/>
      <c r="I5" s="66"/>
      <c r="J5" s="73" t="s">
        <v>46</v>
      </c>
      <c r="K5" s="74">
        <v>43176.829879668308</v>
      </c>
      <c r="L5" s="74">
        <v>41738.953859835477</v>
      </c>
      <c r="M5" s="74">
        <v>1437.8760198328309</v>
      </c>
      <c r="N5" s="66"/>
      <c r="Q5" s="73" t="s">
        <v>46</v>
      </c>
      <c r="R5" s="74">
        <v>34757.909560715358</v>
      </c>
      <c r="S5" s="74">
        <v>32876.768527767286</v>
      </c>
      <c r="T5" s="74">
        <f>R5-S5</f>
        <v>1881.1410329480714</v>
      </c>
    </row>
    <row r="6" spans="3:21" ht="18.75" customHeight="1" x14ac:dyDescent="0.2">
      <c r="C6" s="73" t="s">
        <v>47</v>
      </c>
      <c r="D6" s="74">
        <v>33920.684891933444</v>
      </c>
      <c r="E6" s="74">
        <v>33899.236952430125</v>
      </c>
      <c r="F6" s="74">
        <v>21.447939503319503</v>
      </c>
      <c r="G6" s="66"/>
      <c r="I6" s="66"/>
      <c r="J6" s="73" t="s">
        <v>47</v>
      </c>
      <c r="K6" s="74">
        <v>35760.208656527386</v>
      </c>
      <c r="L6" s="74">
        <v>35490.113604422251</v>
      </c>
      <c r="M6" s="74">
        <v>270.09505210513453</v>
      </c>
      <c r="N6" s="66"/>
      <c r="Q6" s="73" t="s">
        <v>47</v>
      </c>
      <c r="R6" s="74">
        <v>31879.247558175241</v>
      </c>
      <c r="S6" s="74">
        <v>31494.012745047821</v>
      </c>
      <c r="T6" s="74">
        <f t="shared" ref="T6:T10" si="0">R6-S6</f>
        <v>385.23481312741933</v>
      </c>
    </row>
    <row r="7" spans="3:21" ht="18.75" customHeight="1" x14ac:dyDescent="0.2">
      <c r="C7" s="73" t="s">
        <v>48</v>
      </c>
      <c r="D7" s="74">
        <v>13647.120628245948</v>
      </c>
      <c r="E7" s="74">
        <v>13457.961111861057</v>
      </c>
      <c r="F7" s="74">
        <v>189.15951638489059</v>
      </c>
      <c r="G7" s="66"/>
      <c r="I7" s="66"/>
      <c r="J7" s="73" t="s">
        <v>48</v>
      </c>
      <c r="K7" s="74">
        <v>25498.004789199185</v>
      </c>
      <c r="L7" s="74">
        <v>24823.280490778085</v>
      </c>
      <c r="M7" s="74">
        <v>674.72429842110068</v>
      </c>
      <c r="N7" s="66"/>
      <c r="Q7" s="73" t="s">
        <v>48</v>
      </c>
      <c r="R7" s="74">
        <v>7469.9293274226138</v>
      </c>
      <c r="S7" s="74">
        <v>6813.3785094962204</v>
      </c>
      <c r="T7" s="74">
        <f t="shared" si="0"/>
        <v>656.55081792639339</v>
      </c>
    </row>
    <row r="8" spans="3:21" ht="18.75" customHeight="1" x14ac:dyDescent="0.2">
      <c r="C8" s="73" t="s">
        <v>49</v>
      </c>
      <c r="D8" s="74">
        <v>482.37560886662567</v>
      </c>
      <c r="E8" s="74">
        <v>259.11852081983278</v>
      </c>
      <c r="F8" s="74">
        <v>223.25708804679289</v>
      </c>
      <c r="G8" s="66"/>
      <c r="I8" s="66"/>
      <c r="J8" s="73" t="s">
        <v>49</v>
      </c>
      <c r="K8" s="74">
        <v>1336.0438082055946</v>
      </c>
      <c r="L8" s="74">
        <v>1021.902430177951</v>
      </c>
      <c r="M8" s="74">
        <v>314.14137802764355</v>
      </c>
      <c r="N8" s="66"/>
      <c r="Q8" s="73" t="s">
        <v>49</v>
      </c>
      <c r="R8" s="74">
        <v>156.11488308195149</v>
      </c>
      <c r="S8" s="74">
        <v>103.68994256141953</v>
      </c>
      <c r="T8" s="74">
        <f t="shared" si="0"/>
        <v>52.424940520531962</v>
      </c>
    </row>
    <row r="9" spans="3:21" ht="18.75" customHeight="1" x14ac:dyDescent="0.2">
      <c r="C9" s="73" t="s">
        <v>50</v>
      </c>
      <c r="D9" s="74">
        <v>0</v>
      </c>
      <c r="E9" s="74">
        <v>1198.0852865656811</v>
      </c>
      <c r="F9" s="74">
        <v>-1198.0852865656811</v>
      </c>
      <c r="G9" s="66"/>
      <c r="I9" s="66"/>
      <c r="J9" s="73" t="s">
        <v>50</v>
      </c>
      <c r="K9" s="74">
        <v>0</v>
      </c>
      <c r="L9" s="74">
        <v>1198.0852865656811</v>
      </c>
      <c r="M9" s="74">
        <v>-1198.0852865656811</v>
      </c>
      <c r="N9" s="66"/>
      <c r="Q9" s="73" t="s">
        <v>50</v>
      </c>
      <c r="R9" s="74">
        <v>0</v>
      </c>
      <c r="S9" s="74">
        <v>1198.0852865656811</v>
      </c>
      <c r="T9" s="74">
        <f t="shared" si="0"/>
        <v>-1198.0852865656811</v>
      </c>
    </row>
    <row r="10" spans="3:21" ht="18.75" customHeight="1" x14ac:dyDescent="0.2">
      <c r="C10" s="75" t="s">
        <v>19</v>
      </c>
      <c r="D10" s="76">
        <v>90274.939204871393</v>
      </c>
      <c r="E10" s="76">
        <v>89083.41452002195</v>
      </c>
      <c r="F10" s="76">
        <v>1191.5246848494426</v>
      </c>
      <c r="G10" s="66"/>
      <c r="I10" s="66"/>
      <c r="J10" s="75" t="s">
        <v>19</v>
      </c>
      <c r="K10" s="76">
        <v>106146.24184886776</v>
      </c>
      <c r="L10" s="76">
        <v>104647.49038704675</v>
      </c>
      <c r="M10" s="76">
        <v>1498.7514618210116</v>
      </c>
      <c r="N10" s="66"/>
      <c r="Q10" s="75" t="s">
        <v>19</v>
      </c>
      <c r="R10" s="76">
        <v>74612.667719498902</v>
      </c>
      <c r="S10" s="76">
        <v>72835.401401542156</v>
      </c>
      <c r="T10" s="76">
        <f t="shared" si="0"/>
        <v>1777.2663179567462</v>
      </c>
    </row>
    <row r="11" spans="3:21" x14ac:dyDescent="0.2">
      <c r="C11" s="66"/>
      <c r="D11" s="66"/>
      <c r="E11" s="66"/>
      <c r="F11" s="66"/>
      <c r="G11" s="66"/>
      <c r="I11" s="66"/>
      <c r="N11" s="66"/>
    </row>
    <row r="12" spans="3:21" ht="18.75" customHeight="1" x14ac:dyDescent="0.2">
      <c r="C12" s="85" t="s">
        <v>90</v>
      </c>
      <c r="D12" s="86">
        <f>SUM(D7:D9)</f>
        <v>14129.496237112573</v>
      </c>
      <c r="E12" s="86">
        <f>SUM(E7:E9)</f>
        <v>14915.164919246572</v>
      </c>
      <c r="F12" s="74"/>
      <c r="G12" s="66"/>
      <c r="I12" s="66"/>
      <c r="J12" s="85" t="s">
        <v>90</v>
      </c>
      <c r="K12" s="86">
        <f>SUM(K7:K9)</f>
        <v>26834.048597404781</v>
      </c>
      <c r="L12" s="86">
        <f>SUM(L7:L9)</f>
        <v>27043.268207521716</v>
      </c>
      <c r="N12" s="66"/>
      <c r="Q12" s="85" t="s">
        <v>90</v>
      </c>
      <c r="R12" s="86">
        <f>SUM(R7:R9)</f>
        <v>7626.0442105045649</v>
      </c>
      <c r="S12" s="86">
        <f>SUM(S7:S9)</f>
        <v>8115.1537386233213</v>
      </c>
    </row>
    <row r="13" spans="3:21" ht="18.75" customHeight="1" thickBot="1" x14ac:dyDescent="0.25">
      <c r="C13" s="73"/>
      <c r="D13" s="74"/>
      <c r="E13" s="74"/>
      <c r="F13" s="74"/>
      <c r="G13" s="66"/>
      <c r="I13" s="66"/>
      <c r="J13" s="73"/>
      <c r="K13" s="74"/>
      <c r="L13" s="74"/>
      <c r="N13" s="66"/>
      <c r="Q13" s="73"/>
      <c r="R13" s="74"/>
      <c r="S13" s="74"/>
    </row>
    <row r="14" spans="3:21" ht="18.75" customHeight="1" x14ac:dyDescent="0.2">
      <c r="P14" s="61"/>
      <c r="Q14" s="62"/>
      <c r="R14" s="62"/>
      <c r="S14" s="62"/>
      <c r="T14" s="62"/>
      <c r="U14" s="63"/>
    </row>
    <row r="15" spans="3:21" ht="18.75" customHeight="1" x14ac:dyDescent="0.25">
      <c r="C15" s="64" t="s">
        <v>91</v>
      </c>
      <c r="D15" s="65"/>
      <c r="J15" s="64" t="s">
        <v>92</v>
      </c>
      <c r="K15" s="65"/>
      <c r="P15" s="67"/>
      <c r="Q15" s="64" t="s">
        <v>72</v>
      </c>
      <c r="R15" s="65"/>
      <c r="S15" s="66"/>
      <c r="T15" s="66"/>
      <c r="U15" s="68"/>
    </row>
    <row r="16" spans="3:21" ht="39" x14ac:dyDescent="0.25">
      <c r="C16" s="69"/>
      <c r="D16" s="70" t="s">
        <v>93</v>
      </c>
      <c r="E16" s="70" t="s">
        <v>94</v>
      </c>
      <c r="F16" s="71" t="s">
        <v>76</v>
      </c>
      <c r="J16" s="69"/>
      <c r="K16" s="70" t="s">
        <v>95</v>
      </c>
      <c r="L16" s="70" t="s">
        <v>96</v>
      </c>
      <c r="M16" s="71" t="s">
        <v>76</v>
      </c>
      <c r="P16" s="67"/>
      <c r="Q16" s="69"/>
      <c r="R16" s="70" t="s">
        <v>97</v>
      </c>
      <c r="S16" s="70" t="s">
        <v>98</v>
      </c>
      <c r="T16" s="71" t="s">
        <v>76</v>
      </c>
      <c r="U16" s="68"/>
    </row>
    <row r="17" spans="3:21" ht="18.75" customHeight="1" x14ac:dyDescent="0.2">
      <c r="C17" s="73" t="s">
        <v>46</v>
      </c>
      <c r="D17" s="74">
        <v>41129.068367881271</v>
      </c>
      <c r="E17" s="74">
        <v>39483.692500440178</v>
      </c>
      <c r="F17" s="74">
        <v>1645.3758674410929</v>
      </c>
      <c r="J17" s="73" t="s">
        <v>46</v>
      </c>
      <c r="K17" s="74">
        <v>42806.617149024001</v>
      </c>
      <c r="L17" s="74">
        <v>41899.658348325582</v>
      </c>
      <c r="M17" s="74">
        <v>906.95880069841951</v>
      </c>
      <c r="P17" s="67"/>
      <c r="Q17" s="73" t="s">
        <v>46</v>
      </c>
      <c r="R17" s="74">
        <v>40777.839190312872</v>
      </c>
      <c r="S17" s="74">
        <v>39142.285437276907</v>
      </c>
      <c r="T17" s="74">
        <v>1635.5537530359652</v>
      </c>
      <c r="U17" s="68"/>
    </row>
    <row r="18" spans="3:21" ht="18.75" customHeight="1" x14ac:dyDescent="0.2">
      <c r="C18" s="73" t="s">
        <v>47</v>
      </c>
      <c r="D18" s="74">
        <v>34069.113406172262</v>
      </c>
      <c r="E18" s="74">
        <v>33832.037733368037</v>
      </c>
      <c r="F18" s="74">
        <v>237.07567280422518</v>
      </c>
      <c r="J18" s="73" t="s">
        <v>47</v>
      </c>
      <c r="K18" s="74">
        <v>32811.256896692023</v>
      </c>
      <c r="L18" s="74">
        <v>32478.794938746654</v>
      </c>
      <c r="M18" s="74">
        <v>332.46195794536834</v>
      </c>
      <c r="P18" s="67"/>
      <c r="Q18" s="73" t="s">
        <v>47</v>
      </c>
      <c r="R18" s="74">
        <v>33550.659467371901</v>
      </c>
      <c r="S18" s="74">
        <v>33156.007060544202</v>
      </c>
      <c r="T18" s="74">
        <v>394.65240682769945</v>
      </c>
      <c r="U18" s="68"/>
    </row>
    <row r="19" spans="3:21" ht="18.75" customHeight="1" x14ac:dyDescent="0.2">
      <c r="C19" s="73" t="s">
        <v>48</v>
      </c>
      <c r="D19" s="74">
        <v>14306.206083922347</v>
      </c>
      <c r="E19" s="74">
        <v>14009.286175294425</v>
      </c>
      <c r="F19" s="74">
        <v>296.91990862792227</v>
      </c>
      <c r="J19" s="73" t="s">
        <v>48</v>
      </c>
      <c r="K19" s="74">
        <v>9724.3583089290314</v>
      </c>
      <c r="L19" s="74">
        <v>9236.0421884114585</v>
      </c>
      <c r="M19" s="74">
        <v>488.31612051757293</v>
      </c>
      <c r="P19" s="67"/>
      <c r="Q19" s="73" t="s">
        <v>48</v>
      </c>
      <c r="R19" s="74">
        <v>12085.4530990489</v>
      </c>
      <c r="S19" s="74">
        <v>11178.450977064695</v>
      </c>
      <c r="T19" s="74">
        <v>907.00212198420559</v>
      </c>
      <c r="U19" s="68"/>
    </row>
    <row r="20" spans="3:21" ht="18.75" customHeight="1" x14ac:dyDescent="0.2">
      <c r="C20" s="73" t="s">
        <v>49</v>
      </c>
      <c r="D20" s="74">
        <v>510.83656847194226</v>
      </c>
      <c r="E20" s="74">
        <v>243.14726214592395</v>
      </c>
      <c r="F20" s="74">
        <v>267.68930632601831</v>
      </c>
      <c r="J20" s="73" t="s">
        <v>49</v>
      </c>
      <c r="K20" s="74">
        <v>162.52368768906334</v>
      </c>
      <c r="L20" s="74">
        <v>148.27811526915679</v>
      </c>
      <c r="M20" s="74">
        <v>14.245572419906551</v>
      </c>
      <c r="P20" s="67"/>
      <c r="Q20" s="73" t="s">
        <v>49</v>
      </c>
      <c r="R20" s="74">
        <v>417.09090399830336</v>
      </c>
      <c r="S20" s="74">
        <v>170.91702070329706</v>
      </c>
      <c r="T20" s="74">
        <v>246.17388329500631</v>
      </c>
      <c r="U20" s="68"/>
    </row>
    <row r="21" spans="3:21" ht="18.75" customHeight="1" x14ac:dyDescent="0.2">
      <c r="C21" s="73" t="s">
        <v>50</v>
      </c>
      <c r="D21" s="74">
        <v>0</v>
      </c>
      <c r="E21" s="74">
        <v>1198.0852865656811</v>
      </c>
      <c r="F21" s="74">
        <v>-1198.0852865656811</v>
      </c>
      <c r="J21" s="73" t="s">
        <v>50</v>
      </c>
      <c r="K21" s="74">
        <v>0</v>
      </c>
      <c r="L21" s="74">
        <v>1198.0852865656811</v>
      </c>
      <c r="M21" s="74">
        <v>-1198.0852865656811</v>
      </c>
      <c r="P21" s="67"/>
      <c r="Q21" s="73" t="s">
        <v>50</v>
      </c>
      <c r="R21" s="74">
        <v>0</v>
      </c>
      <c r="S21" s="74">
        <v>1198.0852865656811</v>
      </c>
      <c r="T21" s="74">
        <v>-1198.0852865656811</v>
      </c>
      <c r="U21" s="68"/>
    </row>
    <row r="22" spans="3:21" ht="18.75" customHeight="1" x14ac:dyDescent="0.2">
      <c r="C22" s="75" t="s">
        <v>19</v>
      </c>
      <c r="D22" s="76">
        <v>90323.065565970523</v>
      </c>
      <c r="E22" s="76">
        <v>89074.090097336957</v>
      </c>
      <c r="F22" s="76">
        <v>1248.9754686335655</v>
      </c>
      <c r="J22" s="75" t="s">
        <v>19</v>
      </c>
      <c r="K22" s="76">
        <v>85812.597181856821</v>
      </c>
      <c r="L22" s="76">
        <v>85268.700016841234</v>
      </c>
      <c r="M22" s="76">
        <v>543.89716501558723</v>
      </c>
      <c r="P22" s="67"/>
      <c r="Q22" s="75" t="s">
        <v>19</v>
      </c>
      <c r="R22" s="76">
        <v>87149.294998866375</v>
      </c>
      <c r="S22" s="76">
        <v>85163.998120289165</v>
      </c>
      <c r="T22" s="76">
        <v>1985.29687857721</v>
      </c>
      <c r="U22" s="68"/>
    </row>
    <row r="23" spans="3:21" x14ac:dyDescent="0.2">
      <c r="P23" s="67"/>
      <c r="Q23" s="66"/>
      <c r="R23" s="66"/>
      <c r="S23" s="66"/>
      <c r="T23" s="66"/>
      <c r="U23" s="68"/>
    </row>
    <row r="24" spans="3:21" ht="15" thickBot="1" x14ac:dyDescent="0.25">
      <c r="C24" s="85" t="s">
        <v>90</v>
      </c>
      <c r="D24" s="86">
        <f>SUM(D19:D21)</f>
        <v>14817.04265239429</v>
      </c>
      <c r="E24" s="86">
        <f>SUM(E19:E21)</f>
        <v>15450.51872400603</v>
      </c>
      <c r="J24" s="85" t="s">
        <v>90</v>
      </c>
      <c r="K24" s="86">
        <f>SUM(K19:K21)</f>
        <v>9886.8819966180945</v>
      </c>
      <c r="L24" s="86">
        <f>SUM(L19:L21)</f>
        <v>10582.405590246297</v>
      </c>
      <c r="P24" s="77"/>
      <c r="Q24" s="83" t="s">
        <v>90</v>
      </c>
      <c r="R24" s="84">
        <f>SUM(R19:R21)</f>
        <v>12502.544003047204</v>
      </c>
      <c r="S24" s="84">
        <f>SUM(S19:S21)</f>
        <v>12547.453284333673</v>
      </c>
      <c r="T24" s="78"/>
      <c r="U24" s="79"/>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9"/>
  <sheetViews>
    <sheetView zoomScaleNormal="100" workbookViewId="0"/>
  </sheetViews>
  <sheetFormatPr defaultColWidth="9.140625" defaultRowHeight="16.5" customHeight="1" x14ac:dyDescent="0.2"/>
  <cols>
    <col min="1" max="1" width="34.42578125" style="2" customWidth="1"/>
    <col min="2" max="2" width="17.28515625" style="2" bestFit="1" customWidth="1"/>
    <col min="3" max="6" width="12.28515625" style="2" customWidth="1"/>
    <col min="7" max="16384" width="9.140625" style="2"/>
  </cols>
  <sheetData>
    <row r="1" spans="1:2" ht="16.5" customHeight="1" x14ac:dyDescent="0.25">
      <c r="A1" s="20" t="s">
        <v>72</v>
      </c>
      <c r="B1" s="21"/>
    </row>
    <row r="2" spans="1:2" ht="16.5" customHeight="1" x14ac:dyDescent="0.25">
      <c r="A2" s="22"/>
      <c r="B2" s="23" t="s">
        <v>76</v>
      </c>
    </row>
    <row r="3" spans="1:2" ht="16.5" customHeight="1" x14ac:dyDescent="0.2">
      <c r="A3" s="24" t="s">
        <v>46</v>
      </c>
      <c r="B3" s="25">
        <v>1635.5537530359652</v>
      </c>
    </row>
    <row r="4" spans="1:2" ht="16.5" customHeight="1" x14ac:dyDescent="0.2">
      <c r="A4" s="24" t="s">
        <v>47</v>
      </c>
      <c r="B4" s="25">
        <v>394.65240682769945</v>
      </c>
    </row>
    <row r="5" spans="1:2" ht="16.5" customHeight="1" x14ac:dyDescent="0.2">
      <c r="A5" s="24" t="s">
        <v>48</v>
      </c>
      <c r="B5" s="25">
        <v>907.00212198420559</v>
      </c>
    </row>
    <row r="6" spans="1:2" ht="16.5" customHeight="1" x14ac:dyDescent="0.2">
      <c r="A6" s="24" t="s">
        <v>49</v>
      </c>
      <c r="B6" s="25">
        <v>246.17388329500631</v>
      </c>
    </row>
    <row r="7" spans="1:2" ht="16.5" customHeight="1" x14ac:dyDescent="0.2">
      <c r="A7" s="24" t="s">
        <v>50</v>
      </c>
      <c r="B7" s="25">
        <v>-1198.0852865656811</v>
      </c>
    </row>
    <row r="8" spans="1:2" ht="16.5" customHeight="1" x14ac:dyDescent="0.2">
      <c r="A8" s="26" t="s">
        <v>19</v>
      </c>
      <c r="B8" s="27">
        <v>1985.29687857721</v>
      </c>
    </row>
    <row r="9" spans="1:2" ht="16.5" customHeight="1" x14ac:dyDescent="0.2">
      <c r="A9" s="28"/>
      <c r="B9"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R73"/>
  <sheetViews>
    <sheetView zoomScaleNormal="100" workbookViewId="0"/>
  </sheetViews>
  <sheetFormatPr defaultColWidth="9.140625" defaultRowHeight="16.5" customHeight="1" x14ac:dyDescent="0.2"/>
  <cols>
    <col min="1" max="1" width="24.28515625" style="36" customWidth="1"/>
    <col min="2" max="2" width="27.85546875" style="36" customWidth="1"/>
    <col min="3" max="24" width="10.42578125" style="36" customWidth="1"/>
    <col min="25" max="16384" width="9.140625" style="36"/>
  </cols>
  <sheetData>
    <row r="1" spans="1:44" s="30" customFormat="1" ht="16.5" customHeight="1" x14ac:dyDescent="0.25">
      <c r="A1" s="29" t="s">
        <v>22</v>
      </c>
      <c r="F1" s="31"/>
    </row>
    <row r="2" spans="1:44" ht="16.5" customHeight="1" x14ac:dyDescent="0.2">
      <c r="A2" s="32" t="s">
        <v>34</v>
      </c>
      <c r="B2" s="33" t="s">
        <v>20</v>
      </c>
      <c r="C2" s="34" t="s">
        <v>0</v>
      </c>
      <c r="D2" s="35" t="s">
        <v>1</v>
      </c>
      <c r="E2" s="34" t="s">
        <v>2</v>
      </c>
      <c r="F2" s="35" t="s">
        <v>3</v>
      </c>
      <c r="G2" s="34" t="s">
        <v>4</v>
      </c>
      <c r="H2" s="35" t="s">
        <v>5</v>
      </c>
      <c r="I2" s="34" t="s">
        <v>6</v>
      </c>
      <c r="J2" s="35" t="s">
        <v>7</v>
      </c>
      <c r="K2" s="34" t="s">
        <v>8</v>
      </c>
      <c r="L2" s="35" t="s">
        <v>9</v>
      </c>
      <c r="M2" s="34" t="s">
        <v>10</v>
      </c>
      <c r="N2" s="35" t="s">
        <v>11</v>
      </c>
      <c r="O2" s="34" t="s">
        <v>12</v>
      </c>
      <c r="P2" s="35" t="s">
        <v>13</v>
      </c>
      <c r="Q2" s="34" t="s">
        <v>14</v>
      </c>
      <c r="R2" s="35" t="s">
        <v>15</v>
      </c>
      <c r="S2" s="34" t="s">
        <v>16</v>
      </c>
      <c r="T2" s="35" t="s">
        <v>45</v>
      </c>
      <c r="U2" s="34" t="s">
        <v>61</v>
      </c>
      <c r="V2" s="35" t="s">
        <v>62</v>
      </c>
      <c r="W2" s="34" t="s">
        <v>63</v>
      </c>
      <c r="X2" s="35" t="s">
        <v>64</v>
      </c>
    </row>
    <row r="3" spans="1:44" s="40" customFormat="1" ht="16.5" customHeight="1" x14ac:dyDescent="0.2">
      <c r="A3" s="95" t="s">
        <v>42</v>
      </c>
      <c r="B3" s="37" t="s">
        <v>54</v>
      </c>
      <c r="C3" s="38">
        <v>18219</v>
      </c>
      <c r="D3" s="39">
        <v>18219</v>
      </c>
      <c r="E3" s="38">
        <v>18219</v>
      </c>
      <c r="F3" s="39">
        <v>18219</v>
      </c>
      <c r="G3" s="38">
        <v>16419</v>
      </c>
      <c r="H3" s="39">
        <v>16419</v>
      </c>
      <c r="I3" s="38">
        <v>16419</v>
      </c>
      <c r="J3" s="39">
        <v>16419</v>
      </c>
      <c r="K3" s="38">
        <v>16054</v>
      </c>
      <c r="L3" s="39">
        <v>16054</v>
      </c>
      <c r="M3" s="38">
        <v>14734</v>
      </c>
      <c r="N3" s="39">
        <v>13054</v>
      </c>
      <c r="O3" s="38">
        <v>13054</v>
      </c>
      <c r="P3" s="39">
        <v>13054</v>
      </c>
      <c r="Q3" s="38">
        <v>13054</v>
      </c>
      <c r="R3" s="39">
        <v>13054</v>
      </c>
      <c r="S3" s="38">
        <v>10174</v>
      </c>
      <c r="T3" s="39">
        <v>7534</v>
      </c>
      <c r="U3" s="38">
        <v>6134</v>
      </c>
      <c r="V3" s="39">
        <v>6134</v>
      </c>
      <c r="W3" s="38">
        <v>5434</v>
      </c>
      <c r="X3" s="39">
        <v>5434</v>
      </c>
    </row>
    <row r="4" spans="1:44" s="40" customFormat="1" ht="16.5" customHeight="1" x14ac:dyDescent="0.2">
      <c r="A4" s="95"/>
      <c r="B4" s="37" t="s">
        <v>55</v>
      </c>
      <c r="C4" s="38">
        <v>4808</v>
      </c>
      <c r="D4" s="39">
        <v>4808</v>
      </c>
      <c r="E4" s="38">
        <v>4808</v>
      </c>
      <c r="F4" s="39">
        <v>4808</v>
      </c>
      <c r="G4" s="38">
        <v>4808</v>
      </c>
      <c r="H4" s="39">
        <v>4808</v>
      </c>
      <c r="I4" s="38">
        <v>4808</v>
      </c>
      <c r="J4" s="39">
        <v>4808</v>
      </c>
      <c r="K4" s="38">
        <v>4808</v>
      </c>
      <c r="L4" s="39">
        <v>4808</v>
      </c>
      <c r="M4" s="38">
        <v>4808</v>
      </c>
      <c r="N4" s="39">
        <v>4808</v>
      </c>
      <c r="O4" s="38">
        <v>4808</v>
      </c>
      <c r="P4" s="39">
        <v>4808</v>
      </c>
      <c r="Q4" s="38">
        <v>3280</v>
      </c>
      <c r="R4" s="39">
        <v>3280</v>
      </c>
      <c r="S4" s="38">
        <v>3280</v>
      </c>
      <c r="T4" s="39">
        <v>3280</v>
      </c>
      <c r="U4" s="38">
        <v>3280</v>
      </c>
      <c r="V4" s="39">
        <v>3280</v>
      </c>
      <c r="W4" s="38">
        <v>3280</v>
      </c>
      <c r="X4" s="39">
        <v>3280</v>
      </c>
    </row>
    <row r="5" spans="1:44" s="40" customFormat="1" ht="16.5" customHeight="1" x14ac:dyDescent="0.2">
      <c r="A5" s="95"/>
      <c r="B5" s="37" t="s">
        <v>17</v>
      </c>
      <c r="C5" s="38">
        <v>5363.5</v>
      </c>
      <c r="D5" s="39">
        <v>5363.5</v>
      </c>
      <c r="E5" s="38">
        <v>5363.5</v>
      </c>
      <c r="F5" s="39">
        <v>5363.5</v>
      </c>
      <c r="G5" s="38">
        <v>5363.5</v>
      </c>
      <c r="H5" s="39">
        <v>5363.5</v>
      </c>
      <c r="I5" s="38">
        <v>5363.5</v>
      </c>
      <c r="J5" s="39">
        <v>5363.5</v>
      </c>
      <c r="K5" s="38">
        <v>5363.5</v>
      </c>
      <c r="L5" s="39">
        <v>5363.5</v>
      </c>
      <c r="M5" s="38">
        <v>5363.5</v>
      </c>
      <c r="N5" s="39">
        <v>5363.5</v>
      </c>
      <c r="O5" s="38">
        <v>5363.5</v>
      </c>
      <c r="P5" s="39">
        <v>5363.5</v>
      </c>
      <c r="Q5" s="38">
        <v>5363.5</v>
      </c>
      <c r="R5" s="39">
        <v>5363.5</v>
      </c>
      <c r="S5" s="38">
        <v>5363.5</v>
      </c>
      <c r="T5" s="39">
        <v>5363.5</v>
      </c>
      <c r="U5" s="38">
        <v>5363.5</v>
      </c>
      <c r="V5" s="39">
        <v>5363.5</v>
      </c>
      <c r="W5" s="38">
        <v>5363.5</v>
      </c>
      <c r="X5" s="39">
        <v>5363.5</v>
      </c>
    </row>
    <row r="6" spans="1:44" s="40" customFormat="1" ht="16.5" customHeight="1" x14ac:dyDescent="0.2">
      <c r="A6" s="95"/>
      <c r="B6" s="37" t="s">
        <v>44</v>
      </c>
      <c r="C6" s="38">
        <v>4111</v>
      </c>
      <c r="D6" s="39">
        <v>4111</v>
      </c>
      <c r="E6" s="38">
        <v>4111</v>
      </c>
      <c r="F6" s="39">
        <v>4111</v>
      </c>
      <c r="G6" s="38">
        <v>4111</v>
      </c>
      <c r="H6" s="39">
        <v>4111</v>
      </c>
      <c r="I6" s="38">
        <v>2649</v>
      </c>
      <c r="J6" s="39">
        <v>2649</v>
      </c>
      <c r="K6" s="38">
        <v>2649</v>
      </c>
      <c r="L6" s="39">
        <v>2649</v>
      </c>
      <c r="M6" s="38">
        <v>2649</v>
      </c>
      <c r="N6" s="39">
        <v>2649</v>
      </c>
      <c r="O6" s="38">
        <v>2649</v>
      </c>
      <c r="P6" s="39">
        <v>2139</v>
      </c>
      <c r="Q6" s="38">
        <v>2139</v>
      </c>
      <c r="R6" s="39">
        <v>2139</v>
      </c>
      <c r="S6" s="38">
        <v>2139</v>
      </c>
      <c r="T6" s="39">
        <v>2139</v>
      </c>
      <c r="U6" s="38">
        <v>2139</v>
      </c>
      <c r="V6" s="39">
        <v>2139</v>
      </c>
      <c r="W6" s="38">
        <v>2139</v>
      </c>
      <c r="X6" s="39">
        <v>2139</v>
      </c>
    </row>
    <row r="7" spans="1:44" s="40" customFormat="1" ht="16.5" customHeight="1" x14ac:dyDescent="0.2">
      <c r="A7" s="95"/>
      <c r="B7" s="37" t="s">
        <v>56</v>
      </c>
      <c r="C7" s="38">
        <v>6967</v>
      </c>
      <c r="D7" s="39">
        <v>6943</v>
      </c>
      <c r="E7" s="38">
        <v>6943</v>
      </c>
      <c r="F7" s="39">
        <v>6669</v>
      </c>
      <c r="G7" s="38">
        <v>6955</v>
      </c>
      <c r="H7" s="39">
        <v>7070</v>
      </c>
      <c r="I7" s="38">
        <v>7070</v>
      </c>
      <c r="J7" s="39">
        <v>7070</v>
      </c>
      <c r="K7" s="38">
        <v>7070</v>
      </c>
      <c r="L7" s="39">
        <v>7070</v>
      </c>
      <c r="M7" s="38">
        <v>7070</v>
      </c>
      <c r="N7" s="39">
        <v>7070</v>
      </c>
      <c r="O7" s="38">
        <v>7070</v>
      </c>
      <c r="P7" s="39">
        <v>7070</v>
      </c>
      <c r="Q7" s="38">
        <v>7070</v>
      </c>
      <c r="R7" s="39">
        <v>7070</v>
      </c>
      <c r="S7" s="38">
        <v>7070</v>
      </c>
      <c r="T7" s="39">
        <v>7070</v>
      </c>
      <c r="U7" s="38">
        <v>7070</v>
      </c>
      <c r="V7" s="39">
        <v>7070</v>
      </c>
      <c r="W7" s="38">
        <v>7070</v>
      </c>
      <c r="X7" s="39">
        <v>7070</v>
      </c>
    </row>
    <row r="8" spans="1:44" s="40" customFormat="1" ht="16.5" customHeight="1" x14ac:dyDescent="0.2">
      <c r="A8" s="95"/>
      <c r="B8" s="37" t="s">
        <v>18</v>
      </c>
      <c r="C8" s="38">
        <v>5824.2999999999993</v>
      </c>
      <c r="D8" s="39">
        <v>7718.3</v>
      </c>
      <c r="E8" s="38">
        <v>8118.3</v>
      </c>
      <c r="F8" s="39">
        <v>8518.2999999999993</v>
      </c>
      <c r="G8" s="38">
        <v>8918.2999999999993</v>
      </c>
      <c r="H8" s="39">
        <v>9811.2999999999993</v>
      </c>
      <c r="I8" s="38">
        <v>10211.299999999999</v>
      </c>
      <c r="J8" s="39">
        <v>10211.299999999999</v>
      </c>
      <c r="K8" s="38">
        <v>10336.82978624</v>
      </c>
      <c r="L8" s="39">
        <v>10469.34557831</v>
      </c>
      <c r="M8" s="38">
        <v>10644.89050025</v>
      </c>
      <c r="N8" s="39">
        <v>10747.39872764</v>
      </c>
      <c r="O8" s="38">
        <v>10747.39872764</v>
      </c>
      <c r="P8" s="39">
        <v>10747.39872764</v>
      </c>
      <c r="Q8" s="38">
        <v>10871.878368600001</v>
      </c>
      <c r="R8" s="39">
        <v>11252.035500760001</v>
      </c>
      <c r="S8" s="38">
        <v>11964.853830030001</v>
      </c>
      <c r="T8" s="39">
        <v>13699.853830030001</v>
      </c>
      <c r="U8" s="38">
        <v>13796.91856509</v>
      </c>
      <c r="V8" s="39">
        <v>13945.819837449999</v>
      </c>
      <c r="W8" s="38">
        <v>14132.825395389998</v>
      </c>
      <c r="X8" s="39">
        <v>14132.825395389998</v>
      </c>
    </row>
    <row r="9" spans="1:44" s="40" customFormat="1" ht="16.5" customHeight="1" x14ac:dyDescent="0.2">
      <c r="A9" s="95"/>
      <c r="B9" s="37" t="s">
        <v>57</v>
      </c>
      <c r="C9" s="38">
        <v>2211.9</v>
      </c>
      <c r="D9" s="39">
        <v>2686.5024586800005</v>
      </c>
      <c r="E9" s="38">
        <v>2686.5024586800005</v>
      </c>
      <c r="F9" s="39">
        <v>2782.5024586800005</v>
      </c>
      <c r="G9" s="38">
        <v>3761.5816337400001</v>
      </c>
      <c r="H9" s="39">
        <v>4345.5816337400001</v>
      </c>
      <c r="I9" s="38">
        <v>5671.5116768899998</v>
      </c>
      <c r="J9" s="39">
        <v>6932.2290502799997</v>
      </c>
      <c r="K9" s="38">
        <v>7578.9802352299994</v>
      </c>
      <c r="L9" s="39">
        <v>8140.2672412900001</v>
      </c>
      <c r="M9" s="38">
        <v>8747.6106210399994</v>
      </c>
      <c r="N9" s="39">
        <v>9328.0324114899995</v>
      </c>
      <c r="O9" s="38">
        <v>9328.0324114899995</v>
      </c>
      <c r="P9" s="39">
        <v>9328.0324114899995</v>
      </c>
      <c r="Q9" s="38">
        <v>9328.0324114899995</v>
      </c>
      <c r="R9" s="39">
        <v>9328.0324114899995</v>
      </c>
      <c r="S9" s="38">
        <v>10510.523072100001</v>
      </c>
      <c r="T9" s="39">
        <v>13866.824073329999</v>
      </c>
      <c r="U9" s="38">
        <v>17621.903112779997</v>
      </c>
      <c r="V9" s="39">
        <v>18146.257155890002</v>
      </c>
      <c r="W9" s="38">
        <v>19376.82819208</v>
      </c>
      <c r="X9" s="39">
        <v>19661.50894399</v>
      </c>
    </row>
    <row r="10" spans="1:44" s="40" customFormat="1" ht="16.5" customHeight="1" x14ac:dyDescent="0.2">
      <c r="A10" s="95"/>
      <c r="B10" s="37" t="s">
        <v>58</v>
      </c>
      <c r="C10" s="38">
        <v>2681.4</v>
      </c>
      <c r="D10" s="39">
        <v>2701.4</v>
      </c>
      <c r="E10" s="38">
        <v>2801.4</v>
      </c>
      <c r="F10" s="39">
        <v>2801.4</v>
      </c>
      <c r="G10" s="38">
        <v>2801.4</v>
      </c>
      <c r="H10" s="39">
        <v>2801.4</v>
      </c>
      <c r="I10" s="38">
        <v>3003.77628</v>
      </c>
      <c r="J10" s="39">
        <v>3169.2785800000001</v>
      </c>
      <c r="K10" s="38">
        <v>3169.2785800000001</v>
      </c>
      <c r="L10" s="39">
        <v>3169.2785800000001</v>
      </c>
      <c r="M10" s="38">
        <v>3169.2785800000001</v>
      </c>
      <c r="N10" s="39">
        <v>3793.6205090000003</v>
      </c>
      <c r="O10" s="38">
        <v>3793.6205090000003</v>
      </c>
      <c r="P10" s="39">
        <v>3793.6205090000003</v>
      </c>
      <c r="Q10" s="38">
        <v>4240.7442959999998</v>
      </c>
      <c r="R10" s="39">
        <v>4503.248619</v>
      </c>
      <c r="S10" s="38">
        <v>6276.03874</v>
      </c>
      <c r="T10" s="39">
        <v>8548.6803309999996</v>
      </c>
      <c r="U10" s="38">
        <v>11421.849156999999</v>
      </c>
      <c r="V10" s="39">
        <v>11848.310302</v>
      </c>
      <c r="W10" s="38">
        <v>12795.426132999999</v>
      </c>
      <c r="X10" s="39">
        <v>12976.218201999998</v>
      </c>
    </row>
    <row r="11" spans="1:44" s="40" customFormat="1" ht="16.5" customHeight="1" x14ac:dyDescent="0.2">
      <c r="A11" s="95"/>
      <c r="B11" s="37" t="s">
        <v>59</v>
      </c>
      <c r="C11" s="38">
        <v>0</v>
      </c>
      <c r="D11" s="39">
        <v>0</v>
      </c>
      <c r="E11" s="38">
        <v>0</v>
      </c>
      <c r="F11" s="39">
        <v>0</v>
      </c>
      <c r="G11" s="38">
        <v>0</v>
      </c>
      <c r="H11" s="39">
        <v>0</v>
      </c>
      <c r="I11" s="38">
        <v>0</v>
      </c>
      <c r="J11" s="39">
        <v>0</v>
      </c>
      <c r="K11" s="38">
        <v>0</v>
      </c>
      <c r="L11" s="39">
        <v>0</v>
      </c>
      <c r="M11" s="38">
        <v>0</v>
      </c>
      <c r="N11" s="39">
        <v>0</v>
      </c>
      <c r="O11" s="38">
        <v>0</v>
      </c>
      <c r="P11" s="39">
        <v>0</v>
      </c>
      <c r="Q11" s="38">
        <v>0</v>
      </c>
      <c r="R11" s="39">
        <v>0</v>
      </c>
      <c r="S11" s="38">
        <v>0</v>
      </c>
      <c r="T11" s="39">
        <v>114.28591900000001</v>
      </c>
      <c r="U11" s="38">
        <v>194.46087225000002</v>
      </c>
      <c r="V11" s="39">
        <v>194.46087225000002</v>
      </c>
      <c r="W11" s="38">
        <v>294.82928600000002</v>
      </c>
      <c r="X11" s="39">
        <v>294.82928600000002</v>
      </c>
    </row>
    <row r="12" spans="1:44" s="40" customFormat="1" ht="16.5" customHeight="1" x14ac:dyDescent="0.2">
      <c r="A12" s="95"/>
      <c r="B12" s="37" t="s">
        <v>60</v>
      </c>
      <c r="C12" s="38">
        <v>259.63</v>
      </c>
      <c r="D12" s="39">
        <v>398.25</v>
      </c>
      <c r="E12" s="38">
        <v>565.20000000000005</v>
      </c>
      <c r="F12" s="39">
        <v>781.34</v>
      </c>
      <c r="G12" s="38">
        <v>1039.3599999999999</v>
      </c>
      <c r="H12" s="39">
        <v>1347.47</v>
      </c>
      <c r="I12" s="38">
        <v>1703.64</v>
      </c>
      <c r="J12" s="39">
        <v>2110.77</v>
      </c>
      <c r="K12" s="38">
        <v>2569.42</v>
      </c>
      <c r="L12" s="39">
        <v>3078.39</v>
      </c>
      <c r="M12" s="38">
        <v>3640.22</v>
      </c>
      <c r="N12" s="39">
        <v>4267.41</v>
      </c>
      <c r="O12" s="38">
        <v>4969.24</v>
      </c>
      <c r="P12" s="39">
        <v>5778.19</v>
      </c>
      <c r="Q12" s="38">
        <v>6730.19</v>
      </c>
      <c r="R12" s="39">
        <v>7848.85</v>
      </c>
      <c r="S12" s="38">
        <v>9141.2800000000007</v>
      </c>
      <c r="T12" s="39">
        <v>10536.55</v>
      </c>
      <c r="U12" s="38">
        <v>11950.73</v>
      </c>
      <c r="V12" s="39">
        <v>13290.9</v>
      </c>
      <c r="W12" s="38">
        <v>14468.35</v>
      </c>
      <c r="X12" s="39">
        <v>15476.55</v>
      </c>
    </row>
    <row r="13" spans="1:44" s="40" customFormat="1" ht="16.5" customHeight="1" x14ac:dyDescent="0.2">
      <c r="A13" s="95"/>
      <c r="B13" s="37" t="s">
        <v>41</v>
      </c>
      <c r="C13" s="38">
        <v>7332</v>
      </c>
      <c r="D13" s="39">
        <v>8210</v>
      </c>
      <c r="E13" s="38">
        <v>9131</v>
      </c>
      <c r="F13" s="39">
        <v>10122</v>
      </c>
      <c r="G13" s="38">
        <v>11218</v>
      </c>
      <c r="H13" s="39">
        <v>12488</v>
      </c>
      <c r="I13" s="38">
        <v>13966</v>
      </c>
      <c r="J13" s="39">
        <v>15736</v>
      </c>
      <c r="K13" s="38">
        <v>17932</v>
      </c>
      <c r="L13" s="39">
        <v>20707</v>
      </c>
      <c r="M13" s="38">
        <v>24204</v>
      </c>
      <c r="N13" s="39">
        <v>28428</v>
      </c>
      <c r="O13" s="38">
        <v>33136</v>
      </c>
      <c r="P13" s="39">
        <v>37912</v>
      </c>
      <c r="Q13" s="38">
        <v>42298</v>
      </c>
      <c r="R13" s="39">
        <v>45952</v>
      </c>
      <c r="S13" s="38">
        <v>48867</v>
      </c>
      <c r="T13" s="39">
        <v>51014</v>
      </c>
      <c r="U13" s="38">
        <v>52660</v>
      </c>
      <c r="V13" s="39">
        <v>54079</v>
      </c>
      <c r="W13" s="38">
        <v>55232</v>
      </c>
      <c r="X13" s="39">
        <v>56228</v>
      </c>
    </row>
    <row r="14" spans="1:44" s="40" customFormat="1" ht="16.5" customHeight="1" x14ac:dyDescent="0.2">
      <c r="A14" s="95"/>
      <c r="B14" s="41" t="s">
        <v>19</v>
      </c>
      <c r="C14" s="42">
        <f>SUM(C3:C13)</f>
        <v>57777.73</v>
      </c>
      <c r="D14" s="43">
        <f t="shared" ref="D14:X14" si="0">SUM(D3:D13)</f>
        <v>61158.952458680003</v>
      </c>
      <c r="E14" s="42">
        <f t="shared" si="0"/>
        <v>62746.902458680001</v>
      </c>
      <c r="F14" s="43">
        <f t="shared" si="0"/>
        <v>64176.04245868</v>
      </c>
      <c r="G14" s="42">
        <f t="shared" si="0"/>
        <v>65395.141633740008</v>
      </c>
      <c r="H14" s="43">
        <f t="shared" si="0"/>
        <v>68565.251633740001</v>
      </c>
      <c r="I14" s="42">
        <f t="shared" si="0"/>
        <v>70865.727956889998</v>
      </c>
      <c r="J14" s="43">
        <f t="shared" si="0"/>
        <v>74469.077630279993</v>
      </c>
      <c r="K14" s="42">
        <f t="shared" si="0"/>
        <v>77531.008601469992</v>
      </c>
      <c r="L14" s="43">
        <f t="shared" si="0"/>
        <v>81508.781399600004</v>
      </c>
      <c r="M14" s="42">
        <f t="shared" si="0"/>
        <v>85030.499701289998</v>
      </c>
      <c r="N14" s="43">
        <f t="shared" si="0"/>
        <v>89508.961648130004</v>
      </c>
      <c r="O14" s="42">
        <f t="shared" si="0"/>
        <v>94918.791648129991</v>
      </c>
      <c r="P14" s="43">
        <f t="shared" si="0"/>
        <v>99993.741648130002</v>
      </c>
      <c r="Q14" s="42">
        <f t="shared" si="0"/>
        <v>104375.34507609</v>
      </c>
      <c r="R14" s="43">
        <f t="shared" si="0"/>
        <v>109790.66653125</v>
      </c>
      <c r="S14" s="42">
        <f t="shared" si="0"/>
        <v>114786.19564213</v>
      </c>
      <c r="T14" s="43">
        <f t="shared" si="0"/>
        <v>123166.69415336</v>
      </c>
      <c r="U14" s="42">
        <f t="shared" si="0"/>
        <v>131632.36170712</v>
      </c>
      <c r="V14" s="43">
        <f t="shared" si="0"/>
        <v>135491.24816759001</v>
      </c>
      <c r="W14" s="42">
        <f t="shared" si="0"/>
        <v>139586.75900646998</v>
      </c>
      <c r="X14" s="43">
        <f t="shared" si="0"/>
        <v>142056.43182738</v>
      </c>
    </row>
    <row r="15" spans="1:44" s="40" customFormat="1" ht="16.5" customHeight="1" x14ac:dyDescent="0.2">
      <c r="B15" s="44"/>
      <c r="C15" s="44"/>
      <c r="D15" s="44"/>
      <c r="E15" s="44"/>
      <c r="F15" s="44"/>
      <c r="G15" s="44"/>
      <c r="H15" s="44"/>
      <c r="I15" s="44"/>
      <c r="J15" s="44"/>
      <c r="K15" s="44"/>
      <c r="L15" s="44"/>
      <c r="M15" s="44"/>
      <c r="N15" s="44"/>
      <c r="O15" s="44"/>
      <c r="P15" s="44"/>
      <c r="Q15" s="44"/>
      <c r="R15" s="44"/>
      <c r="S15" s="44"/>
      <c r="T15" s="44"/>
      <c r="U15" s="44"/>
      <c r="AP15" s="44"/>
      <c r="AQ15" s="44"/>
      <c r="AR15" s="44"/>
    </row>
    <row r="16" spans="1:44" s="40" customFormat="1" ht="16.5" customHeight="1" x14ac:dyDescent="0.2">
      <c r="AP16" s="44"/>
      <c r="AQ16" s="44"/>
      <c r="AR16" s="44"/>
    </row>
    <row r="17" spans="1:44" ht="16.5" customHeight="1" x14ac:dyDescent="0.2">
      <c r="C17" s="45"/>
      <c r="D17" s="45"/>
      <c r="E17" s="45"/>
      <c r="F17" s="45"/>
      <c r="G17" s="45"/>
      <c r="H17" s="45"/>
      <c r="I17" s="45"/>
      <c r="J17" s="45"/>
      <c r="K17" s="45"/>
      <c r="L17" s="45"/>
      <c r="M17" s="45"/>
      <c r="N17" s="45"/>
      <c r="O17" s="45"/>
      <c r="P17" s="45"/>
      <c r="Q17" s="45"/>
      <c r="R17" s="45"/>
      <c r="S17" s="45"/>
      <c r="T17" s="45"/>
      <c r="U17" s="45"/>
      <c r="V17" s="45"/>
      <c r="W17" s="45"/>
      <c r="X17" s="45"/>
      <c r="AP17" s="45"/>
      <c r="AQ17" s="45"/>
      <c r="AR17" s="45"/>
    </row>
    <row r="18" spans="1:44" ht="16.5" customHeight="1" x14ac:dyDescent="0.2">
      <c r="A18" s="32" t="s">
        <v>34</v>
      </c>
      <c r="B18" s="33" t="s">
        <v>20</v>
      </c>
      <c r="C18" s="34" t="s">
        <v>0</v>
      </c>
      <c r="D18" s="35" t="s">
        <v>1</v>
      </c>
      <c r="E18" s="34" t="s">
        <v>2</v>
      </c>
      <c r="F18" s="35" t="s">
        <v>3</v>
      </c>
      <c r="G18" s="34" t="s">
        <v>4</v>
      </c>
      <c r="H18" s="35" t="s">
        <v>5</v>
      </c>
      <c r="I18" s="34" t="s">
        <v>6</v>
      </c>
      <c r="J18" s="35" t="s">
        <v>7</v>
      </c>
      <c r="K18" s="34" t="s">
        <v>8</v>
      </c>
      <c r="L18" s="35" t="s">
        <v>9</v>
      </c>
      <c r="M18" s="34" t="s">
        <v>10</v>
      </c>
      <c r="N18" s="35" t="s">
        <v>11</v>
      </c>
      <c r="O18" s="34" t="s">
        <v>12</v>
      </c>
      <c r="P18" s="35" t="s">
        <v>13</v>
      </c>
      <c r="Q18" s="34" t="s">
        <v>14</v>
      </c>
      <c r="R18" s="35" t="s">
        <v>15</v>
      </c>
      <c r="S18" s="34" t="s">
        <v>16</v>
      </c>
      <c r="T18" s="35" t="s">
        <v>45</v>
      </c>
      <c r="U18" s="34" t="s">
        <v>61</v>
      </c>
      <c r="V18" s="35" t="s">
        <v>62</v>
      </c>
      <c r="W18" s="34" t="s">
        <v>63</v>
      </c>
      <c r="X18" s="35" t="s">
        <v>64</v>
      </c>
    </row>
    <row r="19" spans="1:44" ht="16.5" customHeight="1" x14ac:dyDescent="0.2">
      <c r="A19" s="95" t="s">
        <v>35</v>
      </c>
      <c r="B19" s="37" t="s">
        <v>54</v>
      </c>
      <c r="C19" s="38">
        <v>10040</v>
      </c>
      <c r="D19" s="39">
        <v>10040</v>
      </c>
      <c r="E19" s="38">
        <v>10040</v>
      </c>
      <c r="F19" s="39">
        <v>10040</v>
      </c>
      <c r="G19" s="38">
        <v>8240</v>
      </c>
      <c r="H19" s="39">
        <v>8240</v>
      </c>
      <c r="I19" s="38">
        <v>8240</v>
      </c>
      <c r="J19" s="39">
        <v>8240</v>
      </c>
      <c r="K19" s="38">
        <v>8240</v>
      </c>
      <c r="L19" s="39">
        <v>8240</v>
      </c>
      <c r="M19" s="38">
        <v>6920</v>
      </c>
      <c r="N19" s="39">
        <v>6920</v>
      </c>
      <c r="O19" s="38">
        <v>6920</v>
      </c>
      <c r="P19" s="39">
        <v>6920</v>
      </c>
      <c r="Q19" s="38">
        <v>6920</v>
      </c>
      <c r="R19" s="39">
        <v>6920</v>
      </c>
      <c r="S19" s="38">
        <v>4040</v>
      </c>
      <c r="T19" s="39">
        <v>1400</v>
      </c>
      <c r="U19" s="38">
        <v>1400</v>
      </c>
      <c r="V19" s="39">
        <v>1400</v>
      </c>
      <c r="W19" s="38">
        <v>1400</v>
      </c>
      <c r="X19" s="39">
        <v>1400</v>
      </c>
    </row>
    <row r="20" spans="1:44" ht="16.5" customHeight="1" x14ac:dyDescent="0.2">
      <c r="A20" s="95"/>
      <c r="B20" s="37" t="s">
        <v>55</v>
      </c>
      <c r="C20" s="38">
        <v>0</v>
      </c>
      <c r="D20" s="39">
        <v>0</v>
      </c>
      <c r="E20" s="38">
        <v>0</v>
      </c>
      <c r="F20" s="39">
        <v>0</v>
      </c>
      <c r="G20" s="38">
        <v>0</v>
      </c>
      <c r="H20" s="39">
        <v>0</v>
      </c>
      <c r="I20" s="38">
        <v>0</v>
      </c>
      <c r="J20" s="39">
        <v>0</v>
      </c>
      <c r="K20" s="38">
        <v>0</v>
      </c>
      <c r="L20" s="39">
        <v>0</v>
      </c>
      <c r="M20" s="38">
        <v>0</v>
      </c>
      <c r="N20" s="39">
        <v>0</v>
      </c>
      <c r="O20" s="38">
        <v>0</v>
      </c>
      <c r="P20" s="39">
        <v>0</v>
      </c>
      <c r="Q20" s="38">
        <v>0</v>
      </c>
      <c r="R20" s="39">
        <v>0</v>
      </c>
      <c r="S20" s="38">
        <v>0</v>
      </c>
      <c r="T20" s="39">
        <v>0</v>
      </c>
      <c r="U20" s="38">
        <v>0</v>
      </c>
      <c r="V20" s="39">
        <v>0</v>
      </c>
      <c r="W20" s="38">
        <v>0</v>
      </c>
      <c r="X20" s="39">
        <v>0</v>
      </c>
    </row>
    <row r="21" spans="1:44" ht="16.5" customHeight="1" x14ac:dyDescent="0.2">
      <c r="A21" s="95"/>
      <c r="B21" s="37" t="s">
        <v>17</v>
      </c>
      <c r="C21" s="38">
        <v>822</v>
      </c>
      <c r="D21" s="39">
        <v>822</v>
      </c>
      <c r="E21" s="38">
        <v>822</v>
      </c>
      <c r="F21" s="39">
        <v>822</v>
      </c>
      <c r="G21" s="38">
        <v>822</v>
      </c>
      <c r="H21" s="39">
        <v>822</v>
      </c>
      <c r="I21" s="38">
        <v>822</v>
      </c>
      <c r="J21" s="39">
        <v>822</v>
      </c>
      <c r="K21" s="38">
        <v>822</v>
      </c>
      <c r="L21" s="39">
        <v>822</v>
      </c>
      <c r="M21" s="38">
        <v>822</v>
      </c>
      <c r="N21" s="39">
        <v>822</v>
      </c>
      <c r="O21" s="38">
        <v>822</v>
      </c>
      <c r="P21" s="39">
        <v>822</v>
      </c>
      <c r="Q21" s="38">
        <v>822</v>
      </c>
      <c r="R21" s="39">
        <v>822</v>
      </c>
      <c r="S21" s="38">
        <v>822</v>
      </c>
      <c r="T21" s="39">
        <v>822</v>
      </c>
      <c r="U21" s="38">
        <v>822</v>
      </c>
      <c r="V21" s="39">
        <v>822</v>
      </c>
      <c r="W21" s="38">
        <v>822</v>
      </c>
      <c r="X21" s="39">
        <v>822</v>
      </c>
    </row>
    <row r="22" spans="1:44" ht="16.5" customHeight="1" x14ac:dyDescent="0.2">
      <c r="A22" s="95"/>
      <c r="B22" s="37" t="s">
        <v>44</v>
      </c>
      <c r="C22" s="38">
        <v>618</v>
      </c>
      <c r="D22" s="39">
        <v>618</v>
      </c>
      <c r="E22" s="38">
        <v>618</v>
      </c>
      <c r="F22" s="39">
        <v>618</v>
      </c>
      <c r="G22" s="38">
        <v>618</v>
      </c>
      <c r="H22" s="39">
        <v>618</v>
      </c>
      <c r="I22" s="38">
        <v>618</v>
      </c>
      <c r="J22" s="39">
        <v>618</v>
      </c>
      <c r="K22" s="38">
        <v>618</v>
      </c>
      <c r="L22" s="39">
        <v>618</v>
      </c>
      <c r="M22" s="38">
        <v>618</v>
      </c>
      <c r="N22" s="39">
        <v>618</v>
      </c>
      <c r="O22" s="38">
        <v>618</v>
      </c>
      <c r="P22" s="39">
        <v>618</v>
      </c>
      <c r="Q22" s="38">
        <v>618</v>
      </c>
      <c r="R22" s="39">
        <v>618</v>
      </c>
      <c r="S22" s="38">
        <v>618</v>
      </c>
      <c r="T22" s="39">
        <v>618</v>
      </c>
      <c r="U22" s="38">
        <v>618</v>
      </c>
      <c r="V22" s="39">
        <v>618</v>
      </c>
      <c r="W22" s="38">
        <v>618</v>
      </c>
      <c r="X22" s="39">
        <v>618</v>
      </c>
    </row>
    <row r="23" spans="1:44" ht="16.5" customHeight="1" x14ac:dyDescent="0.2">
      <c r="A23" s="95"/>
      <c r="B23" s="37" t="s">
        <v>56</v>
      </c>
      <c r="C23" s="38">
        <v>1438</v>
      </c>
      <c r="D23" s="39">
        <v>1438</v>
      </c>
      <c r="E23" s="38">
        <v>1438</v>
      </c>
      <c r="F23" s="39">
        <v>1438</v>
      </c>
      <c r="G23" s="38">
        <v>1723.92166</v>
      </c>
      <c r="H23" s="39">
        <v>1839.0216820000001</v>
      </c>
      <c r="I23" s="38">
        <v>1839.0216820000001</v>
      </c>
      <c r="J23" s="39">
        <v>1839.0216820000001</v>
      </c>
      <c r="K23" s="38">
        <v>1839.0216820000001</v>
      </c>
      <c r="L23" s="39">
        <v>1839.0216820000001</v>
      </c>
      <c r="M23" s="38">
        <v>1839.0216820000001</v>
      </c>
      <c r="N23" s="39">
        <v>1839.0216820000001</v>
      </c>
      <c r="O23" s="38">
        <v>1839.0216820000001</v>
      </c>
      <c r="P23" s="39">
        <v>1839.0216820000001</v>
      </c>
      <c r="Q23" s="38">
        <v>1839.0216820000001</v>
      </c>
      <c r="R23" s="39">
        <v>1839.0216820000001</v>
      </c>
      <c r="S23" s="38">
        <v>1839.0216820000001</v>
      </c>
      <c r="T23" s="39">
        <v>1839.0216820000001</v>
      </c>
      <c r="U23" s="38">
        <v>1839.0216820000001</v>
      </c>
      <c r="V23" s="39">
        <v>1839.0216820000001</v>
      </c>
      <c r="W23" s="38">
        <v>1839.0216820000001</v>
      </c>
      <c r="X23" s="39">
        <v>1839.0216820000001</v>
      </c>
    </row>
    <row r="24" spans="1:44" ht="16.5" customHeight="1" x14ac:dyDescent="0.2">
      <c r="A24" s="95"/>
      <c r="B24" s="37" t="s">
        <v>18</v>
      </c>
      <c r="C24" s="38">
        <v>1301.0999999999999</v>
      </c>
      <c r="D24" s="39">
        <v>1500.1</v>
      </c>
      <c r="E24" s="38">
        <v>1500.1</v>
      </c>
      <c r="F24" s="39">
        <v>1500.1</v>
      </c>
      <c r="G24" s="38">
        <v>1500.1</v>
      </c>
      <c r="H24" s="39">
        <v>1500.1</v>
      </c>
      <c r="I24" s="38">
        <v>1500.1</v>
      </c>
      <c r="J24" s="39">
        <v>1500.1</v>
      </c>
      <c r="K24" s="38">
        <v>1500.1</v>
      </c>
      <c r="L24" s="39">
        <v>1500.1</v>
      </c>
      <c r="M24" s="38">
        <v>1500.1</v>
      </c>
      <c r="N24" s="39">
        <v>1500.1</v>
      </c>
      <c r="O24" s="38">
        <v>1500.1</v>
      </c>
      <c r="P24" s="39">
        <v>1500.1</v>
      </c>
      <c r="Q24" s="38">
        <v>1500.1</v>
      </c>
      <c r="R24" s="39">
        <v>1880.257132</v>
      </c>
      <c r="S24" s="38">
        <v>2075.1</v>
      </c>
      <c r="T24" s="39">
        <v>3810.1</v>
      </c>
      <c r="U24" s="38">
        <v>3810.1</v>
      </c>
      <c r="V24" s="39">
        <v>3810.1</v>
      </c>
      <c r="W24" s="38">
        <v>3810.1</v>
      </c>
      <c r="X24" s="39">
        <v>3810.1</v>
      </c>
    </row>
    <row r="25" spans="1:44" ht="16.5" customHeight="1" x14ac:dyDescent="0.2">
      <c r="A25" s="95"/>
      <c r="B25" s="37" t="s">
        <v>57</v>
      </c>
      <c r="C25" s="38">
        <v>345.9</v>
      </c>
      <c r="D25" s="39">
        <v>707.54339549999997</v>
      </c>
      <c r="E25" s="38">
        <v>707.54339549999997</v>
      </c>
      <c r="F25" s="39">
        <v>707.54339549999997</v>
      </c>
      <c r="G25" s="38">
        <v>1472.3771260000001</v>
      </c>
      <c r="H25" s="39">
        <v>1472.3771260000001</v>
      </c>
      <c r="I25" s="38">
        <v>1472.3771260000001</v>
      </c>
      <c r="J25" s="39">
        <v>1472.3771260000001</v>
      </c>
      <c r="K25" s="38">
        <v>1472.3771260000001</v>
      </c>
      <c r="L25" s="39">
        <v>1472.3771260000001</v>
      </c>
      <c r="M25" s="38">
        <v>1472.3771260000001</v>
      </c>
      <c r="N25" s="39">
        <v>1472.3771260000001</v>
      </c>
      <c r="O25" s="38">
        <v>1472.3771260000001</v>
      </c>
      <c r="P25" s="39">
        <v>1472.3771260000001</v>
      </c>
      <c r="Q25" s="38">
        <v>1472.3771260000001</v>
      </c>
      <c r="R25" s="39">
        <v>1472.3771260000001</v>
      </c>
      <c r="S25" s="38">
        <v>2007.9466870000001</v>
      </c>
      <c r="T25" s="39">
        <v>4778.3757610000002</v>
      </c>
      <c r="U25" s="38">
        <v>7765.1998860000003</v>
      </c>
      <c r="V25" s="39">
        <v>7765.1998860000003</v>
      </c>
      <c r="W25" s="38">
        <v>8531.5859639999999</v>
      </c>
      <c r="X25" s="39">
        <v>8531.5859639999999</v>
      </c>
    </row>
    <row r="26" spans="1:44" ht="16.5" customHeight="1" x14ac:dyDescent="0.2">
      <c r="A26" s="95"/>
      <c r="B26" s="37" t="s">
        <v>58</v>
      </c>
      <c r="C26" s="38">
        <v>2040</v>
      </c>
      <c r="D26" s="39">
        <v>2040</v>
      </c>
      <c r="E26" s="38">
        <v>2040</v>
      </c>
      <c r="F26" s="39">
        <v>2040</v>
      </c>
      <c r="G26" s="38">
        <v>2040</v>
      </c>
      <c r="H26" s="39">
        <v>2040</v>
      </c>
      <c r="I26" s="38">
        <v>2040</v>
      </c>
      <c r="J26" s="39">
        <v>2040</v>
      </c>
      <c r="K26" s="38">
        <v>2040</v>
      </c>
      <c r="L26" s="39">
        <v>2040</v>
      </c>
      <c r="M26" s="38">
        <v>2040</v>
      </c>
      <c r="N26" s="39">
        <v>2040</v>
      </c>
      <c r="O26" s="38">
        <v>2040</v>
      </c>
      <c r="P26" s="39">
        <v>2040</v>
      </c>
      <c r="Q26" s="38">
        <v>2040</v>
      </c>
      <c r="R26" s="39">
        <v>2146.2149129999998</v>
      </c>
      <c r="S26" s="38">
        <v>2738.09996</v>
      </c>
      <c r="T26" s="39">
        <v>4253.52477</v>
      </c>
      <c r="U26" s="38">
        <v>5713.3125369999998</v>
      </c>
      <c r="V26" s="39">
        <v>5745.4310320000004</v>
      </c>
      <c r="W26" s="38">
        <v>6126.9870870000004</v>
      </c>
      <c r="X26" s="39">
        <v>6145.4809340000002</v>
      </c>
    </row>
    <row r="27" spans="1:44" ht="16.5" customHeight="1" x14ac:dyDescent="0.2">
      <c r="A27" s="95"/>
      <c r="B27" s="37" t="s">
        <v>59</v>
      </c>
      <c r="C27" s="38">
        <v>0</v>
      </c>
      <c r="D27" s="39">
        <v>0</v>
      </c>
      <c r="E27" s="38">
        <v>0</v>
      </c>
      <c r="F27" s="39">
        <v>0</v>
      </c>
      <c r="G27" s="38">
        <v>0</v>
      </c>
      <c r="H27" s="39">
        <v>0</v>
      </c>
      <c r="I27" s="38">
        <v>0</v>
      </c>
      <c r="J27" s="39">
        <v>0</v>
      </c>
      <c r="K27" s="38">
        <v>0</v>
      </c>
      <c r="L27" s="39">
        <v>0</v>
      </c>
      <c r="M27" s="38">
        <v>0</v>
      </c>
      <c r="N27" s="39">
        <v>0</v>
      </c>
      <c r="O27" s="38">
        <v>0</v>
      </c>
      <c r="P27" s="39">
        <v>0</v>
      </c>
      <c r="Q27" s="38">
        <v>0</v>
      </c>
      <c r="R27" s="39">
        <v>0</v>
      </c>
      <c r="S27" s="38">
        <v>0</v>
      </c>
      <c r="T27" s="39">
        <v>100</v>
      </c>
      <c r="U27" s="38">
        <v>100</v>
      </c>
      <c r="V27" s="39">
        <v>100</v>
      </c>
      <c r="W27" s="38">
        <v>100</v>
      </c>
      <c r="X27" s="39">
        <v>100</v>
      </c>
    </row>
    <row r="28" spans="1:44" ht="16.5" customHeight="1" x14ac:dyDescent="0.2">
      <c r="A28" s="95"/>
      <c r="B28" s="37" t="s">
        <v>60</v>
      </c>
      <c r="C28" s="38">
        <v>79.150000000000006</v>
      </c>
      <c r="D28" s="39">
        <v>121.34</v>
      </c>
      <c r="E28" s="38">
        <v>167.76</v>
      </c>
      <c r="F28" s="39">
        <v>230.47</v>
      </c>
      <c r="G28" s="38">
        <v>306.20999999999998</v>
      </c>
      <c r="H28" s="39">
        <v>398.34</v>
      </c>
      <c r="I28" s="38">
        <v>504.83</v>
      </c>
      <c r="J28" s="39">
        <v>627.78</v>
      </c>
      <c r="K28" s="38">
        <v>765</v>
      </c>
      <c r="L28" s="39">
        <v>915.47</v>
      </c>
      <c r="M28" s="38">
        <v>1079.42</v>
      </c>
      <c r="N28" s="39">
        <v>1258.74</v>
      </c>
      <c r="O28" s="38">
        <v>1463</v>
      </c>
      <c r="P28" s="39">
        <v>1697.18</v>
      </c>
      <c r="Q28" s="38">
        <v>1965.68</v>
      </c>
      <c r="R28" s="39">
        <v>2276.12</v>
      </c>
      <c r="S28" s="38">
        <v>2636.55</v>
      </c>
      <c r="T28" s="39">
        <v>3036.82</v>
      </c>
      <c r="U28" s="38">
        <v>3468.69</v>
      </c>
      <c r="V28" s="39">
        <v>3889.36</v>
      </c>
      <c r="W28" s="38">
        <v>4267.62</v>
      </c>
      <c r="X28" s="39">
        <v>4590.45</v>
      </c>
    </row>
    <row r="29" spans="1:44" ht="16.5" customHeight="1" x14ac:dyDescent="0.2">
      <c r="A29" s="95"/>
      <c r="B29" s="37" t="s">
        <v>41</v>
      </c>
      <c r="C29" s="38">
        <v>2082</v>
      </c>
      <c r="D29" s="39">
        <v>2380</v>
      </c>
      <c r="E29" s="38">
        <v>2681</v>
      </c>
      <c r="F29" s="39">
        <v>2997</v>
      </c>
      <c r="G29" s="38">
        <v>3334</v>
      </c>
      <c r="H29" s="39">
        <v>3715</v>
      </c>
      <c r="I29" s="38">
        <v>4150</v>
      </c>
      <c r="J29" s="39">
        <v>4668</v>
      </c>
      <c r="K29" s="38">
        <v>5316</v>
      </c>
      <c r="L29" s="39">
        <v>6136</v>
      </c>
      <c r="M29" s="38">
        <v>7166</v>
      </c>
      <c r="N29" s="39">
        <v>8405</v>
      </c>
      <c r="O29" s="38">
        <v>9788</v>
      </c>
      <c r="P29" s="39">
        <v>11186</v>
      </c>
      <c r="Q29" s="38">
        <v>12439</v>
      </c>
      <c r="R29" s="39">
        <v>13449</v>
      </c>
      <c r="S29" s="38">
        <v>14201</v>
      </c>
      <c r="T29" s="39">
        <v>14735</v>
      </c>
      <c r="U29" s="38">
        <v>15200</v>
      </c>
      <c r="V29" s="39">
        <v>15562</v>
      </c>
      <c r="W29" s="38">
        <v>15858</v>
      </c>
      <c r="X29" s="39">
        <v>16114</v>
      </c>
    </row>
    <row r="30" spans="1:44" ht="16.5" customHeight="1" x14ac:dyDescent="0.2">
      <c r="A30" s="96" t="s">
        <v>36</v>
      </c>
      <c r="B30" s="46" t="s">
        <v>54</v>
      </c>
      <c r="C30" s="47">
        <v>8179</v>
      </c>
      <c r="D30" s="48">
        <v>8179</v>
      </c>
      <c r="E30" s="47">
        <v>8179</v>
      </c>
      <c r="F30" s="48">
        <v>8179</v>
      </c>
      <c r="G30" s="47">
        <v>8179</v>
      </c>
      <c r="H30" s="48">
        <v>8179</v>
      </c>
      <c r="I30" s="47">
        <v>8179</v>
      </c>
      <c r="J30" s="48">
        <v>8179</v>
      </c>
      <c r="K30" s="47">
        <v>7814</v>
      </c>
      <c r="L30" s="48">
        <v>7814</v>
      </c>
      <c r="M30" s="47">
        <v>7814</v>
      </c>
      <c r="N30" s="48">
        <v>6134</v>
      </c>
      <c r="O30" s="47">
        <v>6134</v>
      </c>
      <c r="P30" s="48">
        <v>6134</v>
      </c>
      <c r="Q30" s="47">
        <v>6134</v>
      </c>
      <c r="R30" s="48">
        <v>6134</v>
      </c>
      <c r="S30" s="47">
        <v>6134</v>
      </c>
      <c r="T30" s="48">
        <v>6134</v>
      </c>
      <c r="U30" s="47">
        <v>4734</v>
      </c>
      <c r="V30" s="48">
        <v>4734</v>
      </c>
      <c r="W30" s="47">
        <v>4034</v>
      </c>
      <c r="X30" s="48">
        <v>4034</v>
      </c>
    </row>
    <row r="31" spans="1:44" ht="16.5" customHeight="1" x14ac:dyDescent="0.2">
      <c r="A31" s="96"/>
      <c r="B31" s="46" t="s">
        <v>55</v>
      </c>
      <c r="C31" s="47">
        <v>0</v>
      </c>
      <c r="D31" s="48">
        <v>0</v>
      </c>
      <c r="E31" s="47">
        <v>0</v>
      </c>
      <c r="F31" s="48">
        <v>0</v>
      </c>
      <c r="G31" s="47">
        <v>0</v>
      </c>
      <c r="H31" s="48">
        <v>0</v>
      </c>
      <c r="I31" s="47">
        <v>0</v>
      </c>
      <c r="J31" s="48">
        <v>0</v>
      </c>
      <c r="K31" s="47">
        <v>0</v>
      </c>
      <c r="L31" s="48">
        <v>0</v>
      </c>
      <c r="M31" s="47">
        <v>0</v>
      </c>
      <c r="N31" s="48">
        <v>0</v>
      </c>
      <c r="O31" s="47">
        <v>0</v>
      </c>
      <c r="P31" s="48">
        <v>0</v>
      </c>
      <c r="Q31" s="47">
        <v>0</v>
      </c>
      <c r="R31" s="48">
        <v>0</v>
      </c>
      <c r="S31" s="47">
        <v>0</v>
      </c>
      <c r="T31" s="48">
        <v>0</v>
      </c>
      <c r="U31" s="47">
        <v>0</v>
      </c>
      <c r="V31" s="48">
        <v>0</v>
      </c>
      <c r="W31" s="47">
        <v>0</v>
      </c>
      <c r="X31" s="48">
        <v>0</v>
      </c>
    </row>
    <row r="32" spans="1:44" ht="16.5" customHeight="1" x14ac:dyDescent="0.2">
      <c r="A32" s="96"/>
      <c r="B32" s="46" t="s">
        <v>17</v>
      </c>
      <c r="C32" s="47">
        <v>152.4</v>
      </c>
      <c r="D32" s="48">
        <v>152.4</v>
      </c>
      <c r="E32" s="47">
        <v>152.4</v>
      </c>
      <c r="F32" s="48">
        <v>152.4</v>
      </c>
      <c r="G32" s="47">
        <v>152.4</v>
      </c>
      <c r="H32" s="48">
        <v>152.4</v>
      </c>
      <c r="I32" s="47">
        <v>152.4</v>
      </c>
      <c r="J32" s="48">
        <v>152.4</v>
      </c>
      <c r="K32" s="47">
        <v>152.4</v>
      </c>
      <c r="L32" s="48">
        <v>152.4</v>
      </c>
      <c r="M32" s="47">
        <v>152.4</v>
      </c>
      <c r="N32" s="48">
        <v>152.4</v>
      </c>
      <c r="O32" s="47">
        <v>152.4</v>
      </c>
      <c r="P32" s="48">
        <v>152.4</v>
      </c>
      <c r="Q32" s="47">
        <v>152.4</v>
      </c>
      <c r="R32" s="48">
        <v>152.4</v>
      </c>
      <c r="S32" s="47">
        <v>152.4</v>
      </c>
      <c r="T32" s="48">
        <v>152.4</v>
      </c>
      <c r="U32" s="47">
        <v>152.4</v>
      </c>
      <c r="V32" s="48">
        <v>152.4</v>
      </c>
      <c r="W32" s="47">
        <v>152.4</v>
      </c>
      <c r="X32" s="48">
        <v>152.4</v>
      </c>
    </row>
    <row r="33" spans="1:24" ht="16.5" customHeight="1" x14ac:dyDescent="0.2">
      <c r="A33" s="96"/>
      <c r="B33" s="46" t="s">
        <v>44</v>
      </c>
      <c r="C33" s="47">
        <v>1521</v>
      </c>
      <c r="D33" s="48">
        <v>1521</v>
      </c>
      <c r="E33" s="47">
        <v>1521</v>
      </c>
      <c r="F33" s="48">
        <v>1521</v>
      </c>
      <c r="G33" s="47">
        <v>1521</v>
      </c>
      <c r="H33" s="48">
        <v>1521</v>
      </c>
      <c r="I33" s="47">
        <v>1521</v>
      </c>
      <c r="J33" s="48">
        <v>1521</v>
      </c>
      <c r="K33" s="47">
        <v>1521</v>
      </c>
      <c r="L33" s="48">
        <v>1521</v>
      </c>
      <c r="M33" s="47">
        <v>1521</v>
      </c>
      <c r="N33" s="48">
        <v>1521</v>
      </c>
      <c r="O33" s="47">
        <v>1521</v>
      </c>
      <c r="P33" s="48">
        <v>1521</v>
      </c>
      <c r="Q33" s="47">
        <v>1521</v>
      </c>
      <c r="R33" s="48">
        <v>1521</v>
      </c>
      <c r="S33" s="47">
        <v>1521</v>
      </c>
      <c r="T33" s="48">
        <v>1521</v>
      </c>
      <c r="U33" s="47">
        <v>1521</v>
      </c>
      <c r="V33" s="48">
        <v>1521</v>
      </c>
      <c r="W33" s="47">
        <v>1521</v>
      </c>
      <c r="X33" s="48">
        <v>1521</v>
      </c>
    </row>
    <row r="34" spans="1:24" ht="16.5" customHeight="1" x14ac:dyDescent="0.2">
      <c r="A34" s="96"/>
      <c r="B34" s="46" t="s">
        <v>56</v>
      </c>
      <c r="C34" s="47">
        <v>1931.5</v>
      </c>
      <c r="D34" s="48">
        <v>1931.5</v>
      </c>
      <c r="E34" s="47">
        <v>1931.5</v>
      </c>
      <c r="F34" s="48">
        <v>1897.5</v>
      </c>
      <c r="G34" s="47">
        <v>1897.5</v>
      </c>
      <c r="H34" s="48">
        <v>1897.5</v>
      </c>
      <c r="I34" s="47">
        <v>1897.5</v>
      </c>
      <c r="J34" s="48">
        <v>1897.5</v>
      </c>
      <c r="K34" s="47">
        <v>1897.5</v>
      </c>
      <c r="L34" s="48">
        <v>1897.5</v>
      </c>
      <c r="M34" s="47">
        <v>1897.5</v>
      </c>
      <c r="N34" s="48">
        <v>1897.5</v>
      </c>
      <c r="O34" s="47">
        <v>1897.5</v>
      </c>
      <c r="P34" s="48">
        <v>1897.5</v>
      </c>
      <c r="Q34" s="47">
        <v>1897.5</v>
      </c>
      <c r="R34" s="48">
        <v>1897.5</v>
      </c>
      <c r="S34" s="47">
        <v>1897.5</v>
      </c>
      <c r="T34" s="48">
        <v>1897.5</v>
      </c>
      <c r="U34" s="47">
        <v>1897.5</v>
      </c>
      <c r="V34" s="48">
        <v>1897.5</v>
      </c>
      <c r="W34" s="47">
        <v>1897.5</v>
      </c>
      <c r="X34" s="48">
        <v>1897.5</v>
      </c>
    </row>
    <row r="35" spans="1:24" ht="16.5" customHeight="1" x14ac:dyDescent="0.2">
      <c r="A35" s="96"/>
      <c r="B35" s="46" t="s">
        <v>18</v>
      </c>
      <c r="C35" s="47">
        <v>223</v>
      </c>
      <c r="D35" s="48">
        <v>676</v>
      </c>
      <c r="E35" s="47">
        <v>676</v>
      </c>
      <c r="F35" s="48">
        <v>676</v>
      </c>
      <c r="G35" s="47">
        <v>676</v>
      </c>
      <c r="H35" s="48">
        <v>676</v>
      </c>
      <c r="I35" s="47">
        <v>676</v>
      </c>
      <c r="J35" s="48">
        <v>676</v>
      </c>
      <c r="K35" s="47">
        <v>801.52978619999999</v>
      </c>
      <c r="L35" s="48">
        <v>934.04557829999999</v>
      </c>
      <c r="M35" s="47">
        <v>1109.5905</v>
      </c>
      <c r="N35" s="48">
        <v>1212.0987279999999</v>
      </c>
      <c r="O35" s="47">
        <v>1212.0987279999999</v>
      </c>
      <c r="P35" s="48">
        <v>1212.0987279999999</v>
      </c>
      <c r="Q35" s="47">
        <v>1212.0987279999999</v>
      </c>
      <c r="R35" s="48">
        <v>1212.0987279999999</v>
      </c>
      <c r="S35" s="47">
        <v>1212.0987279999999</v>
      </c>
      <c r="T35" s="48">
        <v>1212.0987279999999</v>
      </c>
      <c r="U35" s="47">
        <v>1212.0987279999999</v>
      </c>
      <c r="V35" s="48">
        <v>1361</v>
      </c>
      <c r="W35" s="47">
        <v>1361</v>
      </c>
      <c r="X35" s="48">
        <v>1361</v>
      </c>
    </row>
    <row r="36" spans="1:24" ht="16.5" customHeight="1" x14ac:dyDescent="0.2">
      <c r="A36" s="96"/>
      <c r="B36" s="46" t="s">
        <v>57</v>
      </c>
      <c r="C36" s="47">
        <v>1222</v>
      </c>
      <c r="D36" s="48">
        <v>1222</v>
      </c>
      <c r="E36" s="47">
        <v>1222</v>
      </c>
      <c r="F36" s="48">
        <v>1222</v>
      </c>
      <c r="G36" s="47">
        <v>1222</v>
      </c>
      <c r="H36" s="48">
        <v>1222</v>
      </c>
      <c r="I36" s="47">
        <v>1974.4891909999999</v>
      </c>
      <c r="J36" s="48">
        <v>2978.6449510000002</v>
      </c>
      <c r="K36" s="47">
        <v>3625.3961359999998</v>
      </c>
      <c r="L36" s="48">
        <v>4186.6831419999999</v>
      </c>
      <c r="M36" s="47">
        <v>4794.0265220000001</v>
      </c>
      <c r="N36" s="48">
        <v>5374.4483120000004</v>
      </c>
      <c r="O36" s="47">
        <v>5374.4483120000004</v>
      </c>
      <c r="P36" s="48">
        <v>5374.4483120000004</v>
      </c>
      <c r="Q36" s="47">
        <v>5374.4483120000004</v>
      </c>
      <c r="R36" s="48">
        <v>5374.4483120000004</v>
      </c>
      <c r="S36" s="47">
        <v>5374.4483120000004</v>
      </c>
      <c r="T36" s="48">
        <v>5374.4483120000004</v>
      </c>
      <c r="U36" s="47">
        <v>6142.703227</v>
      </c>
      <c r="V36" s="48">
        <v>6667.0572700000002</v>
      </c>
      <c r="W36" s="47">
        <v>7131.2422280000001</v>
      </c>
      <c r="X36" s="48">
        <v>7415.9229800000003</v>
      </c>
    </row>
    <row r="37" spans="1:24" ht="16.5" customHeight="1" x14ac:dyDescent="0.2">
      <c r="A37" s="96"/>
      <c r="B37" s="46" t="s">
        <v>58</v>
      </c>
      <c r="C37" s="47">
        <v>501.4</v>
      </c>
      <c r="D37" s="48">
        <v>501.4</v>
      </c>
      <c r="E37" s="47">
        <v>601.4</v>
      </c>
      <c r="F37" s="48">
        <v>601.4</v>
      </c>
      <c r="G37" s="47">
        <v>601.4</v>
      </c>
      <c r="H37" s="48">
        <v>601.4</v>
      </c>
      <c r="I37" s="47">
        <v>601.4</v>
      </c>
      <c r="J37" s="48">
        <v>601.4</v>
      </c>
      <c r="K37" s="47">
        <v>601.4</v>
      </c>
      <c r="L37" s="48">
        <v>601.4</v>
      </c>
      <c r="M37" s="47">
        <v>601.4</v>
      </c>
      <c r="N37" s="48">
        <v>1225.741929</v>
      </c>
      <c r="O37" s="47">
        <v>1225.741929</v>
      </c>
      <c r="P37" s="48">
        <v>1225.741929</v>
      </c>
      <c r="Q37" s="47">
        <v>1484.2410649999999</v>
      </c>
      <c r="R37" s="48">
        <v>1537.2349710000001</v>
      </c>
      <c r="S37" s="47">
        <v>1541.2384850000001</v>
      </c>
      <c r="T37" s="48">
        <v>1755.5112240000001</v>
      </c>
      <c r="U37" s="47">
        <v>3093.023533</v>
      </c>
      <c r="V37" s="48">
        <v>3487.3661830000001</v>
      </c>
      <c r="W37" s="47">
        <v>3992.8635770000001</v>
      </c>
      <c r="X37" s="48">
        <v>4155.1617990000004</v>
      </c>
    </row>
    <row r="38" spans="1:24" ht="16.5" customHeight="1" x14ac:dyDescent="0.2">
      <c r="A38" s="96"/>
      <c r="B38" s="46" t="s">
        <v>59</v>
      </c>
      <c r="C38" s="47">
        <v>0</v>
      </c>
      <c r="D38" s="48">
        <v>0</v>
      </c>
      <c r="E38" s="47">
        <v>0</v>
      </c>
      <c r="F38" s="48">
        <v>0</v>
      </c>
      <c r="G38" s="47">
        <v>0</v>
      </c>
      <c r="H38" s="48">
        <v>0</v>
      </c>
      <c r="I38" s="47">
        <v>0</v>
      </c>
      <c r="J38" s="48">
        <v>0</v>
      </c>
      <c r="K38" s="47">
        <v>0</v>
      </c>
      <c r="L38" s="48">
        <v>0</v>
      </c>
      <c r="M38" s="47">
        <v>0</v>
      </c>
      <c r="N38" s="48">
        <v>0</v>
      </c>
      <c r="O38" s="47">
        <v>0</v>
      </c>
      <c r="P38" s="48">
        <v>0</v>
      </c>
      <c r="Q38" s="47">
        <v>0</v>
      </c>
      <c r="R38" s="48">
        <v>0</v>
      </c>
      <c r="S38" s="47">
        <v>0</v>
      </c>
      <c r="T38" s="48">
        <v>0</v>
      </c>
      <c r="U38" s="47">
        <v>0</v>
      </c>
      <c r="V38" s="48">
        <v>0</v>
      </c>
      <c r="W38" s="47">
        <v>0</v>
      </c>
      <c r="X38" s="48">
        <v>0</v>
      </c>
    </row>
    <row r="39" spans="1:24" ht="16.5" customHeight="1" x14ac:dyDescent="0.2">
      <c r="A39" s="96"/>
      <c r="B39" s="46" t="s">
        <v>60</v>
      </c>
      <c r="C39" s="47">
        <v>75.459999999999994</v>
      </c>
      <c r="D39" s="48">
        <v>115.21</v>
      </c>
      <c r="E39" s="47">
        <v>163.65</v>
      </c>
      <c r="F39" s="48">
        <v>223.07</v>
      </c>
      <c r="G39" s="47">
        <v>292.89999999999998</v>
      </c>
      <c r="H39" s="48">
        <v>375.02</v>
      </c>
      <c r="I39" s="47">
        <v>467.53</v>
      </c>
      <c r="J39" s="48">
        <v>569.85</v>
      </c>
      <c r="K39" s="47">
        <v>684.29</v>
      </c>
      <c r="L39" s="48">
        <v>808.89</v>
      </c>
      <c r="M39" s="47">
        <v>946.41</v>
      </c>
      <c r="N39" s="48">
        <v>1108.1500000000001</v>
      </c>
      <c r="O39" s="47">
        <v>1298.77</v>
      </c>
      <c r="P39" s="48">
        <v>1532.78</v>
      </c>
      <c r="Q39" s="47">
        <v>1815.08</v>
      </c>
      <c r="R39" s="48">
        <v>2145.67</v>
      </c>
      <c r="S39" s="47">
        <v>2512.87</v>
      </c>
      <c r="T39" s="48">
        <v>2872.02</v>
      </c>
      <c r="U39" s="47">
        <v>3191.03</v>
      </c>
      <c r="V39" s="48">
        <v>3454.56</v>
      </c>
      <c r="W39" s="47">
        <v>3670.27</v>
      </c>
      <c r="X39" s="48">
        <v>3851.68</v>
      </c>
    </row>
    <row r="40" spans="1:24" ht="16.5" customHeight="1" x14ac:dyDescent="0.2">
      <c r="A40" s="96"/>
      <c r="B40" s="46" t="s">
        <v>41</v>
      </c>
      <c r="C40" s="47">
        <v>2306</v>
      </c>
      <c r="D40" s="48">
        <v>2487</v>
      </c>
      <c r="E40" s="47">
        <v>2680</v>
      </c>
      <c r="F40" s="48">
        <v>2890</v>
      </c>
      <c r="G40" s="47">
        <v>3129</v>
      </c>
      <c r="H40" s="48">
        <v>3414</v>
      </c>
      <c r="I40" s="47">
        <v>3772</v>
      </c>
      <c r="J40" s="48">
        <v>4251</v>
      </c>
      <c r="K40" s="47">
        <v>4908</v>
      </c>
      <c r="L40" s="48">
        <v>5789</v>
      </c>
      <c r="M40" s="47">
        <v>6903</v>
      </c>
      <c r="N40" s="48">
        <v>8182</v>
      </c>
      <c r="O40" s="47">
        <v>9449</v>
      </c>
      <c r="P40" s="48">
        <v>10531</v>
      </c>
      <c r="Q40" s="47">
        <v>11342</v>
      </c>
      <c r="R40" s="48">
        <v>11901</v>
      </c>
      <c r="S40" s="47">
        <v>12384</v>
      </c>
      <c r="T40" s="48">
        <v>12744</v>
      </c>
      <c r="U40" s="47">
        <v>13030</v>
      </c>
      <c r="V40" s="48">
        <v>13274</v>
      </c>
      <c r="W40" s="47">
        <v>13494</v>
      </c>
      <c r="X40" s="48">
        <v>13703</v>
      </c>
    </row>
    <row r="41" spans="1:24" ht="16.5" customHeight="1" x14ac:dyDescent="0.2">
      <c r="A41" s="95" t="s">
        <v>38</v>
      </c>
      <c r="B41" s="37" t="s">
        <v>54</v>
      </c>
      <c r="C41" s="38">
        <v>0</v>
      </c>
      <c r="D41" s="39">
        <v>0</v>
      </c>
      <c r="E41" s="38">
        <v>0</v>
      </c>
      <c r="F41" s="39">
        <v>0</v>
      </c>
      <c r="G41" s="38">
        <v>0</v>
      </c>
      <c r="H41" s="39">
        <v>0</v>
      </c>
      <c r="I41" s="38">
        <v>0</v>
      </c>
      <c r="J41" s="39">
        <v>0</v>
      </c>
      <c r="K41" s="38">
        <v>0</v>
      </c>
      <c r="L41" s="39">
        <v>0</v>
      </c>
      <c r="M41" s="38">
        <v>0</v>
      </c>
      <c r="N41" s="39">
        <v>0</v>
      </c>
      <c r="O41" s="38">
        <v>0</v>
      </c>
      <c r="P41" s="39">
        <v>0</v>
      </c>
      <c r="Q41" s="38">
        <v>0</v>
      </c>
      <c r="R41" s="39">
        <v>0</v>
      </c>
      <c r="S41" s="38">
        <v>0</v>
      </c>
      <c r="T41" s="39">
        <v>0</v>
      </c>
      <c r="U41" s="38">
        <v>0</v>
      </c>
      <c r="V41" s="39">
        <v>0</v>
      </c>
      <c r="W41" s="38">
        <v>0</v>
      </c>
      <c r="X41" s="39">
        <v>0</v>
      </c>
    </row>
    <row r="42" spans="1:24" ht="16.5" customHeight="1" x14ac:dyDescent="0.2">
      <c r="A42" s="95"/>
      <c r="B42" s="37" t="s">
        <v>55</v>
      </c>
      <c r="C42" s="38">
        <v>0</v>
      </c>
      <c r="D42" s="39">
        <v>0</v>
      </c>
      <c r="E42" s="38">
        <v>0</v>
      </c>
      <c r="F42" s="39">
        <v>0</v>
      </c>
      <c r="G42" s="38">
        <v>0</v>
      </c>
      <c r="H42" s="39">
        <v>0</v>
      </c>
      <c r="I42" s="38">
        <v>0</v>
      </c>
      <c r="J42" s="39">
        <v>0</v>
      </c>
      <c r="K42" s="38">
        <v>0</v>
      </c>
      <c r="L42" s="39">
        <v>0</v>
      </c>
      <c r="M42" s="38">
        <v>0</v>
      </c>
      <c r="N42" s="39">
        <v>0</v>
      </c>
      <c r="O42" s="38">
        <v>0</v>
      </c>
      <c r="P42" s="39">
        <v>0</v>
      </c>
      <c r="Q42" s="38">
        <v>0</v>
      </c>
      <c r="R42" s="39">
        <v>0</v>
      </c>
      <c r="S42" s="38">
        <v>0</v>
      </c>
      <c r="T42" s="39">
        <v>0</v>
      </c>
      <c r="U42" s="38">
        <v>0</v>
      </c>
      <c r="V42" s="39">
        <v>0</v>
      </c>
      <c r="W42" s="38">
        <v>0</v>
      </c>
      <c r="X42" s="39">
        <v>0</v>
      </c>
    </row>
    <row r="43" spans="1:24" ht="16.5" customHeight="1" x14ac:dyDescent="0.2">
      <c r="A43" s="95"/>
      <c r="B43" s="37" t="s">
        <v>17</v>
      </c>
      <c r="C43" s="38">
        <v>0</v>
      </c>
      <c r="D43" s="39">
        <v>0</v>
      </c>
      <c r="E43" s="38">
        <v>0</v>
      </c>
      <c r="F43" s="39">
        <v>0</v>
      </c>
      <c r="G43" s="38">
        <v>0</v>
      </c>
      <c r="H43" s="39">
        <v>0</v>
      </c>
      <c r="I43" s="38">
        <v>0</v>
      </c>
      <c r="J43" s="39">
        <v>0</v>
      </c>
      <c r="K43" s="38">
        <v>0</v>
      </c>
      <c r="L43" s="39">
        <v>0</v>
      </c>
      <c r="M43" s="38">
        <v>0</v>
      </c>
      <c r="N43" s="39">
        <v>0</v>
      </c>
      <c r="O43" s="38">
        <v>0</v>
      </c>
      <c r="P43" s="39">
        <v>0</v>
      </c>
      <c r="Q43" s="38">
        <v>0</v>
      </c>
      <c r="R43" s="39">
        <v>0</v>
      </c>
      <c r="S43" s="38">
        <v>0</v>
      </c>
      <c r="T43" s="39">
        <v>0</v>
      </c>
      <c r="U43" s="38">
        <v>0</v>
      </c>
      <c r="V43" s="39">
        <v>0</v>
      </c>
      <c r="W43" s="38">
        <v>0</v>
      </c>
      <c r="X43" s="39">
        <v>0</v>
      </c>
    </row>
    <row r="44" spans="1:24" ht="16.5" customHeight="1" x14ac:dyDescent="0.2">
      <c r="A44" s="95"/>
      <c r="B44" s="37" t="s">
        <v>44</v>
      </c>
      <c r="C44" s="38">
        <v>1462</v>
      </c>
      <c r="D44" s="39">
        <v>1462</v>
      </c>
      <c r="E44" s="38">
        <v>1462</v>
      </c>
      <c r="F44" s="39">
        <v>1462</v>
      </c>
      <c r="G44" s="38">
        <v>1462</v>
      </c>
      <c r="H44" s="39">
        <v>1462</v>
      </c>
      <c r="I44" s="38">
        <v>0</v>
      </c>
      <c r="J44" s="39">
        <v>0</v>
      </c>
      <c r="K44" s="38">
        <v>0</v>
      </c>
      <c r="L44" s="39">
        <v>0</v>
      </c>
      <c r="M44" s="38">
        <v>0</v>
      </c>
      <c r="N44" s="39">
        <v>0</v>
      </c>
      <c r="O44" s="38">
        <v>0</v>
      </c>
      <c r="P44" s="39">
        <v>0</v>
      </c>
      <c r="Q44" s="38">
        <v>0</v>
      </c>
      <c r="R44" s="39">
        <v>0</v>
      </c>
      <c r="S44" s="38">
        <v>0</v>
      </c>
      <c r="T44" s="39">
        <v>0</v>
      </c>
      <c r="U44" s="38">
        <v>0</v>
      </c>
      <c r="V44" s="39">
        <v>0</v>
      </c>
      <c r="W44" s="38">
        <v>0</v>
      </c>
      <c r="X44" s="39">
        <v>0</v>
      </c>
    </row>
    <row r="45" spans="1:24" ht="16.5" customHeight="1" x14ac:dyDescent="0.2">
      <c r="A45" s="95"/>
      <c r="B45" s="37" t="s">
        <v>56</v>
      </c>
      <c r="C45" s="38">
        <v>1527</v>
      </c>
      <c r="D45" s="39">
        <v>1503</v>
      </c>
      <c r="E45" s="38">
        <v>1503</v>
      </c>
      <c r="F45" s="39">
        <v>1263</v>
      </c>
      <c r="G45" s="38">
        <v>1263</v>
      </c>
      <c r="H45" s="39">
        <v>1263</v>
      </c>
      <c r="I45" s="38">
        <v>1263</v>
      </c>
      <c r="J45" s="39">
        <v>1263</v>
      </c>
      <c r="K45" s="38">
        <v>1263</v>
      </c>
      <c r="L45" s="39">
        <v>1263</v>
      </c>
      <c r="M45" s="38">
        <v>1263</v>
      </c>
      <c r="N45" s="39">
        <v>1263</v>
      </c>
      <c r="O45" s="38">
        <v>1263</v>
      </c>
      <c r="P45" s="39">
        <v>1263</v>
      </c>
      <c r="Q45" s="38">
        <v>1263</v>
      </c>
      <c r="R45" s="39">
        <v>1263</v>
      </c>
      <c r="S45" s="38">
        <v>1263</v>
      </c>
      <c r="T45" s="39">
        <v>1263</v>
      </c>
      <c r="U45" s="38">
        <v>1263</v>
      </c>
      <c r="V45" s="39">
        <v>1263</v>
      </c>
      <c r="W45" s="38">
        <v>1263</v>
      </c>
      <c r="X45" s="39">
        <v>1263</v>
      </c>
    </row>
    <row r="46" spans="1:24" ht="16.5" customHeight="1" x14ac:dyDescent="0.2">
      <c r="A46" s="95"/>
      <c r="B46" s="37" t="s">
        <v>18</v>
      </c>
      <c r="C46" s="38">
        <v>2051</v>
      </c>
      <c r="D46" s="39">
        <v>2051</v>
      </c>
      <c r="E46" s="38">
        <v>2051</v>
      </c>
      <c r="F46" s="39">
        <v>2051</v>
      </c>
      <c r="G46" s="38">
        <v>2051</v>
      </c>
      <c r="H46" s="39">
        <v>2051</v>
      </c>
      <c r="I46" s="38">
        <v>2051</v>
      </c>
      <c r="J46" s="39">
        <v>2051</v>
      </c>
      <c r="K46" s="38">
        <v>2051</v>
      </c>
      <c r="L46" s="39">
        <v>2051</v>
      </c>
      <c r="M46" s="38">
        <v>2051</v>
      </c>
      <c r="N46" s="39">
        <v>2051</v>
      </c>
      <c r="O46" s="38">
        <v>2051</v>
      </c>
      <c r="P46" s="39">
        <v>2051</v>
      </c>
      <c r="Q46" s="38">
        <v>2051</v>
      </c>
      <c r="R46" s="39">
        <v>2051</v>
      </c>
      <c r="S46" s="38">
        <v>2051</v>
      </c>
      <c r="T46" s="39">
        <v>2051</v>
      </c>
      <c r="U46" s="38">
        <v>2123.580226</v>
      </c>
      <c r="V46" s="39">
        <v>2123.580226</v>
      </c>
      <c r="W46" s="38">
        <v>2310.5857839999999</v>
      </c>
      <c r="X46" s="39">
        <v>2310.5857839999999</v>
      </c>
    </row>
    <row r="47" spans="1:24" ht="16.5" customHeight="1" x14ac:dyDescent="0.2">
      <c r="A47" s="95"/>
      <c r="B47" s="37" t="s">
        <v>57</v>
      </c>
      <c r="C47" s="38">
        <v>220</v>
      </c>
      <c r="D47" s="39">
        <v>332.9590632</v>
      </c>
      <c r="E47" s="38">
        <v>332.9590632</v>
      </c>
      <c r="F47" s="39">
        <v>332.9590632</v>
      </c>
      <c r="G47" s="38">
        <v>387.2045076</v>
      </c>
      <c r="H47" s="39">
        <v>387.2045076</v>
      </c>
      <c r="I47" s="38">
        <v>800.64535960000001</v>
      </c>
      <c r="J47" s="39">
        <v>1057.2069730000001</v>
      </c>
      <c r="K47" s="38">
        <v>1057.2069730000001</v>
      </c>
      <c r="L47" s="39">
        <v>1057.2069730000001</v>
      </c>
      <c r="M47" s="38">
        <v>1057.2069730000001</v>
      </c>
      <c r="N47" s="39">
        <v>1057.2069730000001</v>
      </c>
      <c r="O47" s="38">
        <v>1057.2069730000001</v>
      </c>
      <c r="P47" s="39">
        <v>1057.2069730000001</v>
      </c>
      <c r="Q47" s="38">
        <v>1057.2069730000001</v>
      </c>
      <c r="R47" s="39">
        <v>1057.2069730000001</v>
      </c>
      <c r="S47" s="38">
        <v>1704.128072</v>
      </c>
      <c r="T47" s="39">
        <v>2290</v>
      </c>
      <c r="U47" s="38">
        <v>2290</v>
      </c>
      <c r="V47" s="39">
        <v>2290</v>
      </c>
      <c r="W47" s="38">
        <v>2290</v>
      </c>
      <c r="X47" s="39">
        <v>2290</v>
      </c>
    </row>
    <row r="48" spans="1:24" ht="16.5" customHeight="1" x14ac:dyDescent="0.2">
      <c r="A48" s="95"/>
      <c r="B48" s="37" t="s">
        <v>58</v>
      </c>
      <c r="C48" s="38">
        <v>100</v>
      </c>
      <c r="D48" s="39">
        <v>100</v>
      </c>
      <c r="E48" s="38">
        <v>100</v>
      </c>
      <c r="F48" s="39">
        <v>100</v>
      </c>
      <c r="G48" s="38">
        <v>100</v>
      </c>
      <c r="H48" s="39">
        <v>100</v>
      </c>
      <c r="I48" s="38">
        <v>302.37628000000001</v>
      </c>
      <c r="J48" s="39">
        <v>467.87858</v>
      </c>
      <c r="K48" s="38">
        <v>467.87858</v>
      </c>
      <c r="L48" s="39">
        <v>467.87858</v>
      </c>
      <c r="M48" s="38">
        <v>467.87858</v>
      </c>
      <c r="N48" s="39">
        <v>467.87858</v>
      </c>
      <c r="O48" s="38">
        <v>467.87858</v>
      </c>
      <c r="P48" s="39">
        <v>467.87858</v>
      </c>
      <c r="Q48" s="38">
        <v>563.02707299999997</v>
      </c>
      <c r="R48" s="39">
        <v>563.02707299999997</v>
      </c>
      <c r="S48" s="38">
        <v>903.82314199999996</v>
      </c>
      <c r="T48" s="39">
        <v>1194.6281530000001</v>
      </c>
      <c r="U48" s="38">
        <v>1194.6281530000001</v>
      </c>
      <c r="V48" s="39">
        <v>1194.6281530000001</v>
      </c>
      <c r="W48" s="38">
        <v>1194.6281530000001</v>
      </c>
      <c r="X48" s="39">
        <v>1194.6281530000001</v>
      </c>
    </row>
    <row r="49" spans="1:24" ht="16.5" customHeight="1" x14ac:dyDescent="0.2">
      <c r="A49" s="95"/>
      <c r="B49" s="37" t="s">
        <v>59</v>
      </c>
      <c r="C49" s="38">
        <v>0</v>
      </c>
      <c r="D49" s="39">
        <v>0</v>
      </c>
      <c r="E49" s="38">
        <v>0</v>
      </c>
      <c r="F49" s="39">
        <v>0</v>
      </c>
      <c r="G49" s="38">
        <v>0</v>
      </c>
      <c r="H49" s="39">
        <v>0</v>
      </c>
      <c r="I49" s="38">
        <v>0</v>
      </c>
      <c r="J49" s="39">
        <v>0</v>
      </c>
      <c r="K49" s="38">
        <v>0</v>
      </c>
      <c r="L49" s="39">
        <v>0</v>
      </c>
      <c r="M49" s="38">
        <v>0</v>
      </c>
      <c r="N49" s="39">
        <v>0</v>
      </c>
      <c r="O49" s="38">
        <v>0</v>
      </c>
      <c r="P49" s="39">
        <v>0</v>
      </c>
      <c r="Q49" s="38">
        <v>0</v>
      </c>
      <c r="R49" s="39">
        <v>0</v>
      </c>
      <c r="S49" s="38">
        <v>0</v>
      </c>
      <c r="T49" s="39">
        <v>12.97521025</v>
      </c>
      <c r="U49" s="38">
        <v>35.744219749999999</v>
      </c>
      <c r="V49" s="39">
        <v>35.744219749999999</v>
      </c>
      <c r="W49" s="38">
        <v>94.829285999999996</v>
      </c>
      <c r="X49" s="39">
        <v>94.829285999999996</v>
      </c>
    </row>
    <row r="50" spans="1:24" ht="16.5" customHeight="1" x14ac:dyDescent="0.2">
      <c r="A50" s="95"/>
      <c r="B50" s="37" t="s">
        <v>60</v>
      </c>
      <c r="C50" s="38">
        <v>49.55</v>
      </c>
      <c r="D50" s="39">
        <v>75.78</v>
      </c>
      <c r="E50" s="38">
        <v>107.6</v>
      </c>
      <c r="F50" s="39">
        <v>145.24</v>
      </c>
      <c r="G50" s="38">
        <v>187.09</v>
      </c>
      <c r="H50" s="39">
        <v>232.07</v>
      </c>
      <c r="I50" s="38">
        <v>282.19</v>
      </c>
      <c r="J50" s="39">
        <v>336.73</v>
      </c>
      <c r="K50" s="38">
        <v>398.01</v>
      </c>
      <c r="L50" s="39">
        <v>468.55</v>
      </c>
      <c r="M50" s="38">
        <v>547.95000000000005</v>
      </c>
      <c r="N50" s="39">
        <v>629.41</v>
      </c>
      <c r="O50" s="38">
        <v>704.23</v>
      </c>
      <c r="P50" s="39">
        <v>772.22</v>
      </c>
      <c r="Q50" s="38">
        <v>835.38</v>
      </c>
      <c r="R50" s="39">
        <v>894.78</v>
      </c>
      <c r="S50" s="38">
        <v>951.26</v>
      </c>
      <c r="T50" s="39">
        <v>1004.98</v>
      </c>
      <c r="U50" s="38">
        <v>1055.83</v>
      </c>
      <c r="V50" s="39">
        <v>1103.7</v>
      </c>
      <c r="W50" s="38">
        <v>1149.4100000000001</v>
      </c>
      <c r="X50" s="39">
        <v>1191.8800000000001</v>
      </c>
    </row>
    <row r="51" spans="1:24" ht="16.5" customHeight="1" x14ac:dyDescent="0.2">
      <c r="A51" s="95"/>
      <c r="B51" s="37" t="s">
        <v>41</v>
      </c>
      <c r="C51" s="38">
        <v>1028</v>
      </c>
      <c r="D51" s="39">
        <v>1121</v>
      </c>
      <c r="E51" s="38">
        <v>1220</v>
      </c>
      <c r="F51" s="39">
        <v>1332</v>
      </c>
      <c r="G51" s="38">
        <v>1469</v>
      </c>
      <c r="H51" s="39">
        <v>1630</v>
      </c>
      <c r="I51" s="38">
        <v>1807</v>
      </c>
      <c r="J51" s="39">
        <v>1970</v>
      </c>
      <c r="K51" s="38">
        <v>2096</v>
      </c>
      <c r="L51" s="39">
        <v>2184</v>
      </c>
      <c r="M51" s="38">
        <v>2251</v>
      </c>
      <c r="N51" s="39">
        <v>2303</v>
      </c>
      <c r="O51" s="38">
        <v>2347</v>
      </c>
      <c r="P51" s="39">
        <v>2388</v>
      </c>
      <c r="Q51" s="38">
        <v>2428</v>
      </c>
      <c r="R51" s="39">
        <v>2465</v>
      </c>
      <c r="S51" s="38">
        <v>2501</v>
      </c>
      <c r="T51" s="39">
        <v>2536</v>
      </c>
      <c r="U51" s="38">
        <v>2569</v>
      </c>
      <c r="V51" s="39">
        <v>2601</v>
      </c>
      <c r="W51" s="38">
        <v>2631</v>
      </c>
      <c r="X51" s="39">
        <v>2660</v>
      </c>
    </row>
    <row r="52" spans="1:24" ht="16.5" customHeight="1" x14ac:dyDescent="0.2">
      <c r="A52" s="96" t="s">
        <v>37</v>
      </c>
      <c r="B52" s="46" t="s">
        <v>54</v>
      </c>
      <c r="C52" s="47">
        <v>0</v>
      </c>
      <c r="D52" s="48">
        <v>0</v>
      </c>
      <c r="E52" s="47">
        <v>0</v>
      </c>
      <c r="F52" s="48">
        <v>0</v>
      </c>
      <c r="G52" s="47">
        <v>0</v>
      </c>
      <c r="H52" s="48">
        <v>0</v>
      </c>
      <c r="I52" s="47">
        <v>0</v>
      </c>
      <c r="J52" s="48">
        <v>0</v>
      </c>
      <c r="K52" s="47">
        <v>0</v>
      </c>
      <c r="L52" s="48">
        <v>0</v>
      </c>
      <c r="M52" s="47">
        <v>0</v>
      </c>
      <c r="N52" s="48">
        <v>0</v>
      </c>
      <c r="O52" s="47">
        <v>0</v>
      </c>
      <c r="P52" s="48">
        <v>0</v>
      </c>
      <c r="Q52" s="47">
        <v>0</v>
      </c>
      <c r="R52" s="48">
        <v>0</v>
      </c>
      <c r="S52" s="47">
        <v>0</v>
      </c>
      <c r="T52" s="48">
        <v>0</v>
      </c>
      <c r="U52" s="47">
        <v>0</v>
      </c>
      <c r="V52" s="48">
        <v>0</v>
      </c>
      <c r="W52" s="47">
        <v>0</v>
      </c>
      <c r="X52" s="48">
        <v>0</v>
      </c>
    </row>
    <row r="53" spans="1:24" ht="16.5" customHeight="1" x14ac:dyDescent="0.2">
      <c r="A53" s="96"/>
      <c r="B53" s="46" t="s">
        <v>55</v>
      </c>
      <c r="C53" s="47">
        <v>4808</v>
      </c>
      <c r="D53" s="48">
        <v>4808</v>
      </c>
      <c r="E53" s="47">
        <v>4808</v>
      </c>
      <c r="F53" s="48">
        <v>4808</v>
      </c>
      <c r="G53" s="47">
        <v>4808</v>
      </c>
      <c r="H53" s="48">
        <v>4808</v>
      </c>
      <c r="I53" s="47">
        <v>4808</v>
      </c>
      <c r="J53" s="48">
        <v>4808</v>
      </c>
      <c r="K53" s="47">
        <v>4808</v>
      </c>
      <c r="L53" s="48">
        <v>4808</v>
      </c>
      <c r="M53" s="47">
        <v>4808</v>
      </c>
      <c r="N53" s="48">
        <v>4808</v>
      </c>
      <c r="O53" s="47">
        <v>4808</v>
      </c>
      <c r="P53" s="48">
        <v>4808</v>
      </c>
      <c r="Q53" s="47">
        <v>3280</v>
      </c>
      <c r="R53" s="48">
        <v>3280</v>
      </c>
      <c r="S53" s="47">
        <v>3280</v>
      </c>
      <c r="T53" s="48">
        <v>3280</v>
      </c>
      <c r="U53" s="47">
        <v>3280</v>
      </c>
      <c r="V53" s="48">
        <v>3280</v>
      </c>
      <c r="W53" s="47">
        <v>3280</v>
      </c>
      <c r="X53" s="48">
        <v>3280</v>
      </c>
    </row>
    <row r="54" spans="1:24" ht="16.5" customHeight="1" x14ac:dyDescent="0.2">
      <c r="A54" s="96"/>
      <c r="B54" s="46" t="s">
        <v>17</v>
      </c>
      <c r="C54" s="47">
        <v>2219</v>
      </c>
      <c r="D54" s="48">
        <v>2219</v>
      </c>
      <c r="E54" s="47">
        <v>2219</v>
      </c>
      <c r="F54" s="48">
        <v>2219</v>
      </c>
      <c r="G54" s="47">
        <v>2219</v>
      </c>
      <c r="H54" s="48">
        <v>2219</v>
      </c>
      <c r="I54" s="47">
        <v>2219</v>
      </c>
      <c r="J54" s="48">
        <v>2219</v>
      </c>
      <c r="K54" s="47">
        <v>2219</v>
      </c>
      <c r="L54" s="48">
        <v>2219</v>
      </c>
      <c r="M54" s="47">
        <v>2219</v>
      </c>
      <c r="N54" s="48">
        <v>2219</v>
      </c>
      <c r="O54" s="47">
        <v>2219</v>
      </c>
      <c r="P54" s="48">
        <v>2219</v>
      </c>
      <c r="Q54" s="47">
        <v>2219</v>
      </c>
      <c r="R54" s="48">
        <v>2219</v>
      </c>
      <c r="S54" s="47">
        <v>2219</v>
      </c>
      <c r="T54" s="48">
        <v>2219</v>
      </c>
      <c r="U54" s="47">
        <v>2219</v>
      </c>
      <c r="V54" s="48">
        <v>2219</v>
      </c>
      <c r="W54" s="47">
        <v>2219</v>
      </c>
      <c r="X54" s="48">
        <v>2219</v>
      </c>
    </row>
    <row r="55" spans="1:24" ht="16.5" customHeight="1" x14ac:dyDescent="0.2">
      <c r="A55" s="96"/>
      <c r="B55" s="46" t="s">
        <v>44</v>
      </c>
      <c r="C55" s="47">
        <v>510</v>
      </c>
      <c r="D55" s="48">
        <v>510</v>
      </c>
      <c r="E55" s="47">
        <v>510</v>
      </c>
      <c r="F55" s="48">
        <v>510</v>
      </c>
      <c r="G55" s="47">
        <v>510</v>
      </c>
      <c r="H55" s="48">
        <v>510</v>
      </c>
      <c r="I55" s="47">
        <v>510</v>
      </c>
      <c r="J55" s="48">
        <v>510</v>
      </c>
      <c r="K55" s="47">
        <v>510</v>
      </c>
      <c r="L55" s="48">
        <v>510</v>
      </c>
      <c r="M55" s="47">
        <v>510</v>
      </c>
      <c r="N55" s="48">
        <v>510</v>
      </c>
      <c r="O55" s="47">
        <v>510</v>
      </c>
      <c r="P55" s="48">
        <v>0</v>
      </c>
      <c r="Q55" s="47">
        <v>0</v>
      </c>
      <c r="R55" s="48">
        <v>0</v>
      </c>
      <c r="S55" s="47">
        <v>0</v>
      </c>
      <c r="T55" s="48">
        <v>0</v>
      </c>
      <c r="U55" s="47">
        <v>0</v>
      </c>
      <c r="V55" s="48">
        <v>0</v>
      </c>
      <c r="W55" s="47">
        <v>0</v>
      </c>
      <c r="X55" s="48">
        <v>0</v>
      </c>
    </row>
    <row r="56" spans="1:24" ht="16.5" customHeight="1" x14ac:dyDescent="0.2">
      <c r="A56" s="96"/>
      <c r="B56" s="46" t="s">
        <v>56</v>
      </c>
      <c r="C56" s="47">
        <v>1908</v>
      </c>
      <c r="D56" s="48">
        <v>1908</v>
      </c>
      <c r="E56" s="47">
        <v>1908</v>
      </c>
      <c r="F56" s="48">
        <v>1908</v>
      </c>
      <c r="G56" s="47">
        <v>1908</v>
      </c>
      <c r="H56" s="48">
        <v>1908</v>
      </c>
      <c r="I56" s="47">
        <v>1908</v>
      </c>
      <c r="J56" s="48">
        <v>1908</v>
      </c>
      <c r="K56" s="47">
        <v>1908</v>
      </c>
      <c r="L56" s="48">
        <v>1908</v>
      </c>
      <c r="M56" s="47">
        <v>1908</v>
      </c>
      <c r="N56" s="48">
        <v>1908</v>
      </c>
      <c r="O56" s="47">
        <v>1908</v>
      </c>
      <c r="P56" s="48">
        <v>1908</v>
      </c>
      <c r="Q56" s="47">
        <v>1908</v>
      </c>
      <c r="R56" s="48">
        <v>1908</v>
      </c>
      <c r="S56" s="47">
        <v>1908</v>
      </c>
      <c r="T56" s="48">
        <v>1908</v>
      </c>
      <c r="U56" s="47">
        <v>1908</v>
      </c>
      <c r="V56" s="48">
        <v>1908</v>
      </c>
      <c r="W56" s="47">
        <v>1908</v>
      </c>
      <c r="X56" s="48">
        <v>1908</v>
      </c>
    </row>
    <row r="57" spans="1:24" ht="16.5" customHeight="1" x14ac:dyDescent="0.2">
      <c r="A57" s="96"/>
      <c r="B57" s="46" t="s">
        <v>18</v>
      </c>
      <c r="C57" s="47">
        <v>1941.2</v>
      </c>
      <c r="D57" s="48">
        <v>3183.2</v>
      </c>
      <c r="E57" s="47">
        <v>3583.2</v>
      </c>
      <c r="F57" s="48">
        <v>3983.2</v>
      </c>
      <c r="G57" s="47">
        <v>4383.2</v>
      </c>
      <c r="H57" s="48">
        <v>5276.2</v>
      </c>
      <c r="I57" s="47">
        <v>5676.2</v>
      </c>
      <c r="J57" s="48">
        <v>5676.2</v>
      </c>
      <c r="K57" s="47">
        <v>5676.2</v>
      </c>
      <c r="L57" s="48">
        <v>5676.2</v>
      </c>
      <c r="M57" s="47">
        <v>5676.2</v>
      </c>
      <c r="N57" s="48">
        <v>5676.2</v>
      </c>
      <c r="O57" s="47">
        <v>5676.2</v>
      </c>
      <c r="P57" s="48">
        <v>5676.2</v>
      </c>
      <c r="Q57" s="47">
        <v>5676.2</v>
      </c>
      <c r="R57" s="48">
        <v>5676.2</v>
      </c>
      <c r="S57" s="47">
        <v>6071.2</v>
      </c>
      <c r="T57" s="48">
        <v>6071.2</v>
      </c>
      <c r="U57" s="47">
        <v>6071.2</v>
      </c>
      <c r="V57" s="48">
        <v>6071.2</v>
      </c>
      <c r="W57" s="47">
        <v>6071.2</v>
      </c>
      <c r="X57" s="48">
        <v>6071.2</v>
      </c>
    </row>
    <row r="58" spans="1:24" ht="16.5" customHeight="1" x14ac:dyDescent="0.2">
      <c r="A58" s="96"/>
      <c r="B58" s="46" t="s">
        <v>57</v>
      </c>
      <c r="C58" s="47">
        <v>424</v>
      </c>
      <c r="D58" s="48">
        <v>424</v>
      </c>
      <c r="E58" s="47">
        <v>424</v>
      </c>
      <c r="F58" s="48">
        <v>520</v>
      </c>
      <c r="G58" s="47">
        <v>680</v>
      </c>
      <c r="H58" s="48">
        <v>1264</v>
      </c>
      <c r="I58" s="47">
        <v>1424</v>
      </c>
      <c r="J58" s="48">
        <v>1424</v>
      </c>
      <c r="K58" s="47">
        <v>1424</v>
      </c>
      <c r="L58" s="48">
        <v>1424</v>
      </c>
      <c r="M58" s="47">
        <v>1424</v>
      </c>
      <c r="N58" s="48">
        <v>1424</v>
      </c>
      <c r="O58" s="47">
        <v>1424</v>
      </c>
      <c r="P58" s="48">
        <v>1424</v>
      </c>
      <c r="Q58" s="47">
        <v>1424</v>
      </c>
      <c r="R58" s="48">
        <v>1424</v>
      </c>
      <c r="S58" s="47">
        <v>1424</v>
      </c>
      <c r="T58" s="48">
        <v>1424</v>
      </c>
      <c r="U58" s="47">
        <v>1424</v>
      </c>
      <c r="V58" s="48">
        <v>1424</v>
      </c>
      <c r="W58" s="47">
        <v>1424</v>
      </c>
      <c r="X58" s="48">
        <v>1424</v>
      </c>
    </row>
    <row r="59" spans="1:24" ht="16.5" customHeight="1" x14ac:dyDescent="0.2">
      <c r="A59" s="96"/>
      <c r="B59" s="46" t="s">
        <v>58</v>
      </c>
      <c r="C59" s="47">
        <v>40</v>
      </c>
      <c r="D59" s="48">
        <v>60</v>
      </c>
      <c r="E59" s="47">
        <v>60</v>
      </c>
      <c r="F59" s="48">
        <v>60</v>
      </c>
      <c r="G59" s="47">
        <v>60</v>
      </c>
      <c r="H59" s="48">
        <v>60</v>
      </c>
      <c r="I59" s="47">
        <v>60</v>
      </c>
      <c r="J59" s="48">
        <v>60</v>
      </c>
      <c r="K59" s="47">
        <v>60</v>
      </c>
      <c r="L59" s="48">
        <v>60</v>
      </c>
      <c r="M59" s="47">
        <v>60</v>
      </c>
      <c r="N59" s="48">
        <v>60</v>
      </c>
      <c r="O59" s="47">
        <v>60</v>
      </c>
      <c r="P59" s="48">
        <v>60</v>
      </c>
      <c r="Q59" s="47">
        <v>153.476158</v>
      </c>
      <c r="R59" s="48">
        <v>256.77166199999999</v>
      </c>
      <c r="S59" s="47">
        <v>1092.8771529999999</v>
      </c>
      <c r="T59" s="48">
        <v>1345.0161840000001</v>
      </c>
      <c r="U59" s="47">
        <v>1420.8849339999999</v>
      </c>
      <c r="V59" s="48">
        <v>1420.8849339999999</v>
      </c>
      <c r="W59" s="47">
        <v>1480.947316</v>
      </c>
      <c r="X59" s="48">
        <v>1480.947316</v>
      </c>
    </row>
    <row r="60" spans="1:24" ht="16.5" customHeight="1" x14ac:dyDescent="0.2">
      <c r="A60" s="96"/>
      <c r="B60" s="46" t="s">
        <v>59</v>
      </c>
      <c r="C60" s="47">
        <v>0</v>
      </c>
      <c r="D60" s="48">
        <v>0</v>
      </c>
      <c r="E60" s="47">
        <v>0</v>
      </c>
      <c r="F60" s="48">
        <v>0</v>
      </c>
      <c r="G60" s="47">
        <v>0</v>
      </c>
      <c r="H60" s="48">
        <v>0</v>
      </c>
      <c r="I60" s="47">
        <v>0</v>
      </c>
      <c r="J60" s="48">
        <v>0</v>
      </c>
      <c r="K60" s="47">
        <v>0</v>
      </c>
      <c r="L60" s="48">
        <v>0</v>
      </c>
      <c r="M60" s="47">
        <v>0</v>
      </c>
      <c r="N60" s="48">
        <v>0</v>
      </c>
      <c r="O60" s="47">
        <v>0</v>
      </c>
      <c r="P60" s="48">
        <v>0</v>
      </c>
      <c r="Q60" s="47">
        <v>0</v>
      </c>
      <c r="R60" s="48">
        <v>0</v>
      </c>
      <c r="S60" s="47">
        <v>0</v>
      </c>
      <c r="T60" s="48">
        <v>1.3107087500000001</v>
      </c>
      <c r="U60" s="47">
        <v>58.716652500000002</v>
      </c>
      <c r="V60" s="48">
        <v>58.716652500000002</v>
      </c>
      <c r="W60" s="47">
        <v>100</v>
      </c>
      <c r="X60" s="48">
        <v>100</v>
      </c>
    </row>
    <row r="61" spans="1:24" ht="16.5" customHeight="1" x14ac:dyDescent="0.2">
      <c r="A61" s="96"/>
      <c r="B61" s="46" t="s">
        <v>60</v>
      </c>
      <c r="C61" s="47">
        <v>51.23</v>
      </c>
      <c r="D61" s="48">
        <v>79.41</v>
      </c>
      <c r="E61" s="47">
        <v>116.75</v>
      </c>
      <c r="F61" s="48">
        <v>169.39</v>
      </c>
      <c r="G61" s="47">
        <v>235.3</v>
      </c>
      <c r="H61" s="48">
        <v>318.44</v>
      </c>
      <c r="I61" s="47">
        <v>417.83</v>
      </c>
      <c r="J61" s="48">
        <v>536.13</v>
      </c>
      <c r="K61" s="47">
        <v>671.42</v>
      </c>
      <c r="L61" s="48">
        <v>822.78</v>
      </c>
      <c r="M61" s="47">
        <v>990.4</v>
      </c>
      <c r="N61" s="48">
        <v>1180.47</v>
      </c>
      <c r="O61" s="47">
        <v>1396.84</v>
      </c>
      <c r="P61" s="48">
        <v>1652.34</v>
      </c>
      <c r="Q61" s="47">
        <v>1971.84</v>
      </c>
      <c r="R61" s="48">
        <v>2370.13</v>
      </c>
      <c r="S61" s="47">
        <v>2856.41</v>
      </c>
      <c r="T61" s="48">
        <v>3413.86</v>
      </c>
      <c r="U61" s="47">
        <v>3999.04</v>
      </c>
      <c r="V61" s="48">
        <v>4577.0600000000004</v>
      </c>
      <c r="W61" s="47">
        <v>5082.1899999999996</v>
      </c>
      <c r="X61" s="48">
        <v>5509.14</v>
      </c>
    </row>
    <row r="62" spans="1:24" ht="16.5" customHeight="1" x14ac:dyDescent="0.2">
      <c r="A62" s="96"/>
      <c r="B62" s="46" t="s">
        <v>41</v>
      </c>
      <c r="C62" s="47">
        <v>1751</v>
      </c>
      <c r="D62" s="48">
        <v>2033</v>
      </c>
      <c r="E62" s="47">
        <v>2334</v>
      </c>
      <c r="F62" s="48">
        <v>2660</v>
      </c>
      <c r="G62" s="47">
        <v>3017</v>
      </c>
      <c r="H62" s="48">
        <v>3431</v>
      </c>
      <c r="I62" s="47">
        <v>3908</v>
      </c>
      <c r="J62" s="48">
        <v>4485</v>
      </c>
      <c r="K62" s="47">
        <v>5215</v>
      </c>
      <c r="L62" s="48">
        <v>6162</v>
      </c>
      <c r="M62" s="47">
        <v>7405</v>
      </c>
      <c r="N62" s="48">
        <v>9005</v>
      </c>
      <c r="O62" s="47">
        <v>10958</v>
      </c>
      <c r="P62" s="48">
        <v>13138</v>
      </c>
      <c r="Q62" s="47">
        <v>15329</v>
      </c>
      <c r="R62" s="48">
        <v>17272</v>
      </c>
      <c r="S62" s="47">
        <v>18805</v>
      </c>
      <c r="T62" s="48">
        <v>19914</v>
      </c>
      <c r="U62" s="47">
        <v>20677</v>
      </c>
      <c r="V62" s="48">
        <v>21374</v>
      </c>
      <c r="W62" s="47">
        <v>21916</v>
      </c>
      <c r="X62" s="48">
        <v>22371</v>
      </c>
    </row>
    <row r="63" spans="1:24" ht="16.5" customHeight="1" x14ac:dyDescent="0.2">
      <c r="A63" s="95" t="s">
        <v>39</v>
      </c>
      <c r="B63" s="37" t="s">
        <v>54</v>
      </c>
      <c r="C63" s="38">
        <v>0</v>
      </c>
      <c r="D63" s="39">
        <v>0</v>
      </c>
      <c r="E63" s="38">
        <v>0</v>
      </c>
      <c r="F63" s="39">
        <v>0</v>
      </c>
      <c r="G63" s="38">
        <v>0</v>
      </c>
      <c r="H63" s="39">
        <v>0</v>
      </c>
      <c r="I63" s="38">
        <v>0</v>
      </c>
      <c r="J63" s="39">
        <v>0</v>
      </c>
      <c r="K63" s="38">
        <v>0</v>
      </c>
      <c r="L63" s="39">
        <v>0</v>
      </c>
      <c r="M63" s="38">
        <v>0</v>
      </c>
      <c r="N63" s="39">
        <v>0</v>
      </c>
      <c r="O63" s="38">
        <v>0</v>
      </c>
      <c r="P63" s="39">
        <v>0</v>
      </c>
      <c r="Q63" s="38">
        <v>0</v>
      </c>
      <c r="R63" s="39">
        <v>0</v>
      </c>
      <c r="S63" s="38">
        <v>0</v>
      </c>
      <c r="T63" s="39">
        <v>0</v>
      </c>
      <c r="U63" s="38">
        <v>0</v>
      </c>
      <c r="V63" s="39">
        <v>0</v>
      </c>
      <c r="W63" s="38">
        <v>0</v>
      </c>
      <c r="X63" s="39">
        <v>0</v>
      </c>
    </row>
    <row r="64" spans="1:24" ht="16.5" customHeight="1" x14ac:dyDescent="0.2">
      <c r="A64" s="95"/>
      <c r="B64" s="37" t="s">
        <v>55</v>
      </c>
      <c r="C64" s="38">
        <v>0</v>
      </c>
      <c r="D64" s="39">
        <v>0</v>
      </c>
      <c r="E64" s="38">
        <v>0</v>
      </c>
      <c r="F64" s="39">
        <v>0</v>
      </c>
      <c r="G64" s="38">
        <v>0</v>
      </c>
      <c r="H64" s="39">
        <v>0</v>
      </c>
      <c r="I64" s="38">
        <v>0</v>
      </c>
      <c r="J64" s="39">
        <v>0</v>
      </c>
      <c r="K64" s="38">
        <v>0</v>
      </c>
      <c r="L64" s="39">
        <v>0</v>
      </c>
      <c r="M64" s="38">
        <v>0</v>
      </c>
      <c r="N64" s="39">
        <v>0</v>
      </c>
      <c r="O64" s="38">
        <v>0</v>
      </c>
      <c r="P64" s="39">
        <v>0</v>
      </c>
      <c r="Q64" s="38">
        <v>0</v>
      </c>
      <c r="R64" s="39">
        <v>0</v>
      </c>
      <c r="S64" s="38">
        <v>0</v>
      </c>
      <c r="T64" s="39">
        <v>0</v>
      </c>
      <c r="U64" s="38">
        <v>0</v>
      </c>
      <c r="V64" s="39">
        <v>0</v>
      </c>
      <c r="W64" s="38">
        <v>0</v>
      </c>
      <c r="X64" s="39">
        <v>0</v>
      </c>
    </row>
    <row r="65" spans="1:24" ht="16.5" customHeight="1" x14ac:dyDescent="0.2">
      <c r="A65" s="95"/>
      <c r="B65" s="37" t="s">
        <v>17</v>
      </c>
      <c r="C65" s="38">
        <v>2170.1</v>
      </c>
      <c r="D65" s="39">
        <v>2170.1</v>
      </c>
      <c r="E65" s="38">
        <v>2170.1</v>
      </c>
      <c r="F65" s="39">
        <v>2170.1</v>
      </c>
      <c r="G65" s="38">
        <v>2170.1</v>
      </c>
      <c r="H65" s="39">
        <v>2170.1</v>
      </c>
      <c r="I65" s="38">
        <v>2170.1</v>
      </c>
      <c r="J65" s="39">
        <v>2170.1</v>
      </c>
      <c r="K65" s="38">
        <v>2170.1</v>
      </c>
      <c r="L65" s="39">
        <v>2170.1</v>
      </c>
      <c r="M65" s="38">
        <v>2170.1</v>
      </c>
      <c r="N65" s="39">
        <v>2170.1</v>
      </c>
      <c r="O65" s="38">
        <v>2170.1</v>
      </c>
      <c r="P65" s="39">
        <v>2170.1</v>
      </c>
      <c r="Q65" s="38">
        <v>2170.1</v>
      </c>
      <c r="R65" s="39">
        <v>2170.1</v>
      </c>
      <c r="S65" s="38">
        <v>2170.1</v>
      </c>
      <c r="T65" s="39">
        <v>2170.1</v>
      </c>
      <c r="U65" s="38">
        <v>2170.1</v>
      </c>
      <c r="V65" s="39">
        <v>2170.1</v>
      </c>
      <c r="W65" s="38">
        <v>2170.1</v>
      </c>
      <c r="X65" s="39">
        <v>2170.1</v>
      </c>
    </row>
    <row r="66" spans="1:24" ht="16.5" customHeight="1" x14ac:dyDescent="0.2">
      <c r="A66" s="95"/>
      <c r="B66" s="37" t="s">
        <v>44</v>
      </c>
      <c r="C66" s="38">
        <v>0</v>
      </c>
      <c r="D66" s="39">
        <v>0</v>
      </c>
      <c r="E66" s="38">
        <v>0</v>
      </c>
      <c r="F66" s="39">
        <v>0</v>
      </c>
      <c r="G66" s="38">
        <v>0</v>
      </c>
      <c r="H66" s="39">
        <v>0</v>
      </c>
      <c r="I66" s="38">
        <v>0</v>
      </c>
      <c r="J66" s="39">
        <v>0</v>
      </c>
      <c r="K66" s="38">
        <v>0</v>
      </c>
      <c r="L66" s="39">
        <v>0</v>
      </c>
      <c r="M66" s="38">
        <v>0</v>
      </c>
      <c r="N66" s="39">
        <v>0</v>
      </c>
      <c r="O66" s="38">
        <v>0</v>
      </c>
      <c r="P66" s="39">
        <v>0</v>
      </c>
      <c r="Q66" s="38">
        <v>0</v>
      </c>
      <c r="R66" s="39">
        <v>0</v>
      </c>
      <c r="S66" s="38">
        <v>0</v>
      </c>
      <c r="T66" s="39">
        <v>0</v>
      </c>
      <c r="U66" s="38">
        <v>0</v>
      </c>
      <c r="V66" s="39">
        <v>0</v>
      </c>
      <c r="W66" s="38">
        <v>0</v>
      </c>
      <c r="X66" s="39">
        <v>0</v>
      </c>
    </row>
    <row r="67" spans="1:24" ht="16.5" customHeight="1" x14ac:dyDescent="0.2">
      <c r="A67" s="95"/>
      <c r="B67" s="37" t="s">
        <v>56</v>
      </c>
      <c r="C67" s="38">
        <v>163</v>
      </c>
      <c r="D67" s="39">
        <v>163</v>
      </c>
      <c r="E67" s="38">
        <v>163</v>
      </c>
      <c r="F67" s="39">
        <v>163</v>
      </c>
      <c r="G67" s="38">
        <v>163</v>
      </c>
      <c r="H67" s="39">
        <v>163</v>
      </c>
      <c r="I67" s="38">
        <v>163</v>
      </c>
      <c r="J67" s="39">
        <v>163</v>
      </c>
      <c r="K67" s="38">
        <v>163</v>
      </c>
      <c r="L67" s="39">
        <v>163</v>
      </c>
      <c r="M67" s="38">
        <v>163</v>
      </c>
      <c r="N67" s="39">
        <v>163</v>
      </c>
      <c r="O67" s="38">
        <v>163</v>
      </c>
      <c r="P67" s="39">
        <v>163</v>
      </c>
      <c r="Q67" s="38">
        <v>163</v>
      </c>
      <c r="R67" s="39">
        <v>163</v>
      </c>
      <c r="S67" s="38">
        <v>163</v>
      </c>
      <c r="T67" s="39">
        <v>163</v>
      </c>
      <c r="U67" s="38">
        <v>163</v>
      </c>
      <c r="V67" s="39">
        <v>163</v>
      </c>
      <c r="W67" s="38">
        <v>163</v>
      </c>
      <c r="X67" s="39">
        <v>163</v>
      </c>
    </row>
    <row r="68" spans="1:24" ht="16.5" customHeight="1" x14ac:dyDescent="0.2">
      <c r="A68" s="95"/>
      <c r="B68" s="37" t="s">
        <v>18</v>
      </c>
      <c r="C68" s="38">
        <v>308</v>
      </c>
      <c r="D68" s="39">
        <v>308</v>
      </c>
      <c r="E68" s="38">
        <v>308</v>
      </c>
      <c r="F68" s="39">
        <v>308</v>
      </c>
      <c r="G68" s="38">
        <v>308</v>
      </c>
      <c r="H68" s="39">
        <v>308</v>
      </c>
      <c r="I68" s="38">
        <v>308</v>
      </c>
      <c r="J68" s="39">
        <v>308</v>
      </c>
      <c r="K68" s="38">
        <v>308</v>
      </c>
      <c r="L68" s="39">
        <v>308</v>
      </c>
      <c r="M68" s="38">
        <v>308</v>
      </c>
      <c r="N68" s="39">
        <v>308</v>
      </c>
      <c r="O68" s="38">
        <v>308</v>
      </c>
      <c r="P68" s="39">
        <v>308</v>
      </c>
      <c r="Q68" s="38">
        <v>432.47964100000002</v>
      </c>
      <c r="R68" s="39">
        <v>432.47964100000002</v>
      </c>
      <c r="S68" s="38">
        <v>555.45510239999999</v>
      </c>
      <c r="T68" s="39">
        <v>555.45510239999999</v>
      </c>
      <c r="U68" s="38">
        <v>579.93961179999997</v>
      </c>
      <c r="V68" s="39">
        <v>579.93961179999997</v>
      </c>
      <c r="W68" s="38">
        <v>579.93961179999997</v>
      </c>
      <c r="X68" s="39">
        <v>579.93961179999997</v>
      </c>
    </row>
    <row r="69" spans="1:24" ht="16.5" customHeight="1" x14ac:dyDescent="0.2">
      <c r="A69" s="95"/>
      <c r="B69" s="37" t="s">
        <v>57</v>
      </c>
      <c r="C69" s="38">
        <v>0</v>
      </c>
      <c r="D69" s="39">
        <v>0</v>
      </c>
      <c r="E69" s="38">
        <v>0</v>
      </c>
      <c r="F69" s="39">
        <v>0</v>
      </c>
      <c r="G69" s="38">
        <v>0</v>
      </c>
      <c r="H69" s="39">
        <v>0</v>
      </c>
      <c r="I69" s="38">
        <v>0</v>
      </c>
      <c r="J69" s="39">
        <v>0</v>
      </c>
      <c r="K69" s="38">
        <v>0</v>
      </c>
      <c r="L69" s="39">
        <v>0</v>
      </c>
      <c r="M69" s="38">
        <v>0</v>
      </c>
      <c r="N69" s="39">
        <v>0</v>
      </c>
      <c r="O69" s="38">
        <v>0</v>
      </c>
      <c r="P69" s="39">
        <v>0</v>
      </c>
      <c r="Q69" s="38">
        <v>0</v>
      </c>
      <c r="R69" s="39">
        <v>0</v>
      </c>
      <c r="S69" s="38">
        <v>0</v>
      </c>
      <c r="T69" s="39">
        <v>0</v>
      </c>
      <c r="U69" s="38">
        <v>0</v>
      </c>
      <c r="V69" s="39">
        <v>0</v>
      </c>
      <c r="W69" s="38">
        <v>0</v>
      </c>
      <c r="X69" s="39">
        <v>0</v>
      </c>
    </row>
    <row r="70" spans="1:24" ht="16.5" customHeight="1" x14ac:dyDescent="0.2">
      <c r="A70" s="95"/>
      <c r="B70" s="37" t="s">
        <v>58</v>
      </c>
      <c r="C70" s="38">
        <v>0</v>
      </c>
      <c r="D70" s="39">
        <v>0</v>
      </c>
      <c r="E70" s="38">
        <v>0</v>
      </c>
      <c r="F70" s="39">
        <v>0</v>
      </c>
      <c r="G70" s="38">
        <v>0</v>
      </c>
      <c r="H70" s="39">
        <v>0</v>
      </c>
      <c r="I70" s="38">
        <v>0</v>
      </c>
      <c r="J70" s="39">
        <v>0</v>
      </c>
      <c r="K70" s="38">
        <v>0</v>
      </c>
      <c r="L70" s="39">
        <v>0</v>
      </c>
      <c r="M70" s="38">
        <v>0</v>
      </c>
      <c r="N70" s="39">
        <v>0</v>
      </c>
      <c r="O70" s="38">
        <v>0</v>
      </c>
      <c r="P70" s="39">
        <v>0</v>
      </c>
      <c r="Q70" s="38">
        <v>0</v>
      </c>
      <c r="R70" s="39">
        <v>0</v>
      </c>
      <c r="S70" s="38">
        <v>0</v>
      </c>
      <c r="T70" s="39">
        <v>0</v>
      </c>
      <c r="U70" s="38">
        <v>0</v>
      </c>
      <c r="V70" s="39">
        <v>0</v>
      </c>
      <c r="W70" s="38">
        <v>0</v>
      </c>
      <c r="X70" s="39">
        <v>0</v>
      </c>
    </row>
    <row r="71" spans="1:24" ht="16.5" customHeight="1" x14ac:dyDescent="0.2">
      <c r="A71" s="95"/>
      <c r="B71" s="37" t="s">
        <v>59</v>
      </c>
      <c r="C71" s="38">
        <v>0</v>
      </c>
      <c r="D71" s="39">
        <v>0</v>
      </c>
      <c r="E71" s="38">
        <v>0</v>
      </c>
      <c r="F71" s="39">
        <v>0</v>
      </c>
      <c r="G71" s="38">
        <v>0</v>
      </c>
      <c r="H71" s="39">
        <v>0</v>
      </c>
      <c r="I71" s="38">
        <v>0</v>
      </c>
      <c r="J71" s="39">
        <v>0</v>
      </c>
      <c r="K71" s="38">
        <v>0</v>
      </c>
      <c r="L71" s="39">
        <v>0</v>
      </c>
      <c r="M71" s="38">
        <v>0</v>
      </c>
      <c r="N71" s="39">
        <v>0</v>
      </c>
      <c r="O71" s="38">
        <v>0</v>
      </c>
      <c r="P71" s="39">
        <v>0</v>
      </c>
      <c r="Q71" s="38">
        <v>0</v>
      </c>
      <c r="R71" s="39">
        <v>0</v>
      </c>
      <c r="S71" s="38">
        <v>0</v>
      </c>
      <c r="T71" s="39">
        <v>0</v>
      </c>
      <c r="U71" s="38">
        <v>0</v>
      </c>
      <c r="V71" s="39">
        <v>0</v>
      </c>
      <c r="W71" s="38">
        <v>0</v>
      </c>
      <c r="X71" s="39">
        <v>0</v>
      </c>
    </row>
    <row r="72" spans="1:24" ht="16.5" customHeight="1" x14ac:dyDescent="0.2">
      <c r="A72" s="95"/>
      <c r="B72" s="37" t="s">
        <v>60</v>
      </c>
      <c r="C72" s="38">
        <v>4.25</v>
      </c>
      <c r="D72" s="39">
        <v>6.51</v>
      </c>
      <c r="E72" s="38">
        <v>9.44</v>
      </c>
      <c r="F72" s="39">
        <v>13.18</v>
      </c>
      <c r="G72" s="38">
        <v>17.86</v>
      </c>
      <c r="H72" s="39">
        <v>23.6</v>
      </c>
      <c r="I72" s="38">
        <v>31.26</v>
      </c>
      <c r="J72" s="39">
        <v>40.28</v>
      </c>
      <c r="K72" s="38">
        <v>50.69</v>
      </c>
      <c r="L72" s="39">
        <v>62.7</v>
      </c>
      <c r="M72" s="38">
        <v>76.040000000000006</v>
      </c>
      <c r="N72" s="39">
        <v>90.64</v>
      </c>
      <c r="O72" s="38">
        <v>106.4</v>
      </c>
      <c r="P72" s="39">
        <v>123.69</v>
      </c>
      <c r="Q72" s="38">
        <v>142.22</v>
      </c>
      <c r="R72" s="39">
        <v>162.15</v>
      </c>
      <c r="S72" s="38">
        <v>184.2</v>
      </c>
      <c r="T72" s="39">
        <v>208.88</v>
      </c>
      <c r="U72" s="38">
        <v>236.14</v>
      </c>
      <c r="V72" s="39">
        <v>266.22000000000003</v>
      </c>
      <c r="W72" s="38">
        <v>298.85000000000002</v>
      </c>
      <c r="X72" s="39">
        <v>333.41</v>
      </c>
    </row>
    <row r="73" spans="1:24" ht="16.5" customHeight="1" x14ac:dyDescent="0.2">
      <c r="A73" s="95"/>
      <c r="B73" s="37" t="s">
        <v>41</v>
      </c>
      <c r="C73" s="38">
        <v>165</v>
      </c>
      <c r="D73" s="39">
        <v>189</v>
      </c>
      <c r="E73" s="38">
        <v>215</v>
      </c>
      <c r="F73" s="39">
        <v>242</v>
      </c>
      <c r="G73" s="38">
        <v>270</v>
      </c>
      <c r="H73" s="39">
        <v>298</v>
      </c>
      <c r="I73" s="38">
        <v>329</v>
      </c>
      <c r="J73" s="39">
        <v>362</v>
      </c>
      <c r="K73" s="38">
        <v>397</v>
      </c>
      <c r="L73" s="39">
        <v>436</v>
      </c>
      <c r="M73" s="38">
        <v>480</v>
      </c>
      <c r="N73" s="39">
        <v>532</v>
      </c>
      <c r="O73" s="38">
        <v>594</v>
      </c>
      <c r="P73" s="39">
        <v>670</v>
      </c>
      <c r="Q73" s="38">
        <v>761</v>
      </c>
      <c r="R73" s="39">
        <v>864</v>
      </c>
      <c r="S73" s="38">
        <v>975</v>
      </c>
      <c r="T73" s="39">
        <v>1086</v>
      </c>
      <c r="U73" s="38">
        <v>1186</v>
      </c>
      <c r="V73" s="39">
        <v>1269</v>
      </c>
      <c r="W73" s="38">
        <v>1333</v>
      </c>
      <c r="X73" s="39">
        <v>1380</v>
      </c>
    </row>
  </sheetData>
  <mergeCells count="6">
    <mergeCell ref="A63:A73"/>
    <mergeCell ref="A3:A14"/>
    <mergeCell ref="A19:A29"/>
    <mergeCell ref="A30:A40"/>
    <mergeCell ref="A41:A51"/>
    <mergeCell ref="A52:A6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85"/>
  <sheetViews>
    <sheetView zoomScaleNormal="100" workbookViewId="0"/>
  </sheetViews>
  <sheetFormatPr defaultColWidth="9.140625" defaultRowHeight="16.5" customHeight="1" x14ac:dyDescent="0.2"/>
  <cols>
    <col min="1" max="1" width="24.28515625" style="2" customWidth="1"/>
    <col min="2" max="2" width="19.5703125" style="2" customWidth="1"/>
    <col min="3" max="24" width="10.42578125" style="49" customWidth="1"/>
    <col min="25" max="16384" width="9.140625" style="2"/>
  </cols>
  <sheetData>
    <row r="1" spans="1:24" ht="16.5" customHeight="1" x14ac:dyDescent="0.25">
      <c r="A1" s="29" t="s">
        <v>69</v>
      </c>
    </row>
    <row r="2" spans="1:24" s="36" customFormat="1" ht="16.5" customHeight="1" x14ac:dyDescent="0.2">
      <c r="A2" s="32" t="s">
        <v>34</v>
      </c>
      <c r="B2" s="33" t="s">
        <v>20</v>
      </c>
      <c r="C2" s="50" t="s">
        <v>0</v>
      </c>
      <c r="D2" s="51" t="s">
        <v>1</v>
      </c>
      <c r="E2" s="50" t="s">
        <v>2</v>
      </c>
      <c r="F2" s="51" t="s">
        <v>3</v>
      </c>
      <c r="G2" s="50" t="s">
        <v>4</v>
      </c>
      <c r="H2" s="51" t="s">
        <v>5</v>
      </c>
      <c r="I2" s="50" t="s">
        <v>6</v>
      </c>
      <c r="J2" s="51" t="s">
        <v>7</v>
      </c>
      <c r="K2" s="50" t="s">
        <v>8</v>
      </c>
      <c r="L2" s="51" t="s">
        <v>9</v>
      </c>
      <c r="M2" s="50" t="s">
        <v>10</v>
      </c>
      <c r="N2" s="51" t="s">
        <v>11</v>
      </c>
      <c r="O2" s="50" t="s">
        <v>12</v>
      </c>
      <c r="P2" s="51" t="s">
        <v>13</v>
      </c>
      <c r="Q2" s="50" t="s">
        <v>14</v>
      </c>
      <c r="R2" s="51" t="s">
        <v>15</v>
      </c>
      <c r="S2" s="50" t="s">
        <v>16</v>
      </c>
      <c r="T2" s="51" t="s">
        <v>45</v>
      </c>
      <c r="U2" s="50" t="s">
        <v>61</v>
      </c>
      <c r="V2" s="51" t="s">
        <v>62</v>
      </c>
      <c r="W2" s="50" t="s">
        <v>63</v>
      </c>
      <c r="X2" s="51" t="s">
        <v>64</v>
      </c>
    </row>
    <row r="3" spans="1:24" ht="16.5" customHeight="1" x14ac:dyDescent="0.2">
      <c r="A3" s="97" t="s">
        <v>42</v>
      </c>
      <c r="B3" s="37" t="s">
        <v>54</v>
      </c>
      <c r="C3" s="38">
        <v>105840.34005889265</v>
      </c>
      <c r="D3" s="39">
        <v>102468.95805563562</v>
      </c>
      <c r="E3" s="38">
        <v>100336.38260555643</v>
      </c>
      <c r="F3" s="39">
        <v>102945.69097894954</v>
      </c>
      <c r="G3" s="38">
        <v>96894.988121134535</v>
      </c>
      <c r="H3" s="39">
        <v>95942.892747804115</v>
      </c>
      <c r="I3" s="38">
        <v>92785.781472009694</v>
      </c>
      <c r="J3" s="39">
        <v>88841.682754010573</v>
      </c>
      <c r="K3" s="38">
        <v>86646.947465834019</v>
      </c>
      <c r="L3" s="39">
        <v>85343.375285258109</v>
      </c>
      <c r="M3" s="38">
        <v>80278.973059258642</v>
      </c>
      <c r="N3" s="39">
        <v>73463.32829121378</v>
      </c>
      <c r="O3" s="38">
        <v>72137.532762629562</v>
      </c>
      <c r="P3" s="39">
        <v>68985.998770514372</v>
      </c>
      <c r="Q3" s="38">
        <v>69318.157814840975</v>
      </c>
      <c r="R3" s="39">
        <v>66768.427859824442</v>
      </c>
      <c r="S3" s="38">
        <v>57242.676540203487</v>
      </c>
      <c r="T3" s="39">
        <v>43227.902216989933</v>
      </c>
      <c r="U3" s="38">
        <v>35079.767872867626</v>
      </c>
      <c r="V3" s="39">
        <v>31731.597293238738</v>
      </c>
      <c r="W3" s="38">
        <v>31846.564479272231</v>
      </c>
      <c r="X3" s="39">
        <v>31943.295977276903</v>
      </c>
    </row>
    <row r="4" spans="1:24" ht="16.5" customHeight="1" x14ac:dyDescent="0.2">
      <c r="A4" s="98"/>
      <c r="B4" s="37" t="s">
        <v>55</v>
      </c>
      <c r="C4" s="38">
        <v>32184.062386328314</v>
      </c>
      <c r="D4" s="39">
        <v>32206.094726852367</v>
      </c>
      <c r="E4" s="38">
        <v>32274.23653694128</v>
      </c>
      <c r="F4" s="39">
        <v>32555.085013768148</v>
      </c>
      <c r="G4" s="38">
        <v>30105.323360174269</v>
      </c>
      <c r="H4" s="39">
        <v>29989.804677856642</v>
      </c>
      <c r="I4" s="38">
        <v>32488.630940312229</v>
      </c>
      <c r="J4" s="39">
        <v>32434.573343128541</v>
      </c>
      <c r="K4" s="38">
        <v>28664.14542335759</v>
      </c>
      <c r="L4" s="39">
        <v>32225.258772444005</v>
      </c>
      <c r="M4" s="38">
        <v>28438.872259134991</v>
      </c>
      <c r="N4" s="39">
        <v>28183.298716143396</v>
      </c>
      <c r="O4" s="38">
        <v>31212.698059205293</v>
      </c>
      <c r="P4" s="39">
        <v>30972.612787147482</v>
      </c>
      <c r="Q4" s="38">
        <v>21475.964897320217</v>
      </c>
      <c r="R4" s="39">
        <v>21348.175117458701</v>
      </c>
      <c r="S4" s="38">
        <v>21829.854062997612</v>
      </c>
      <c r="T4" s="39">
        <v>21835.319887130889</v>
      </c>
      <c r="U4" s="38">
        <v>18123.28025657987</v>
      </c>
      <c r="V4" s="39">
        <v>21671.805101117188</v>
      </c>
      <c r="W4" s="38">
        <v>18088.893635741581</v>
      </c>
      <c r="X4" s="39">
        <v>18043.131809828097</v>
      </c>
    </row>
    <row r="5" spans="1:24" ht="16.5" customHeight="1" x14ac:dyDescent="0.2">
      <c r="A5" s="98"/>
      <c r="B5" s="37" t="s">
        <v>17</v>
      </c>
      <c r="C5" s="38">
        <v>15797.150798449293</v>
      </c>
      <c r="D5" s="39">
        <v>15840.430663649991</v>
      </c>
      <c r="E5" s="38">
        <v>15797.150798448993</v>
      </c>
      <c r="F5" s="39">
        <v>15797.150798448942</v>
      </c>
      <c r="G5" s="38">
        <v>15797.150798448931</v>
      </c>
      <c r="H5" s="39">
        <v>15840.430663650302</v>
      </c>
      <c r="I5" s="38">
        <v>15729.268557402862</v>
      </c>
      <c r="J5" s="39">
        <v>15797.1507984491</v>
      </c>
      <c r="K5" s="38">
        <v>15797.150798449073</v>
      </c>
      <c r="L5" s="39">
        <v>15840.430663650301</v>
      </c>
      <c r="M5" s="38">
        <v>15797.150798449042</v>
      </c>
      <c r="N5" s="39">
        <v>15797.150798449029</v>
      </c>
      <c r="O5" s="38">
        <v>15797.150798449</v>
      </c>
      <c r="P5" s="39">
        <v>15840.43066365043</v>
      </c>
      <c r="Q5" s="38">
        <v>15797.15079844902</v>
      </c>
      <c r="R5" s="39">
        <v>15797.15079844914</v>
      </c>
      <c r="S5" s="38">
        <v>15797.150798449102</v>
      </c>
      <c r="T5" s="39">
        <v>15840.430663650268</v>
      </c>
      <c r="U5" s="38">
        <v>15797.150798448851</v>
      </c>
      <c r="V5" s="39">
        <v>15797.150798449073</v>
      </c>
      <c r="W5" s="38">
        <v>15797.15079844902</v>
      </c>
      <c r="X5" s="39">
        <v>15840.430663650312</v>
      </c>
    </row>
    <row r="6" spans="1:24" ht="16.5" customHeight="1" x14ac:dyDescent="0.2">
      <c r="A6" s="98"/>
      <c r="B6" s="37" t="s">
        <v>44</v>
      </c>
      <c r="C6" s="38">
        <v>13148</v>
      </c>
      <c r="D6" s="39">
        <v>11162</v>
      </c>
      <c r="E6" s="38">
        <v>11049</v>
      </c>
      <c r="F6" s="39">
        <v>6952</v>
      </c>
      <c r="G6" s="38">
        <v>9162</v>
      </c>
      <c r="H6" s="39">
        <v>8105</v>
      </c>
      <c r="I6" s="38">
        <v>3192</v>
      </c>
      <c r="J6" s="39">
        <v>4742</v>
      </c>
      <c r="K6" s="38">
        <v>6593</v>
      </c>
      <c r="L6" s="39">
        <v>3445</v>
      </c>
      <c r="M6" s="38">
        <v>6141</v>
      </c>
      <c r="N6" s="39">
        <v>8461</v>
      </c>
      <c r="O6" s="38">
        <v>6651</v>
      </c>
      <c r="P6" s="39">
        <v>7898</v>
      </c>
      <c r="Q6" s="38">
        <v>9212</v>
      </c>
      <c r="R6" s="39">
        <v>9183</v>
      </c>
      <c r="S6" s="38">
        <v>8136</v>
      </c>
      <c r="T6" s="39">
        <v>7930</v>
      </c>
      <c r="U6" s="38">
        <v>9100</v>
      </c>
      <c r="V6" s="39">
        <v>8941</v>
      </c>
      <c r="W6" s="38">
        <v>9123</v>
      </c>
      <c r="X6" s="39">
        <v>9048</v>
      </c>
    </row>
    <row r="7" spans="1:24" ht="16.5" customHeight="1" x14ac:dyDescent="0.2">
      <c r="A7" s="98"/>
      <c r="B7" s="37" t="s">
        <v>56</v>
      </c>
      <c r="C7" s="38">
        <v>1380</v>
      </c>
      <c r="D7" s="39">
        <v>528</v>
      </c>
      <c r="E7" s="38">
        <v>482</v>
      </c>
      <c r="F7" s="39">
        <v>155</v>
      </c>
      <c r="G7" s="38">
        <v>322</v>
      </c>
      <c r="H7" s="39">
        <v>280</v>
      </c>
      <c r="I7" s="38">
        <v>277</v>
      </c>
      <c r="J7" s="39">
        <v>523</v>
      </c>
      <c r="K7" s="38">
        <v>877</v>
      </c>
      <c r="L7" s="39">
        <v>278</v>
      </c>
      <c r="M7" s="38">
        <v>724</v>
      </c>
      <c r="N7" s="39">
        <v>1498</v>
      </c>
      <c r="O7" s="38">
        <v>871</v>
      </c>
      <c r="P7" s="39">
        <v>1199</v>
      </c>
      <c r="Q7" s="38">
        <v>2246</v>
      </c>
      <c r="R7" s="39">
        <v>2093</v>
      </c>
      <c r="S7" s="38">
        <v>2809</v>
      </c>
      <c r="T7" s="39">
        <v>3587</v>
      </c>
      <c r="U7" s="38">
        <v>3828</v>
      </c>
      <c r="V7" s="39">
        <v>3556</v>
      </c>
      <c r="W7" s="38">
        <v>3539</v>
      </c>
      <c r="X7" s="39">
        <v>3523</v>
      </c>
    </row>
    <row r="8" spans="1:24" ht="16.5" customHeight="1" x14ac:dyDescent="0.2">
      <c r="A8" s="98"/>
      <c r="B8" s="37" t="s">
        <v>18</v>
      </c>
      <c r="C8" s="38">
        <v>18209.458695725865</v>
      </c>
      <c r="D8" s="39">
        <v>24407.892785843949</v>
      </c>
      <c r="E8" s="38">
        <v>26318.650567153592</v>
      </c>
      <c r="F8" s="39">
        <v>27411.201980541791</v>
      </c>
      <c r="G8" s="38">
        <v>28940.826119478625</v>
      </c>
      <c r="H8" s="39">
        <v>30856.648757399857</v>
      </c>
      <c r="I8" s="38">
        <v>32200.32566777902</v>
      </c>
      <c r="J8" s="39">
        <v>31966.532158502981</v>
      </c>
      <c r="K8" s="38">
        <v>33035.223213141056</v>
      </c>
      <c r="L8" s="39">
        <v>32620.89418285693</v>
      </c>
      <c r="M8" s="38">
        <v>33750.674085293249</v>
      </c>
      <c r="N8" s="39">
        <v>33451.326396653712</v>
      </c>
      <c r="O8" s="38">
        <v>31852.847895582392</v>
      </c>
      <c r="P8" s="39">
        <v>31420.685084658544</v>
      </c>
      <c r="Q8" s="38">
        <v>32963.621346646483</v>
      </c>
      <c r="R8" s="39">
        <v>34361.568550219199</v>
      </c>
      <c r="S8" s="38">
        <v>37823.931614385554</v>
      </c>
      <c r="T8" s="39">
        <v>42756.577858135046</v>
      </c>
      <c r="U8" s="38">
        <v>42785.084335572414</v>
      </c>
      <c r="V8" s="39">
        <v>42814.279531046122</v>
      </c>
      <c r="W8" s="38">
        <v>43912.552344225951</v>
      </c>
      <c r="X8" s="39">
        <v>44715.641384972587</v>
      </c>
    </row>
    <row r="9" spans="1:24" ht="16.5" customHeight="1" x14ac:dyDescent="0.2">
      <c r="A9" s="98"/>
      <c r="B9" s="37" t="s">
        <v>57</v>
      </c>
      <c r="C9" s="38">
        <v>4830.3847271585701</v>
      </c>
      <c r="D9" s="39">
        <v>6926.3574859233595</v>
      </c>
      <c r="E9" s="38">
        <v>6899.0981278446197</v>
      </c>
      <c r="F9" s="39">
        <v>7141.3284074938392</v>
      </c>
      <c r="G9" s="38">
        <v>9724.4776908820404</v>
      </c>
      <c r="H9" s="39">
        <v>11190.125932024112</v>
      </c>
      <c r="I9" s="38">
        <v>14860.930085168768</v>
      </c>
      <c r="J9" s="39">
        <v>18376.573316254042</v>
      </c>
      <c r="K9" s="38">
        <v>20216.466564547492</v>
      </c>
      <c r="L9" s="39">
        <v>21847.152231859382</v>
      </c>
      <c r="M9" s="38">
        <v>23341.062998692498</v>
      </c>
      <c r="N9" s="39">
        <v>24819.03562898792</v>
      </c>
      <c r="O9" s="38">
        <v>24545.567435173929</v>
      </c>
      <c r="P9" s="39">
        <v>24236.990655782571</v>
      </c>
      <c r="Q9" s="38">
        <v>24346.97634455705</v>
      </c>
      <c r="R9" s="39">
        <v>24131.474560092473</v>
      </c>
      <c r="S9" s="38">
        <v>27375.112408224857</v>
      </c>
      <c r="T9" s="39">
        <v>36207.12329934469</v>
      </c>
      <c r="U9" s="38">
        <v>46023.27077604668</v>
      </c>
      <c r="V9" s="39">
        <v>47457.419208642394</v>
      </c>
      <c r="W9" s="38">
        <v>50520.160283613412</v>
      </c>
      <c r="X9" s="39">
        <v>51300.52974552643</v>
      </c>
    </row>
    <row r="10" spans="1:24" ht="16.5" customHeight="1" x14ac:dyDescent="0.2">
      <c r="A10" s="98"/>
      <c r="B10" s="37" t="s">
        <v>65</v>
      </c>
      <c r="C10" s="38">
        <v>-123.22614655323335</v>
      </c>
      <c r="D10" s="39">
        <v>-216.20079561567752</v>
      </c>
      <c r="E10" s="38">
        <v>-272.17797485053342</v>
      </c>
      <c r="F10" s="39">
        <v>-457.98270917778905</v>
      </c>
      <c r="G10" s="38">
        <v>-786.59461345921136</v>
      </c>
      <c r="H10" s="39">
        <v>-1085.9727810604554</v>
      </c>
      <c r="I10" s="38">
        <v>-1391.7653901918422</v>
      </c>
      <c r="J10" s="39">
        <v>-1779.5630205120676</v>
      </c>
      <c r="K10" s="38">
        <v>-2215.6911310686514</v>
      </c>
      <c r="L10" s="39">
        <v>-2725.5175713964368</v>
      </c>
      <c r="M10" s="38">
        <v>-3442.3331080879029</v>
      </c>
      <c r="N10" s="39">
        <v>-4103.7446642932582</v>
      </c>
      <c r="O10" s="38">
        <v>-4655.3865200229639</v>
      </c>
      <c r="P10" s="39">
        <v>-5507.2497864545867</v>
      </c>
      <c r="Q10" s="38">
        <v>-6560.5355929000007</v>
      </c>
      <c r="R10" s="39">
        <v>-7787.1865956286756</v>
      </c>
      <c r="S10" s="38">
        <v>-9145.5714294198551</v>
      </c>
      <c r="T10" s="39">
        <v>-10696.103937875432</v>
      </c>
      <c r="U10" s="38">
        <v>-12263.735502702579</v>
      </c>
      <c r="V10" s="39">
        <v>-13781.242099339364</v>
      </c>
      <c r="W10" s="38">
        <v>-15130.450553405701</v>
      </c>
      <c r="X10" s="39">
        <v>-16338.718329332676</v>
      </c>
    </row>
    <row r="11" spans="1:24" ht="16.5" customHeight="1" x14ac:dyDescent="0.2">
      <c r="A11" s="98"/>
      <c r="B11" s="37" t="s">
        <v>66</v>
      </c>
      <c r="C11" s="38">
        <v>1079.8633103736101</v>
      </c>
      <c r="D11" s="39">
        <v>100.30626723305997</v>
      </c>
      <c r="E11" s="38">
        <v>77.046226793369982</v>
      </c>
      <c r="F11" s="39">
        <v>145.59989757654998</v>
      </c>
      <c r="G11" s="38">
        <v>465.19716494136071</v>
      </c>
      <c r="H11" s="39">
        <v>531.95352218280073</v>
      </c>
      <c r="I11" s="38">
        <v>942.29651436879055</v>
      </c>
      <c r="J11" s="39">
        <v>1626.3162720193807</v>
      </c>
      <c r="K11" s="38">
        <v>1922.3331550393493</v>
      </c>
      <c r="L11" s="39">
        <v>1767.7669040707397</v>
      </c>
      <c r="M11" s="38">
        <v>2036.44207787613</v>
      </c>
      <c r="N11" s="39">
        <v>3426.0795545487099</v>
      </c>
      <c r="O11" s="38">
        <v>3450.6590599995188</v>
      </c>
      <c r="P11" s="39">
        <v>3520.5025800598196</v>
      </c>
      <c r="Q11" s="38">
        <v>4455.7101461794218</v>
      </c>
      <c r="R11" s="39">
        <v>4961.6128538052299</v>
      </c>
      <c r="S11" s="38">
        <v>8270.9050883426407</v>
      </c>
      <c r="T11" s="39">
        <v>12661.154973932471</v>
      </c>
      <c r="U11" s="38">
        <v>18468.671604606428</v>
      </c>
      <c r="V11" s="39">
        <v>19419.162545081017</v>
      </c>
      <c r="W11" s="38">
        <v>21350.307236907214</v>
      </c>
      <c r="X11" s="39">
        <v>21817.394327821978</v>
      </c>
    </row>
    <row r="12" spans="1:24" ht="16.5" customHeight="1" x14ac:dyDescent="0.2">
      <c r="A12" s="98"/>
      <c r="B12" s="37" t="s">
        <v>59</v>
      </c>
      <c r="C12" s="38">
        <v>0</v>
      </c>
      <c r="D12" s="39">
        <v>0</v>
      </c>
      <c r="E12" s="38">
        <v>0</v>
      </c>
      <c r="F12" s="39">
        <v>0</v>
      </c>
      <c r="G12" s="38">
        <v>0</v>
      </c>
      <c r="H12" s="39">
        <v>0</v>
      </c>
      <c r="I12" s="38">
        <v>0</v>
      </c>
      <c r="J12" s="39">
        <v>0</v>
      </c>
      <c r="K12" s="38">
        <v>0</v>
      </c>
      <c r="L12" s="39">
        <v>0</v>
      </c>
      <c r="M12" s="38">
        <v>0</v>
      </c>
      <c r="N12" s="39">
        <v>0</v>
      </c>
      <c r="O12" s="38">
        <v>0</v>
      </c>
      <c r="P12" s="39">
        <v>0</v>
      </c>
      <c r="Q12" s="38">
        <v>0</v>
      </c>
      <c r="R12" s="39">
        <v>0</v>
      </c>
      <c r="S12" s="38">
        <v>0</v>
      </c>
      <c r="T12" s="39">
        <v>501.94375620813008</v>
      </c>
      <c r="U12" s="38">
        <v>851.73862097322012</v>
      </c>
      <c r="V12" s="39">
        <v>851.73862097332994</v>
      </c>
      <c r="W12" s="38">
        <v>1291.35227322388</v>
      </c>
      <c r="X12" s="39">
        <v>1294.89022465731</v>
      </c>
    </row>
    <row r="13" spans="1:24" ht="16.5" customHeight="1" x14ac:dyDescent="0.2">
      <c r="A13" s="98"/>
      <c r="B13" s="37" t="s">
        <v>67</v>
      </c>
      <c r="C13" s="38">
        <v>-1349.8291379670127</v>
      </c>
      <c r="D13" s="39">
        <v>-125.38283404132495</v>
      </c>
      <c r="E13" s="38">
        <v>-96.30778349171247</v>
      </c>
      <c r="F13" s="39">
        <v>-181.99987197068745</v>
      </c>
      <c r="G13" s="38">
        <v>-581.4964561767008</v>
      </c>
      <c r="H13" s="39">
        <v>-664.94190272850085</v>
      </c>
      <c r="I13" s="38">
        <v>-1177.8706429609881</v>
      </c>
      <c r="J13" s="39">
        <v>-2032.8953400242258</v>
      </c>
      <c r="K13" s="38">
        <v>-2402.9164437991867</v>
      </c>
      <c r="L13" s="39">
        <v>-2209.7086300884243</v>
      </c>
      <c r="M13" s="38">
        <v>-2545.5525973451622</v>
      </c>
      <c r="N13" s="39">
        <v>-4282.5994431858871</v>
      </c>
      <c r="O13" s="38">
        <v>-4313.3238249993983</v>
      </c>
      <c r="P13" s="39">
        <v>-4400.6282250747745</v>
      </c>
      <c r="Q13" s="38">
        <v>-5569.6376827242766</v>
      </c>
      <c r="R13" s="39">
        <v>-6202.0160672565371</v>
      </c>
      <c r="S13" s="38">
        <v>-10338.6313604283</v>
      </c>
      <c r="T13" s="39">
        <v>-15826.443717415588</v>
      </c>
      <c r="U13" s="38">
        <v>-23085.839505758035</v>
      </c>
      <c r="V13" s="39">
        <v>-24273.953181351269</v>
      </c>
      <c r="W13" s="38">
        <v>-26687.884046134015</v>
      </c>
      <c r="X13" s="39">
        <v>-27271.742909777469</v>
      </c>
    </row>
    <row r="14" spans="1:24" ht="16.5" customHeight="1" x14ac:dyDescent="0.2">
      <c r="A14" s="98"/>
      <c r="B14" s="37" t="s">
        <v>68</v>
      </c>
      <c r="C14" s="38">
        <v>110.90353189791001</v>
      </c>
      <c r="D14" s="39">
        <v>194.58071605410979</v>
      </c>
      <c r="E14" s="38">
        <v>244.96017736548009</v>
      </c>
      <c r="F14" s="39">
        <v>412.18443826001015</v>
      </c>
      <c r="G14" s="38">
        <v>707.9351521132902</v>
      </c>
      <c r="H14" s="39">
        <v>977.37550295440997</v>
      </c>
      <c r="I14" s="38">
        <v>1252.588851172658</v>
      </c>
      <c r="J14" s="39">
        <v>1601.606718460861</v>
      </c>
      <c r="K14" s="38">
        <v>1994.1220179617862</v>
      </c>
      <c r="L14" s="39">
        <v>2452.9658142567932</v>
      </c>
      <c r="M14" s="38">
        <v>3098.0997972791129</v>
      </c>
      <c r="N14" s="39">
        <v>3693.3701978639328</v>
      </c>
      <c r="O14" s="38">
        <v>4189.8478680206672</v>
      </c>
      <c r="P14" s="39">
        <v>4956.5248078091281</v>
      </c>
      <c r="Q14" s="38">
        <v>5904.4820336100011</v>
      </c>
      <c r="R14" s="39">
        <v>7008.4679360658083</v>
      </c>
      <c r="S14" s="38">
        <v>8231.01428647787</v>
      </c>
      <c r="T14" s="39">
        <v>9626.4935440878889</v>
      </c>
      <c r="U14" s="38">
        <v>11037.36195243232</v>
      </c>
      <c r="V14" s="39">
        <v>12403.117889405428</v>
      </c>
      <c r="W14" s="38">
        <v>13617.405498065131</v>
      </c>
      <c r="X14" s="39">
        <v>14704.846496399408</v>
      </c>
    </row>
    <row r="15" spans="1:24" s="1" customFormat="1" ht="16.5" customHeight="1" x14ac:dyDescent="0.2">
      <c r="A15" s="98"/>
      <c r="B15" s="37" t="s">
        <v>41</v>
      </c>
      <c r="C15" s="38">
        <v>8915</v>
      </c>
      <c r="D15" s="39">
        <v>10043</v>
      </c>
      <c r="E15" s="38">
        <v>11126</v>
      </c>
      <c r="F15" s="39">
        <v>12278</v>
      </c>
      <c r="G15" s="38">
        <v>13481</v>
      </c>
      <c r="H15" s="39">
        <v>14829</v>
      </c>
      <c r="I15" s="38">
        <v>16184</v>
      </c>
      <c r="J15" s="39">
        <v>17747</v>
      </c>
      <c r="K15" s="38">
        <v>19530</v>
      </c>
      <c r="L15" s="39">
        <v>21714</v>
      </c>
      <c r="M15" s="38">
        <v>24145</v>
      </c>
      <c r="N15" s="39">
        <v>27126</v>
      </c>
      <c r="O15" s="38">
        <v>30484</v>
      </c>
      <c r="P15" s="39">
        <v>34124</v>
      </c>
      <c r="Q15" s="38">
        <v>37361</v>
      </c>
      <c r="R15" s="39">
        <v>40336</v>
      </c>
      <c r="S15" s="38">
        <v>42811</v>
      </c>
      <c r="T15" s="39">
        <v>44951</v>
      </c>
      <c r="U15" s="38">
        <v>46320</v>
      </c>
      <c r="V15" s="39">
        <v>47616</v>
      </c>
      <c r="W15" s="38">
        <v>48739</v>
      </c>
      <c r="X15" s="39">
        <v>49912</v>
      </c>
    </row>
    <row r="16" spans="1:24" ht="16.5" customHeight="1" x14ac:dyDescent="0.2">
      <c r="A16" s="98"/>
      <c r="B16" s="41" t="s">
        <v>40</v>
      </c>
      <c r="C16" s="42">
        <f>SUM(C3:C15)</f>
        <v>200022.10822430596</v>
      </c>
      <c r="D16" s="43">
        <f>SUM(D3:D15)</f>
        <v>203536.03707153548</v>
      </c>
      <c r="E16" s="42">
        <f t="shared" ref="E16:X16" si="0">SUM(E3:E15)</f>
        <v>204236.03928176156</v>
      </c>
      <c r="F16" s="43">
        <f t="shared" si="0"/>
        <v>205153.25893389032</v>
      </c>
      <c r="G16" s="42">
        <f t="shared" si="0"/>
        <v>204232.80733753712</v>
      </c>
      <c r="H16" s="43">
        <f t="shared" si="0"/>
        <v>206792.31712008329</v>
      </c>
      <c r="I16" s="42">
        <f t="shared" si="0"/>
        <v>207343.1860550612</v>
      </c>
      <c r="J16" s="43">
        <f t="shared" si="0"/>
        <v>209843.97700028919</v>
      </c>
      <c r="K16" s="42">
        <f t="shared" si="0"/>
        <v>210657.78106346252</v>
      </c>
      <c r="L16" s="43">
        <f t="shared" si="0"/>
        <v>212599.6176529114</v>
      </c>
      <c r="M16" s="42">
        <f t="shared" si="0"/>
        <v>211763.38937055058</v>
      </c>
      <c r="N16" s="43">
        <f t="shared" si="0"/>
        <v>211532.24547638133</v>
      </c>
      <c r="O16" s="42">
        <f t="shared" si="0"/>
        <v>212223.59353403799</v>
      </c>
      <c r="P16" s="43">
        <f t="shared" si="0"/>
        <v>213246.867338093</v>
      </c>
      <c r="Q16" s="42">
        <f t="shared" si="0"/>
        <v>210950.89010597885</v>
      </c>
      <c r="R16" s="43">
        <f t="shared" si="0"/>
        <v>211999.67501302977</v>
      </c>
      <c r="S16" s="42">
        <f t="shared" si="0"/>
        <v>210842.44200923297</v>
      </c>
      <c r="T16" s="43">
        <f t="shared" si="0"/>
        <v>212602.39854418833</v>
      </c>
      <c r="U16" s="42">
        <f t="shared" si="0"/>
        <v>212064.75120906677</v>
      </c>
      <c r="V16" s="43">
        <f t="shared" si="0"/>
        <v>214204.07570726267</v>
      </c>
      <c r="W16" s="42">
        <f t="shared" si="0"/>
        <v>216007.05194995872</v>
      </c>
      <c r="X16" s="43">
        <f t="shared" si="0"/>
        <v>218532.69939102288</v>
      </c>
    </row>
    <row r="19" spans="1:24" ht="16.5" customHeight="1" x14ac:dyDescent="0.2">
      <c r="C19" s="52"/>
      <c r="D19" s="52"/>
      <c r="E19" s="52"/>
      <c r="F19" s="52"/>
      <c r="G19" s="52"/>
      <c r="H19" s="52"/>
      <c r="I19" s="52"/>
      <c r="J19" s="52"/>
      <c r="K19" s="52"/>
      <c r="L19" s="52"/>
      <c r="M19" s="52"/>
      <c r="N19" s="52"/>
      <c r="O19" s="52"/>
      <c r="P19" s="52"/>
      <c r="Q19" s="52"/>
      <c r="R19" s="52"/>
      <c r="S19" s="52"/>
      <c r="T19" s="52"/>
      <c r="U19" s="52"/>
      <c r="V19" s="52"/>
      <c r="W19" s="52"/>
      <c r="X19" s="52"/>
    </row>
    <row r="20" spans="1:24" s="36" customFormat="1" ht="16.5" customHeight="1" x14ac:dyDescent="0.2">
      <c r="A20" s="32" t="s">
        <v>34</v>
      </c>
      <c r="B20" s="33" t="s">
        <v>20</v>
      </c>
      <c r="C20" s="50" t="s">
        <v>0</v>
      </c>
      <c r="D20" s="51" t="s">
        <v>1</v>
      </c>
      <c r="E20" s="50" t="s">
        <v>2</v>
      </c>
      <c r="F20" s="51" t="s">
        <v>3</v>
      </c>
      <c r="G20" s="50" t="s">
        <v>4</v>
      </c>
      <c r="H20" s="51" t="s">
        <v>5</v>
      </c>
      <c r="I20" s="50" t="s">
        <v>6</v>
      </c>
      <c r="J20" s="51" t="s">
        <v>7</v>
      </c>
      <c r="K20" s="50" t="s">
        <v>8</v>
      </c>
      <c r="L20" s="51" t="s">
        <v>9</v>
      </c>
      <c r="M20" s="50" t="s">
        <v>10</v>
      </c>
      <c r="N20" s="51" t="s">
        <v>11</v>
      </c>
      <c r="O20" s="50" t="s">
        <v>12</v>
      </c>
      <c r="P20" s="51" t="s">
        <v>13</v>
      </c>
      <c r="Q20" s="50" t="s">
        <v>14</v>
      </c>
      <c r="R20" s="51" t="s">
        <v>15</v>
      </c>
      <c r="S20" s="50" t="s">
        <v>16</v>
      </c>
      <c r="T20" s="51" t="s">
        <v>45</v>
      </c>
      <c r="U20" s="50" t="s">
        <v>61</v>
      </c>
      <c r="V20" s="51" t="s">
        <v>62</v>
      </c>
      <c r="W20" s="50" t="s">
        <v>63</v>
      </c>
      <c r="X20" s="51" t="s">
        <v>64</v>
      </c>
    </row>
    <row r="21" spans="1:24" ht="16.5" customHeight="1" x14ac:dyDescent="0.2">
      <c r="A21" s="97" t="s">
        <v>35</v>
      </c>
      <c r="B21" s="37" t="s">
        <v>54</v>
      </c>
      <c r="C21" s="38">
        <v>51420.46145266814</v>
      </c>
      <c r="D21" s="39">
        <v>51335.836007028978</v>
      </c>
      <c r="E21" s="38">
        <v>54200.671897181121</v>
      </c>
      <c r="F21" s="39">
        <v>53950.069631239647</v>
      </c>
      <c r="G21" s="38">
        <v>42972.342136121595</v>
      </c>
      <c r="H21" s="39">
        <v>42549.792971254763</v>
      </c>
      <c r="I21" s="38">
        <v>40695.403459722082</v>
      </c>
      <c r="J21" s="39">
        <v>36908.275482068122</v>
      </c>
      <c r="K21" s="38">
        <v>40333.185831903313</v>
      </c>
      <c r="L21" s="39">
        <v>42226.264809160886</v>
      </c>
      <c r="M21" s="38">
        <v>36123.3964732596</v>
      </c>
      <c r="N21" s="39">
        <v>35696.075622347089</v>
      </c>
      <c r="O21" s="38">
        <v>34940.527743681203</v>
      </c>
      <c r="P21" s="39">
        <v>34714.45117277692</v>
      </c>
      <c r="Q21" s="38">
        <v>34944.248790401631</v>
      </c>
      <c r="R21" s="39">
        <v>31404.69449799963</v>
      </c>
      <c r="S21" s="38">
        <v>20966.41893789791</v>
      </c>
      <c r="T21" s="39">
        <v>6898.7937005277508</v>
      </c>
      <c r="U21" s="38">
        <v>6931.2691695140693</v>
      </c>
      <c r="V21" s="39">
        <v>6876.6681994835399</v>
      </c>
      <c r="W21" s="38">
        <v>6939.6212026963804</v>
      </c>
      <c r="X21" s="39">
        <v>6959.2794475333503</v>
      </c>
    </row>
    <row r="22" spans="1:24" ht="16.5" customHeight="1" x14ac:dyDescent="0.2">
      <c r="A22" s="98"/>
      <c r="B22" s="37" t="s">
        <v>55</v>
      </c>
      <c r="C22" s="38">
        <v>0</v>
      </c>
      <c r="D22" s="39">
        <v>0</v>
      </c>
      <c r="E22" s="38">
        <v>0</v>
      </c>
      <c r="F22" s="39">
        <v>0</v>
      </c>
      <c r="G22" s="38">
        <v>0</v>
      </c>
      <c r="H22" s="39">
        <v>0</v>
      </c>
      <c r="I22" s="38">
        <v>0</v>
      </c>
      <c r="J22" s="39">
        <v>0</v>
      </c>
      <c r="K22" s="38">
        <v>0</v>
      </c>
      <c r="L22" s="39">
        <v>0</v>
      </c>
      <c r="M22" s="38">
        <v>0</v>
      </c>
      <c r="N22" s="39">
        <v>0</v>
      </c>
      <c r="O22" s="38">
        <v>0</v>
      </c>
      <c r="P22" s="39">
        <v>0</v>
      </c>
      <c r="Q22" s="38">
        <v>0</v>
      </c>
      <c r="R22" s="39">
        <v>0</v>
      </c>
      <c r="S22" s="38">
        <v>0</v>
      </c>
      <c r="T22" s="39">
        <v>0</v>
      </c>
      <c r="U22" s="38">
        <v>0</v>
      </c>
      <c r="V22" s="39">
        <v>0</v>
      </c>
      <c r="W22" s="38">
        <v>0</v>
      </c>
      <c r="X22" s="39">
        <v>0</v>
      </c>
    </row>
    <row r="23" spans="1:24" ht="16.5" customHeight="1" x14ac:dyDescent="0.2">
      <c r="A23" s="98"/>
      <c r="B23" s="37" t="s">
        <v>17</v>
      </c>
      <c r="C23" s="38">
        <v>3054.1423269568409</v>
      </c>
      <c r="D23" s="39">
        <v>3062.5098401812807</v>
      </c>
      <c r="E23" s="38">
        <v>3054.1423269569209</v>
      </c>
      <c r="F23" s="39">
        <v>3054.1423269568309</v>
      </c>
      <c r="G23" s="38">
        <v>3054.1423269568008</v>
      </c>
      <c r="H23" s="39">
        <v>3062.5098401815017</v>
      </c>
      <c r="I23" s="38">
        <v>3054.1423269568004</v>
      </c>
      <c r="J23" s="39">
        <v>3054.1423269568704</v>
      </c>
      <c r="K23" s="38">
        <v>3054.1423269568204</v>
      </c>
      <c r="L23" s="39">
        <v>3062.5098401814103</v>
      </c>
      <c r="M23" s="38">
        <v>3054.1423269568404</v>
      </c>
      <c r="N23" s="39">
        <v>3054.1423269569505</v>
      </c>
      <c r="O23" s="38">
        <v>3054.1423269568404</v>
      </c>
      <c r="P23" s="39">
        <v>3062.5098401814903</v>
      </c>
      <c r="Q23" s="38">
        <v>3054.1423269569204</v>
      </c>
      <c r="R23" s="39">
        <v>3054.1423269568804</v>
      </c>
      <c r="S23" s="38">
        <v>3054.1423269568604</v>
      </c>
      <c r="T23" s="39">
        <v>3062.5098401814203</v>
      </c>
      <c r="U23" s="38">
        <v>3054.14232695687</v>
      </c>
      <c r="V23" s="39">
        <v>3054.1423269568904</v>
      </c>
      <c r="W23" s="38">
        <v>3054.1423269568804</v>
      </c>
      <c r="X23" s="39">
        <v>3062.5098401814003</v>
      </c>
    </row>
    <row r="24" spans="1:24" ht="16.5" customHeight="1" x14ac:dyDescent="0.2">
      <c r="A24" s="98"/>
      <c r="B24" s="37" t="s">
        <v>44</v>
      </c>
      <c r="C24" s="38">
        <v>1647.7710844233102</v>
      </c>
      <c r="D24" s="39">
        <v>1556.8591481834999</v>
      </c>
      <c r="E24" s="38">
        <v>1549.5459027882</v>
      </c>
      <c r="F24" s="39">
        <v>44.126139575389999</v>
      </c>
      <c r="G24" s="38">
        <v>373.96797482721001</v>
      </c>
      <c r="H24" s="39">
        <v>368.62684157536</v>
      </c>
      <c r="I24" s="38">
        <v>264.86148952407001</v>
      </c>
      <c r="J24" s="39">
        <v>541.55931258078999</v>
      </c>
      <c r="K24" s="38">
        <v>872.7197698226621</v>
      </c>
      <c r="L24" s="39">
        <v>170.55812569019</v>
      </c>
      <c r="M24" s="38">
        <v>1023.598535085171</v>
      </c>
      <c r="N24" s="39">
        <v>1683.93700787581</v>
      </c>
      <c r="O24" s="38">
        <v>740.09408025258097</v>
      </c>
      <c r="P24" s="39">
        <v>832.56250412253098</v>
      </c>
      <c r="Q24" s="38">
        <v>1834.3053583134899</v>
      </c>
      <c r="R24" s="39">
        <v>1915.0554497067601</v>
      </c>
      <c r="S24" s="38">
        <v>1957.1716657689999</v>
      </c>
      <c r="T24" s="39">
        <v>1902.8142859531199</v>
      </c>
      <c r="U24" s="38">
        <v>1866.97347978113</v>
      </c>
      <c r="V24" s="39">
        <v>1740.8207637661599</v>
      </c>
      <c r="W24" s="38">
        <v>1788.1615674603502</v>
      </c>
      <c r="X24" s="39">
        <v>1739.32830233665</v>
      </c>
    </row>
    <row r="25" spans="1:24" ht="16.5" customHeight="1" x14ac:dyDescent="0.2">
      <c r="A25" s="98"/>
      <c r="B25" s="37" t="s">
        <v>56</v>
      </c>
      <c r="C25" s="38">
        <v>93.135776877440009</v>
      </c>
      <c r="D25" s="39">
        <v>45.815354943520006</v>
      </c>
      <c r="E25" s="38">
        <v>29.5902069258</v>
      </c>
      <c r="F25" s="39">
        <v>21.729215437519997</v>
      </c>
      <c r="G25" s="38">
        <v>88.020926467699994</v>
      </c>
      <c r="H25" s="39">
        <v>99.509911912050001</v>
      </c>
      <c r="I25" s="38">
        <v>89.737769944679997</v>
      </c>
      <c r="J25" s="39">
        <v>138.83050014082002</v>
      </c>
      <c r="K25" s="38">
        <v>137.68940906820998</v>
      </c>
      <c r="L25" s="39">
        <v>72.587947138999994</v>
      </c>
      <c r="M25" s="38">
        <v>152.79186846532997</v>
      </c>
      <c r="N25" s="39">
        <v>229.73898204519</v>
      </c>
      <c r="O25" s="38">
        <v>144.02711637196998</v>
      </c>
      <c r="P25" s="39">
        <v>133.29989612337999</v>
      </c>
      <c r="Q25" s="38">
        <v>221.04488386506</v>
      </c>
      <c r="R25" s="39">
        <v>368.75713053983998</v>
      </c>
      <c r="S25" s="38">
        <v>249.11521714089</v>
      </c>
      <c r="T25" s="39">
        <v>808.68773409399</v>
      </c>
      <c r="U25" s="38">
        <v>508.95155093429997</v>
      </c>
      <c r="V25" s="39">
        <v>440.20702785928006</v>
      </c>
      <c r="W25" s="38">
        <v>656.17112411598009</v>
      </c>
      <c r="X25" s="39">
        <v>665.71449927666993</v>
      </c>
    </row>
    <row r="26" spans="1:24" ht="16.5" customHeight="1" x14ac:dyDescent="0.2">
      <c r="A26" s="98"/>
      <c r="B26" s="37" t="s">
        <v>18</v>
      </c>
      <c r="C26" s="38">
        <v>4176.731809135812</v>
      </c>
      <c r="D26" s="39">
        <v>4971.4348292068898</v>
      </c>
      <c r="E26" s="38">
        <v>4927.9427224626306</v>
      </c>
      <c r="F26" s="39">
        <v>4975.630025693461</v>
      </c>
      <c r="G26" s="38">
        <v>4963.8828275748792</v>
      </c>
      <c r="H26" s="39">
        <v>5038.479258613921</v>
      </c>
      <c r="I26" s="38">
        <v>4961.4317169019196</v>
      </c>
      <c r="J26" s="39">
        <v>4933.2277846595007</v>
      </c>
      <c r="K26" s="38">
        <v>4952.9326353054321</v>
      </c>
      <c r="L26" s="39">
        <v>4937.6114443801216</v>
      </c>
      <c r="M26" s="38">
        <v>4923.0098208211612</v>
      </c>
      <c r="N26" s="39">
        <v>4871.2882606825206</v>
      </c>
      <c r="O26" s="38">
        <v>4794.4869978097295</v>
      </c>
      <c r="P26" s="39">
        <v>4734.7857387225504</v>
      </c>
      <c r="Q26" s="38">
        <v>4742.8646176853608</v>
      </c>
      <c r="R26" s="39">
        <v>6034.5955042174801</v>
      </c>
      <c r="S26" s="38">
        <v>6693.3104360922407</v>
      </c>
      <c r="T26" s="39">
        <v>12112.93495808127</v>
      </c>
      <c r="U26" s="38">
        <v>11927.302735250971</v>
      </c>
      <c r="V26" s="39">
        <v>11796.985851574878</v>
      </c>
      <c r="W26" s="38">
        <v>12007.74924446383</v>
      </c>
      <c r="X26" s="39">
        <v>12130.4609583896</v>
      </c>
    </row>
    <row r="27" spans="1:24" ht="16.5" customHeight="1" x14ac:dyDescent="0.2">
      <c r="A27" s="98"/>
      <c r="B27" s="37" t="s">
        <v>57</v>
      </c>
      <c r="C27" s="38">
        <v>825.51372106015003</v>
      </c>
      <c r="D27" s="39">
        <v>1816.2329301868299</v>
      </c>
      <c r="E27" s="38">
        <v>1815.6943565750601</v>
      </c>
      <c r="F27" s="39">
        <v>1810.18345506439</v>
      </c>
      <c r="G27" s="38">
        <v>3853.1272126272802</v>
      </c>
      <c r="H27" s="39">
        <v>3849.2426163633904</v>
      </c>
      <c r="I27" s="38">
        <v>3847.0307275059999</v>
      </c>
      <c r="J27" s="39">
        <v>3848.6774698099889</v>
      </c>
      <c r="K27" s="38">
        <v>3846.0605358171701</v>
      </c>
      <c r="L27" s="39">
        <v>3833.9312128801498</v>
      </c>
      <c r="M27" s="38">
        <v>3831.8056054245289</v>
      </c>
      <c r="N27" s="39">
        <v>3807.3211631907902</v>
      </c>
      <c r="O27" s="38">
        <v>3789.6162113122905</v>
      </c>
      <c r="P27" s="39">
        <v>3744.6201699554999</v>
      </c>
      <c r="Q27" s="38">
        <v>3733.6845677439401</v>
      </c>
      <c r="R27" s="39">
        <v>3751.4749259390405</v>
      </c>
      <c r="S27" s="38">
        <v>5086.3316741097096</v>
      </c>
      <c r="T27" s="39">
        <v>12283.96729301276</v>
      </c>
      <c r="U27" s="38">
        <v>20065.135690958137</v>
      </c>
      <c r="V27" s="39">
        <v>20082.289271721351</v>
      </c>
      <c r="W27" s="38">
        <v>21968.573631386142</v>
      </c>
      <c r="X27" s="39">
        <v>22045.640873022639</v>
      </c>
    </row>
    <row r="28" spans="1:24" ht="16.5" customHeight="1" x14ac:dyDescent="0.2">
      <c r="A28" s="98"/>
      <c r="B28" s="37" t="s">
        <v>65</v>
      </c>
      <c r="C28" s="38">
        <v>-38.04461615940329</v>
      </c>
      <c r="D28" s="39">
        <v>-66.157750416980036</v>
      </c>
      <c r="E28" s="38">
        <v>-73.574930848753226</v>
      </c>
      <c r="F28" s="39">
        <v>-126.93708543662297</v>
      </c>
      <c r="G28" s="38">
        <v>-235.31564832565664</v>
      </c>
      <c r="H28" s="39">
        <v>-324.70918936084712</v>
      </c>
      <c r="I28" s="38">
        <v>-416.92745891433646</v>
      </c>
      <c r="J28" s="39">
        <v>-539.11636856402959</v>
      </c>
      <c r="K28" s="38">
        <v>-662.58177537320125</v>
      </c>
      <c r="L28" s="39">
        <v>-806.50958815141314</v>
      </c>
      <c r="M28" s="38">
        <v>-982.8024441095173</v>
      </c>
      <c r="N28" s="39">
        <v>-1159.0663809012863</v>
      </c>
      <c r="O28" s="38">
        <v>-1374.8152107297697</v>
      </c>
      <c r="P28" s="39">
        <v>-1627.4354502443905</v>
      </c>
      <c r="Q28" s="38">
        <v>-1914.7915481891091</v>
      </c>
      <c r="R28" s="39">
        <v>-2251.3044788481679</v>
      </c>
      <c r="S28" s="38">
        <v>-2638.5206625194928</v>
      </c>
      <c r="T28" s="39">
        <v>-3082.6666747475501</v>
      </c>
      <c r="U28" s="38">
        <v>-3561.8304046191615</v>
      </c>
      <c r="V28" s="39">
        <v>-4034.1988312780195</v>
      </c>
      <c r="W28" s="38">
        <v>-4467.0299759566406</v>
      </c>
      <c r="X28" s="39">
        <v>-4852.879902810947</v>
      </c>
    </row>
    <row r="29" spans="1:24" ht="16.5" customHeight="1" x14ac:dyDescent="0.2">
      <c r="A29" s="98"/>
      <c r="B29" s="37" t="s">
        <v>66</v>
      </c>
      <c r="C29" s="38">
        <v>362.70472899966012</v>
      </c>
      <c r="D29" s="39">
        <v>28.365953305399991</v>
      </c>
      <c r="E29" s="38">
        <v>21.20568714861</v>
      </c>
      <c r="F29" s="39">
        <v>29.193069630820002</v>
      </c>
      <c r="G29" s="38">
        <v>159.1083737203202</v>
      </c>
      <c r="H29" s="39">
        <v>206.68593153224029</v>
      </c>
      <c r="I29" s="38">
        <v>187.5389768658803</v>
      </c>
      <c r="J29" s="39">
        <v>288.53004539455031</v>
      </c>
      <c r="K29" s="38">
        <v>357.42063910082015</v>
      </c>
      <c r="L29" s="39">
        <v>295.11026050372021</v>
      </c>
      <c r="M29" s="38">
        <v>389.01086319772008</v>
      </c>
      <c r="N29" s="39">
        <v>409.78678122474014</v>
      </c>
      <c r="O29" s="38">
        <v>444.70085437204</v>
      </c>
      <c r="P29" s="39">
        <v>469.12578156531009</v>
      </c>
      <c r="Q29" s="38">
        <v>460.64737428696026</v>
      </c>
      <c r="R29" s="39">
        <v>676.52717959451002</v>
      </c>
      <c r="S29" s="38">
        <v>1758.58376299768</v>
      </c>
      <c r="T29" s="39">
        <v>4658.79071445311</v>
      </c>
      <c r="U29" s="38">
        <v>7575.3215658833806</v>
      </c>
      <c r="V29" s="39">
        <v>7732.0265275067095</v>
      </c>
      <c r="W29" s="38">
        <v>8502.8904796779807</v>
      </c>
      <c r="X29" s="39">
        <v>8589.7167074683202</v>
      </c>
    </row>
    <row r="30" spans="1:24" ht="16.5" customHeight="1" x14ac:dyDescent="0.2">
      <c r="A30" s="98"/>
      <c r="B30" s="37" t="s">
        <v>59</v>
      </c>
      <c r="C30" s="38">
        <v>0</v>
      </c>
      <c r="D30" s="39">
        <v>0</v>
      </c>
      <c r="E30" s="38">
        <v>0</v>
      </c>
      <c r="F30" s="39">
        <v>0</v>
      </c>
      <c r="G30" s="38">
        <v>0</v>
      </c>
      <c r="H30" s="39">
        <v>0</v>
      </c>
      <c r="I30" s="38">
        <v>0</v>
      </c>
      <c r="J30" s="39">
        <v>0</v>
      </c>
      <c r="K30" s="38">
        <v>0</v>
      </c>
      <c r="L30" s="39">
        <v>0</v>
      </c>
      <c r="M30" s="38">
        <v>0</v>
      </c>
      <c r="N30" s="39">
        <v>0</v>
      </c>
      <c r="O30" s="38">
        <v>0</v>
      </c>
      <c r="P30" s="39">
        <v>0</v>
      </c>
      <c r="Q30" s="38">
        <v>0</v>
      </c>
      <c r="R30" s="39">
        <v>0</v>
      </c>
      <c r="S30" s="38">
        <v>0</v>
      </c>
      <c r="T30" s="39">
        <v>439.19999999998998</v>
      </c>
      <c r="U30" s="38">
        <v>438</v>
      </c>
      <c r="V30" s="39">
        <v>438</v>
      </c>
      <c r="W30" s="38">
        <v>438</v>
      </c>
      <c r="X30" s="39">
        <v>439.2</v>
      </c>
    </row>
    <row r="31" spans="1:24" ht="16.5" customHeight="1" x14ac:dyDescent="0.2">
      <c r="A31" s="98"/>
      <c r="B31" s="37" t="s">
        <v>67</v>
      </c>
      <c r="C31" s="38">
        <v>-453.38091124957515</v>
      </c>
      <c r="D31" s="39">
        <v>-35.457441631749987</v>
      </c>
      <c r="E31" s="38">
        <v>-26.507108935762499</v>
      </c>
      <c r="F31" s="39">
        <v>-36.491337038525003</v>
      </c>
      <c r="G31" s="38">
        <v>-198.88546715040025</v>
      </c>
      <c r="H31" s="39">
        <v>-258.35741441530035</v>
      </c>
      <c r="I31" s="38">
        <v>-234.42372108235037</v>
      </c>
      <c r="J31" s="39">
        <v>-360.66255674318785</v>
      </c>
      <c r="K31" s="38">
        <v>-446.77579887602519</v>
      </c>
      <c r="L31" s="39">
        <v>-368.88782562965025</v>
      </c>
      <c r="M31" s="38">
        <v>-486.26357899715009</v>
      </c>
      <c r="N31" s="39">
        <v>-512.23347653092515</v>
      </c>
      <c r="O31" s="38">
        <v>-555.87606796504997</v>
      </c>
      <c r="P31" s="39">
        <v>-586.4072269566376</v>
      </c>
      <c r="Q31" s="38">
        <v>-575.80921785870032</v>
      </c>
      <c r="R31" s="39">
        <v>-845.65897449313752</v>
      </c>
      <c r="S31" s="38">
        <v>-2198.2297037470998</v>
      </c>
      <c r="T31" s="39">
        <v>-5823.4883930663873</v>
      </c>
      <c r="U31" s="38">
        <v>-9469.1519573542246</v>
      </c>
      <c r="V31" s="39">
        <v>-9665.0331593833871</v>
      </c>
      <c r="W31" s="38">
        <v>-10628.613099597475</v>
      </c>
      <c r="X31" s="39">
        <v>-10737.145884335399</v>
      </c>
    </row>
    <row r="32" spans="1:24" ht="16.5" customHeight="1" x14ac:dyDescent="0.2">
      <c r="A32" s="98"/>
      <c r="B32" s="37" t="s">
        <v>68</v>
      </c>
      <c r="C32" s="38">
        <v>34.240154543462964</v>
      </c>
      <c r="D32" s="39">
        <v>59.541975375282036</v>
      </c>
      <c r="E32" s="38">
        <v>66.217437763877911</v>
      </c>
      <c r="F32" s="39">
        <v>114.24337689296067</v>
      </c>
      <c r="G32" s="38">
        <v>211.78408349309098</v>
      </c>
      <c r="H32" s="39">
        <v>292.23827042476239</v>
      </c>
      <c r="I32" s="38">
        <v>375.23471302290284</v>
      </c>
      <c r="J32" s="39">
        <v>485.20473170762659</v>
      </c>
      <c r="K32" s="38">
        <v>596.32359783588117</v>
      </c>
      <c r="L32" s="39">
        <v>725.85862933627186</v>
      </c>
      <c r="M32" s="38">
        <v>884.5221996985656</v>
      </c>
      <c r="N32" s="39">
        <v>1043.1597428111577</v>
      </c>
      <c r="O32" s="38">
        <v>1237.3336896567928</v>
      </c>
      <c r="P32" s="39">
        <v>1464.6919052199514</v>
      </c>
      <c r="Q32" s="38">
        <v>1723.3123933701982</v>
      </c>
      <c r="R32" s="39">
        <v>2026.174030963351</v>
      </c>
      <c r="S32" s="38">
        <v>2374.6685962675438</v>
      </c>
      <c r="T32" s="39">
        <v>2774.4000072727954</v>
      </c>
      <c r="U32" s="38">
        <v>3205.6473641572456</v>
      </c>
      <c r="V32" s="39">
        <v>3630.7789481502177</v>
      </c>
      <c r="W32" s="38">
        <v>4020.3269783609762</v>
      </c>
      <c r="X32" s="39">
        <v>4367.5919125298524</v>
      </c>
    </row>
    <row r="33" spans="1:24" ht="16.5" customHeight="1" thickBot="1" x14ac:dyDescent="0.25">
      <c r="A33" s="99"/>
      <c r="B33" s="37" t="s">
        <v>41</v>
      </c>
      <c r="C33" s="38">
        <v>2483</v>
      </c>
      <c r="D33" s="39">
        <v>2868</v>
      </c>
      <c r="E33" s="38">
        <v>3233</v>
      </c>
      <c r="F33" s="39">
        <v>3610</v>
      </c>
      <c r="G33" s="38">
        <v>3994</v>
      </c>
      <c r="H33" s="39">
        <v>4414</v>
      </c>
      <c r="I33" s="38">
        <v>4832</v>
      </c>
      <c r="J33" s="39">
        <v>5304</v>
      </c>
      <c r="K33" s="38">
        <v>5840</v>
      </c>
      <c r="L33" s="39">
        <v>6493</v>
      </c>
      <c r="M33" s="38">
        <v>7219</v>
      </c>
      <c r="N33" s="39">
        <v>8102</v>
      </c>
      <c r="O33" s="38">
        <v>9098</v>
      </c>
      <c r="P33" s="39">
        <v>10182</v>
      </c>
      <c r="Q33" s="38">
        <v>11145</v>
      </c>
      <c r="R33" s="39">
        <v>12009</v>
      </c>
      <c r="S33" s="38">
        <v>12700</v>
      </c>
      <c r="T33" s="39">
        <v>13275</v>
      </c>
      <c r="U33" s="38">
        <v>13658</v>
      </c>
      <c r="V33" s="39">
        <v>14031</v>
      </c>
      <c r="W33" s="38">
        <v>14344</v>
      </c>
      <c r="X33" s="39">
        <v>14672</v>
      </c>
    </row>
    <row r="34" spans="1:24" ht="16.5" customHeight="1" x14ac:dyDescent="0.2">
      <c r="A34" s="100" t="s">
        <v>36</v>
      </c>
      <c r="B34" s="46" t="s">
        <v>54</v>
      </c>
      <c r="C34" s="39">
        <v>54419.878606224527</v>
      </c>
      <c r="D34" s="38">
        <v>51133.122048606616</v>
      </c>
      <c r="E34" s="39">
        <v>46135.710708375314</v>
      </c>
      <c r="F34" s="38">
        <v>48995.621347709886</v>
      </c>
      <c r="G34" s="39">
        <v>53922.645985012961</v>
      </c>
      <c r="H34" s="38">
        <v>53393.09977654933</v>
      </c>
      <c r="I34" s="39">
        <v>52090.378012287583</v>
      </c>
      <c r="J34" s="38">
        <v>51933.407271942466</v>
      </c>
      <c r="K34" s="39">
        <v>46313.761633930713</v>
      </c>
      <c r="L34" s="38">
        <v>43117.110476097252</v>
      </c>
      <c r="M34" s="39">
        <v>44155.576585999028</v>
      </c>
      <c r="N34" s="38">
        <v>37767.252668866706</v>
      </c>
      <c r="O34" s="39">
        <v>37197.005018948359</v>
      </c>
      <c r="P34" s="38">
        <v>34271.547597737466</v>
      </c>
      <c r="Q34" s="39">
        <v>34373.909024439345</v>
      </c>
      <c r="R34" s="38">
        <v>35363.733361824809</v>
      </c>
      <c r="S34" s="39">
        <v>36276.257602305581</v>
      </c>
      <c r="T34" s="38">
        <v>36329.108516462184</v>
      </c>
      <c r="U34" s="39">
        <v>28148.498703353551</v>
      </c>
      <c r="V34" s="38">
        <v>24854.9290937552</v>
      </c>
      <c r="W34" s="39">
        <v>24906.943276575847</v>
      </c>
      <c r="X34" s="38">
        <v>24984.016529743552</v>
      </c>
    </row>
    <row r="35" spans="1:24" ht="16.5" customHeight="1" x14ac:dyDescent="0.2">
      <c r="A35" s="101"/>
      <c r="B35" s="46" t="s">
        <v>55</v>
      </c>
      <c r="C35" s="39">
        <v>0</v>
      </c>
      <c r="D35" s="38">
        <v>0</v>
      </c>
      <c r="E35" s="39">
        <v>0</v>
      </c>
      <c r="F35" s="38">
        <v>0</v>
      </c>
      <c r="G35" s="39">
        <v>0</v>
      </c>
      <c r="H35" s="38">
        <v>0</v>
      </c>
      <c r="I35" s="39">
        <v>0</v>
      </c>
      <c r="J35" s="38">
        <v>0</v>
      </c>
      <c r="K35" s="39">
        <v>0</v>
      </c>
      <c r="L35" s="38">
        <v>0</v>
      </c>
      <c r="M35" s="39">
        <v>0</v>
      </c>
      <c r="N35" s="38">
        <v>0</v>
      </c>
      <c r="O35" s="39">
        <v>0</v>
      </c>
      <c r="P35" s="38">
        <v>0</v>
      </c>
      <c r="Q35" s="39">
        <v>0</v>
      </c>
      <c r="R35" s="38">
        <v>0</v>
      </c>
      <c r="S35" s="39">
        <v>0</v>
      </c>
      <c r="T35" s="38">
        <v>0</v>
      </c>
      <c r="U35" s="39">
        <v>0</v>
      </c>
      <c r="V35" s="38">
        <v>0</v>
      </c>
      <c r="W35" s="39">
        <v>0</v>
      </c>
      <c r="X35" s="38">
        <v>0</v>
      </c>
    </row>
    <row r="36" spans="1:24" ht="16.5" customHeight="1" x14ac:dyDescent="0.2">
      <c r="A36" s="101"/>
      <c r="B36" s="46" t="s">
        <v>17</v>
      </c>
      <c r="C36" s="39">
        <v>707.31977613253093</v>
      </c>
      <c r="D36" s="38">
        <v>709.25763853293097</v>
      </c>
      <c r="E36" s="39">
        <v>707.31977613257095</v>
      </c>
      <c r="F36" s="38">
        <v>707.31977613258096</v>
      </c>
      <c r="G36" s="39">
        <v>707.31977613261097</v>
      </c>
      <c r="H36" s="38">
        <v>709.25763853294097</v>
      </c>
      <c r="I36" s="39">
        <v>707.31977613254094</v>
      </c>
      <c r="J36" s="38">
        <v>707.31977613256095</v>
      </c>
      <c r="K36" s="39">
        <v>707.31977613257095</v>
      </c>
      <c r="L36" s="38">
        <v>709.25763853297099</v>
      </c>
      <c r="M36" s="39">
        <v>707.31977613257004</v>
      </c>
      <c r="N36" s="38">
        <v>707.31977613258005</v>
      </c>
      <c r="O36" s="39">
        <v>707.31977613258005</v>
      </c>
      <c r="P36" s="38">
        <v>709.25763853295007</v>
      </c>
      <c r="Q36" s="39">
        <v>707.31977613260005</v>
      </c>
      <c r="R36" s="38">
        <v>707.31977613259005</v>
      </c>
      <c r="S36" s="39">
        <v>707.31977613257004</v>
      </c>
      <c r="T36" s="38">
        <v>709.25763853293097</v>
      </c>
      <c r="U36" s="39">
        <v>707.31977613257095</v>
      </c>
      <c r="V36" s="38">
        <v>707.31977613259096</v>
      </c>
      <c r="W36" s="39">
        <v>707.31977613256095</v>
      </c>
      <c r="X36" s="38">
        <v>709.25763853294097</v>
      </c>
    </row>
    <row r="37" spans="1:24" ht="16.5" customHeight="1" x14ac:dyDescent="0.2">
      <c r="A37" s="101"/>
      <c r="B37" s="46" t="s">
        <v>44</v>
      </c>
      <c r="C37" s="39">
        <v>5735.3622204108624</v>
      </c>
      <c r="D37" s="38">
        <v>5023.986843882758</v>
      </c>
      <c r="E37" s="39">
        <v>4938.3819161477404</v>
      </c>
      <c r="F37" s="38">
        <v>2333.693844473923</v>
      </c>
      <c r="G37" s="39">
        <v>4201.7876822393255</v>
      </c>
      <c r="H37" s="38">
        <v>3166.2752236289539</v>
      </c>
      <c r="I37" s="39">
        <v>2876.281414869235</v>
      </c>
      <c r="J37" s="38">
        <v>4153.9657883286745</v>
      </c>
      <c r="K37" s="39">
        <v>5637.6047606509765</v>
      </c>
      <c r="L37" s="38">
        <v>3249.8532998357159</v>
      </c>
      <c r="M37" s="39">
        <v>4997.6251087102282</v>
      </c>
      <c r="N37" s="38">
        <v>6653.9690418998025</v>
      </c>
      <c r="O37" s="39">
        <v>5863.5137191351796</v>
      </c>
      <c r="P37" s="38">
        <v>7065.8393261223518</v>
      </c>
      <c r="Q37" s="39">
        <v>7378.1617131293679</v>
      </c>
      <c r="R37" s="38">
        <v>7267.5344535896684</v>
      </c>
      <c r="S37" s="39">
        <v>6179.0897727804177</v>
      </c>
      <c r="T37" s="38">
        <v>6026.9272300454104</v>
      </c>
      <c r="U37" s="39">
        <v>7233.4063976077396</v>
      </c>
      <c r="V37" s="38">
        <v>7200.5009649679841</v>
      </c>
      <c r="W37" s="39">
        <v>7335.0375188007238</v>
      </c>
      <c r="X37" s="38">
        <v>7308.6857711614412</v>
      </c>
    </row>
    <row r="38" spans="1:24" ht="16.5" customHeight="1" x14ac:dyDescent="0.2">
      <c r="A38" s="101"/>
      <c r="B38" s="46" t="s">
        <v>56</v>
      </c>
      <c r="C38" s="39">
        <v>256.94604342773999</v>
      </c>
      <c r="D38" s="38">
        <v>17.248792811919998</v>
      </c>
      <c r="E38" s="39">
        <v>8.0445351988499993</v>
      </c>
      <c r="F38" s="38">
        <v>6.0980548432100008</v>
      </c>
      <c r="G38" s="39">
        <v>43.04296203314</v>
      </c>
      <c r="H38" s="38">
        <v>39.838725338789999</v>
      </c>
      <c r="I38" s="39">
        <v>26.089177246949998</v>
      </c>
      <c r="J38" s="38">
        <v>98.230026528780002</v>
      </c>
      <c r="K38" s="39">
        <v>319.46193016648004</v>
      </c>
      <c r="L38" s="38">
        <v>93.801776861939999</v>
      </c>
      <c r="M38" s="39">
        <v>216.5200586119</v>
      </c>
      <c r="N38" s="38">
        <v>860.15156971387194</v>
      </c>
      <c r="O38" s="39">
        <v>535.74299785766993</v>
      </c>
      <c r="P38" s="38">
        <v>869.32356624984106</v>
      </c>
      <c r="Q38" s="39">
        <v>1275.7425649831021</v>
      </c>
      <c r="R38" s="38">
        <v>1133.045994088342</v>
      </c>
      <c r="S38" s="39">
        <v>1386.3419644834601</v>
      </c>
      <c r="T38" s="38">
        <v>1425.4949487093202</v>
      </c>
      <c r="U38" s="39">
        <v>2151.2386938076902</v>
      </c>
      <c r="V38" s="38">
        <v>2136.6073585462113</v>
      </c>
      <c r="W38" s="39">
        <v>1788.9118963357321</v>
      </c>
      <c r="X38" s="38">
        <v>1786.0702818484599</v>
      </c>
    </row>
    <row r="39" spans="1:24" ht="16.5" customHeight="1" x14ac:dyDescent="0.2">
      <c r="A39" s="101"/>
      <c r="B39" s="46" t="s">
        <v>18</v>
      </c>
      <c r="C39" s="39">
        <v>878.38393203494002</v>
      </c>
      <c r="D39" s="38">
        <v>2745.26960147714</v>
      </c>
      <c r="E39" s="39">
        <v>2749.5290111218501</v>
      </c>
      <c r="F39" s="38">
        <v>2746.4046902763803</v>
      </c>
      <c r="G39" s="39">
        <v>2756.3899309138801</v>
      </c>
      <c r="H39" s="38">
        <v>2787.7038596206903</v>
      </c>
      <c r="I39" s="39">
        <v>2741.7424463952302</v>
      </c>
      <c r="J39" s="38">
        <v>2752.7054666010899</v>
      </c>
      <c r="K39" s="39">
        <v>3299.99999999994</v>
      </c>
      <c r="L39" s="38">
        <v>3850.0000000000095</v>
      </c>
      <c r="M39" s="39">
        <v>4415.2199428896402</v>
      </c>
      <c r="N39" s="38">
        <v>4875.0000000001501</v>
      </c>
      <c r="O39" s="39">
        <v>4356.1664677852896</v>
      </c>
      <c r="P39" s="38">
        <v>4328.9049317072295</v>
      </c>
      <c r="Q39" s="39">
        <v>4264.4572519393896</v>
      </c>
      <c r="R39" s="38">
        <v>4266.8847933460902</v>
      </c>
      <c r="S39" s="39">
        <v>4141.8010541167096</v>
      </c>
      <c r="T39" s="38">
        <v>4138.78653168865</v>
      </c>
      <c r="U39" s="39">
        <v>4423.2911021794298</v>
      </c>
      <c r="V39" s="38">
        <v>4880.8896466084598</v>
      </c>
      <c r="W39" s="39">
        <v>4916.7598417692998</v>
      </c>
      <c r="X39" s="38">
        <v>4968.3273973923806</v>
      </c>
    </row>
    <row r="40" spans="1:24" ht="16.5" customHeight="1" x14ac:dyDescent="0.2">
      <c r="A40" s="101"/>
      <c r="B40" s="46" t="s">
        <v>57</v>
      </c>
      <c r="C40" s="39">
        <v>2730.0896288468903</v>
      </c>
      <c r="D40" s="38">
        <v>3152.3599076272599</v>
      </c>
      <c r="E40" s="39">
        <v>3131.2731483433299</v>
      </c>
      <c r="F40" s="38">
        <v>3144.4284083820303</v>
      </c>
      <c r="G40" s="39">
        <v>3133.4510383594807</v>
      </c>
      <c r="H40" s="38">
        <v>3153.7897929087394</v>
      </c>
      <c r="I40" s="39">
        <v>5258.2575536048498</v>
      </c>
      <c r="J40" s="38">
        <v>8047.2945333990192</v>
      </c>
      <c r="K40" s="39">
        <v>9900.0000000001019</v>
      </c>
      <c r="L40" s="38">
        <v>11550.000000000229</v>
      </c>
      <c r="M40" s="39">
        <v>13084.780057110733</v>
      </c>
      <c r="N40" s="38">
        <v>14625.000000000113</v>
      </c>
      <c r="O40" s="39">
        <v>14469.12993382654</v>
      </c>
      <c r="P40" s="38">
        <v>14362.180549876211</v>
      </c>
      <c r="Q40" s="39">
        <v>14473.63922031636</v>
      </c>
      <c r="R40" s="38">
        <v>14349.63284234178</v>
      </c>
      <c r="S40" s="39">
        <v>14260.975509118611</v>
      </c>
      <c r="T40" s="38">
        <v>14403.07738931739</v>
      </c>
      <c r="U40" s="39">
        <v>16537.791031755551</v>
      </c>
      <c r="V40" s="38">
        <v>17952.558254386102</v>
      </c>
      <c r="W40" s="39">
        <v>19239.568933454349</v>
      </c>
      <c r="X40" s="38">
        <v>19924.128763567842</v>
      </c>
    </row>
    <row r="41" spans="1:24" ht="16.5" customHeight="1" x14ac:dyDescent="0.2">
      <c r="A41" s="101"/>
      <c r="B41" s="46" t="s">
        <v>65</v>
      </c>
      <c r="C41" s="39">
        <v>-35.933224486658325</v>
      </c>
      <c r="D41" s="38">
        <v>-63.795041306628455</v>
      </c>
      <c r="E41" s="39">
        <v>-71.94324365764821</v>
      </c>
      <c r="F41" s="38">
        <v>-127.89008087274532</v>
      </c>
      <c r="G41" s="39">
        <v>-229.61493507773531</v>
      </c>
      <c r="H41" s="38">
        <v>-307.64483461955984</v>
      </c>
      <c r="I41" s="39">
        <v>-381.50495764057206</v>
      </c>
      <c r="J41" s="38">
        <v>-477.94420586014678</v>
      </c>
      <c r="K41" s="39">
        <v>-593.13646481634726</v>
      </c>
      <c r="L41" s="38">
        <v>-736.45335836468212</v>
      </c>
      <c r="M41" s="39">
        <v>-1018.1650721257056</v>
      </c>
      <c r="N41" s="38">
        <v>-1218.9986116668695</v>
      </c>
      <c r="O41" s="39">
        <v>-1240.5809784406431</v>
      </c>
      <c r="P41" s="38">
        <v>-1494.2618561833012</v>
      </c>
      <c r="Q41" s="39">
        <v>-1796.4945045903003</v>
      </c>
      <c r="R41" s="38">
        <v>-2155.8552151577551</v>
      </c>
      <c r="S41" s="39">
        <v>-2559.1152629838316</v>
      </c>
      <c r="T41" s="38">
        <v>-2965.6266923257863</v>
      </c>
      <c r="U41" s="39">
        <v>-3325.789582625916</v>
      </c>
      <c r="V41" s="38">
        <v>-3636.3364831919744</v>
      </c>
      <c r="W41" s="39">
        <v>-3898.2558326829908</v>
      </c>
      <c r="X41" s="38">
        <v>-4131.4657784214896</v>
      </c>
    </row>
    <row r="42" spans="1:24" ht="16.5" customHeight="1" x14ac:dyDescent="0.2">
      <c r="A42" s="101"/>
      <c r="B42" s="46" t="s">
        <v>66</v>
      </c>
      <c r="C42" s="39">
        <v>679.25867431945005</v>
      </c>
      <c r="D42" s="38">
        <v>24.8776635513</v>
      </c>
      <c r="E42" s="39">
        <v>20.124954929379999</v>
      </c>
      <c r="F42" s="38">
        <v>67.557851461269991</v>
      </c>
      <c r="G42" s="39">
        <v>239.32078223393063</v>
      </c>
      <c r="H42" s="38">
        <v>247.40059944033052</v>
      </c>
      <c r="I42" s="39">
        <v>373.70959344637049</v>
      </c>
      <c r="J42" s="38">
        <v>655.8361111215105</v>
      </c>
      <c r="K42" s="39">
        <v>849.96394483883057</v>
      </c>
      <c r="L42" s="38">
        <v>774.84392154168052</v>
      </c>
      <c r="M42" s="39">
        <v>903.7453309324203</v>
      </c>
      <c r="N42" s="38">
        <v>2256.7710760656892</v>
      </c>
      <c r="O42" s="39">
        <v>2231.8032007827296</v>
      </c>
      <c r="P42" s="38">
        <v>2259.3983914523592</v>
      </c>
      <c r="Q42" s="39">
        <v>2814.635511329519</v>
      </c>
      <c r="R42" s="38">
        <v>2911.9500004033503</v>
      </c>
      <c r="S42" s="39">
        <v>2911.7387653986989</v>
      </c>
      <c r="T42" s="38">
        <v>3390.9379579460401</v>
      </c>
      <c r="U42" s="39">
        <v>6122.8131928891198</v>
      </c>
      <c r="V42" s="38">
        <v>6958.9302692304409</v>
      </c>
      <c r="W42" s="39">
        <v>8034.8206636192399</v>
      </c>
      <c r="X42" s="38">
        <v>8420.6003278199205</v>
      </c>
    </row>
    <row r="43" spans="1:24" ht="16.5" customHeight="1" x14ac:dyDescent="0.2">
      <c r="A43" s="101"/>
      <c r="B43" s="46" t="s">
        <v>59</v>
      </c>
      <c r="C43" s="39">
        <v>0</v>
      </c>
      <c r="D43" s="38">
        <v>0</v>
      </c>
      <c r="E43" s="39">
        <v>0</v>
      </c>
      <c r="F43" s="38">
        <v>0</v>
      </c>
      <c r="G43" s="39">
        <v>0</v>
      </c>
      <c r="H43" s="38">
        <v>0</v>
      </c>
      <c r="I43" s="39">
        <v>0</v>
      </c>
      <c r="J43" s="38">
        <v>0</v>
      </c>
      <c r="K43" s="39">
        <v>0</v>
      </c>
      <c r="L43" s="38">
        <v>0</v>
      </c>
      <c r="M43" s="39">
        <v>0</v>
      </c>
      <c r="N43" s="38">
        <v>0</v>
      </c>
      <c r="O43" s="39">
        <v>0</v>
      </c>
      <c r="P43" s="38">
        <v>0</v>
      </c>
      <c r="Q43" s="39">
        <v>0</v>
      </c>
      <c r="R43" s="38">
        <v>0</v>
      </c>
      <c r="S43" s="39">
        <v>0</v>
      </c>
      <c r="T43" s="38">
        <v>0</v>
      </c>
      <c r="U43" s="39">
        <v>0</v>
      </c>
      <c r="V43" s="38">
        <v>0</v>
      </c>
      <c r="W43" s="39">
        <v>0</v>
      </c>
      <c r="X43" s="38">
        <v>0</v>
      </c>
    </row>
    <row r="44" spans="1:24" ht="16.5" customHeight="1" x14ac:dyDescent="0.2">
      <c r="A44" s="101"/>
      <c r="B44" s="46" t="s">
        <v>67</v>
      </c>
      <c r="C44" s="39">
        <v>-849.07334289931248</v>
      </c>
      <c r="D44" s="38">
        <v>-31.097079439124997</v>
      </c>
      <c r="E44" s="39">
        <v>-25.156193661724998</v>
      </c>
      <c r="F44" s="38">
        <v>-84.447314326587488</v>
      </c>
      <c r="G44" s="39">
        <v>-299.15097779241324</v>
      </c>
      <c r="H44" s="38">
        <v>-309.25074930041313</v>
      </c>
      <c r="I44" s="39">
        <v>-467.13699180796311</v>
      </c>
      <c r="J44" s="38">
        <v>-819.79513890188809</v>
      </c>
      <c r="K44" s="39">
        <v>-1062.4549310485381</v>
      </c>
      <c r="L44" s="38">
        <v>-968.55490192710056</v>
      </c>
      <c r="M44" s="39">
        <v>-1129.6816636655253</v>
      </c>
      <c r="N44" s="38">
        <v>-2820.9638450821112</v>
      </c>
      <c r="O44" s="39">
        <v>-2789.754000978412</v>
      </c>
      <c r="P44" s="38">
        <v>-2824.2479893154486</v>
      </c>
      <c r="Q44" s="39">
        <v>-3518.2943891618984</v>
      </c>
      <c r="R44" s="38">
        <v>-3639.9375005041875</v>
      </c>
      <c r="S44" s="39">
        <v>-3639.6734567483736</v>
      </c>
      <c r="T44" s="38">
        <v>-4238.6724474325501</v>
      </c>
      <c r="U44" s="39">
        <v>-7653.5164911113998</v>
      </c>
      <c r="V44" s="38">
        <v>-8698.6628365380511</v>
      </c>
      <c r="W44" s="39">
        <v>-10043.525829524049</v>
      </c>
      <c r="X44" s="38">
        <v>-10525.750409774901</v>
      </c>
    </row>
    <row r="45" spans="1:24" ht="16.5" customHeight="1" x14ac:dyDescent="0.2">
      <c r="A45" s="101"/>
      <c r="B45" s="46" t="s">
        <v>68</v>
      </c>
      <c r="C45" s="39">
        <v>32.339902037992495</v>
      </c>
      <c r="D45" s="38">
        <v>57.415537175965611</v>
      </c>
      <c r="E45" s="39">
        <v>64.748919291883396</v>
      </c>
      <c r="F45" s="38">
        <v>115.10107278547079</v>
      </c>
      <c r="G45" s="39">
        <v>206.65344156996179</v>
      </c>
      <c r="H45" s="38">
        <v>276.88035115760385</v>
      </c>
      <c r="I45" s="39">
        <v>343.35446187651485</v>
      </c>
      <c r="J45" s="38">
        <v>430.14978527413211</v>
      </c>
      <c r="K45" s="39">
        <v>533.82281833471257</v>
      </c>
      <c r="L45" s="38">
        <v>662.80802252821388</v>
      </c>
      <c r="M45" s="39">
        <v>916.34856491313508</v>
      </c>
      <c r="N45" s="38">
        <v>1097.0987505001826</v>
      </c>
      <c r="O45" s="39">
        <v>1116.5228805965787</v>
      </c>
      <c r="P45" s="38">
        <v>1344.8356705649712</v>
      </c>
      <c r="Q45" s="39">
        <v>1616.8450541312702</v>
      </c>
      <c r="R45" s="38">
        <v>1940.2696936419795</v>
      </c>
      <c r="S45" s="39">
        <v>2303.2037366854483</v>
      </c>
      <c r="T45" s="38">
        <v>2669.0640230932077</v>
      </c>
      <c r="U45" s="39">
        <v>2993.2106243633243</v>
      </c>
      <c r="V45" s="38">
        <v>3272.7028348727772</v>
      </c>
      <c r="W45" s="39">
        <v>3508.4302494146918</v>
      </c>
      <c r="X45" s="38">
        <v>3718.3192005793408</v>
      </c>
    </row>
    <row r="46" spans="1:24" ht="16.5" customHeight="1" thickBot="1" x14ac:dyDescent="0.25">
      <c r="A46" s="102"/>
      <c r="B46" s="46" t="s">
        <v>41</v>
      </c>
      <c r="C46" s="39">
        <v>2975</v>
      </c>
      <c r="D46" s="38">
        <v>3222</v>
      </c>
      <c r="E46" s="39">
        <v>3461</v>
      </c>
      <c r="F46" s="38">
        <v>3720</v>
      </c>
      <c r="G46" s="39">
        <v>3993</v>
      </c>
      <c r="H46" s="38">
        <v>4303</v>
      </c>
      <c r="I46" s="39">
        <v>4622</v>
      </c>
      <c r="J46" s="38">
        <v>5021</v>
      </c>
      <c r="K46" s="39">
        <v>5523</v>
      </c>
      <c r="L46" s="38">
        <v>6188</v>
      </c>
      <c r="M46" s="39">
        <v>6972</v>
      </c>
      <c r="N46" s="38">
        <v>7922</v>
      </c>
      <c r="O46" s="39">
        <v>8927</v>
      </c>
      <c r="P46" s="38">
        <v>9888</v>
      </c>
      <c r="Q46" s="39">
        <v>10610</v>
      </c>
      <c r="R46" s="38">
        <v>11175</v>
      </c>
      <c r="S46" s="39">
        <v>11620</v>
      </c>
      <c r="T46" s="38">
        <v>12032</v>
      </c>
      <c r="U46" s="39">
        <v>12286</v>
      </c>
      <c r="V46" s="38">
        <v>12538</v>
      </c>
      <c r="W46" s="39">
        <v>12764</v>
      </c>
      <c r="X46" s="38">
        <v>13021</v>
      </c>
    </row>
    <row r="47" spans="1:24" ht="16.5" customHeight="1" x14ac:dyDescent="0.2">
      <c r="A47" s="97" t="s">
        <v>38</v>
      </c>
      <c r="B47" s="37" t="s">
        <v>54</v>
      </c>
      <c r="C47" s="38">
        <v>0</v>
      </c>
      <c r="D47" s="39">
        <v>0</v>
      </c>
      <c r="E47" s="38">
        <v>0</v>
      </c>
      <c r="F47" s="39">
        <v>0</v>
      </c>
      <c r="G47" s="38">
        <v>0</v>
      </c>
      <c r="H47" s="39">
        <v>0</v>
      </c>
      <c r="I47" s="38">
        <v>0</v>
      </c>
      <c r="J47" s="39">
        <v>0</v>
      </c>
      <c r="K47" s="38">
        <v>0</v>
      </c>
      <c r="L47" s="39">
        <v>0</v>
      </c>
      <c r="M47" s="38">
        <v>0</v>
      </c>
      <c r="N47" s="39">
        <v>0</v>
      </c>
      <c r="O47" s="38">
        <v>0</v>
      </c>
      <c r="P47" s="39">
        <v>0</v>
      </c>
      <c r="Q47" s="38">
        <v>0</v>
      </c>
      <c r="R47" s="39">
        <v>0</v>
      </c>
      <c r="S47" s="38">
        <v>0</v>
      </c>
      <c r="T47" s="39">
        <v>0</v>
      </c>
      <c r="U47" s="38">
        <v>0</v>
      </c>
      <c r="V47" s="39">
        <v>0</v>
      </c>
      <c r="W47" s="38">
        <v>0</v>
      </c>
      <c r="X47" s="39">
        <v>0</v>
      </c>
    </row>
    <row r="48" spans="1:24" ht="16.5" customHeight="1" x14ac:dyDescent="0.2">
      <c r="A48" s="98"/>
      <c r="B48" s="37" t="s">
        <v>55</v>
      </c>
      <c r="C48" s="38">
        <v>0</v>
      </c>
      <c r="D48" s="39">
        <v>0</v>
      </c>
      <c r="E48" s="38">
        <v>0</v>
      </c>
      <c r="F48" s="39">
        <v>0</v>
      </c>
      <c r="G48" s="38">
        <v>0</v>
      </c>
      <c r="H48" s="39">
        <v>0</v>
      </c>
      <c r="I48" s="38">
        <v>0</v>
      </c>
      <c r="J48" s="39">
        <v>0</v>
      </c>
      <c r="K48" s="38">
        <v>0</v>
      </c>
      <c r="L48" s="39">
        <v>0</v>
      </c>
      <c r="M48" s="38">
        <v>0</v>
      </c>
      <c r="N48" s="39">
        <v>0</v>
      </c>
      <c r="O48" s="38">
        <v>0</v>
      </c>
      <c r="P48" s="39">
        <v>0</v>
      </c>
      <c r="Q48" s="38">
        <v>0</v>
      </c>
      <c r="R48" s="39">
        <v>0</v>
      </c>
      <c r="S48" s="38">
        <v>0</v>
      </c>
      <c r="T48" s="39">
        <v>0</v>
      </c>
      <c r="U48" s="38">
        <v>0</v>
      </c>
      <c r="V48" s="39">
        <v>0</v>
      </c>
      <c r="W48" s="38">
        <v>0</v>
      </c>
      <c r="X48" s="39">
        <v>0</v>
      </c>
    </row>
    <row r="49" spans="1:24" ht="16.5" customHeight="1" x14ac:dyDescent="0.2">
      <c r="A49" s="98"/>
      <c r="B49" s="37" t="s">
        <v>17</v>
      </c>
      <c r="C49" s="38">
        <v>0</v>
      </c>
      <c r="D49" s="39">
        <v>0</v>
      </c>
      <c r="E49" s="38">
        <v>0</v>
      </c>
      <c r="F49" s="39">
        <v>0</v>
      </c>
      <c r="G49" s="38">
        <v>0</v>
      </c>
      <c r="H49" s="39">
        <v>0</v>
      </c>
      <c r="I49" s="38">
        <v>0</v>
      </c>
      <c r="J49" s="39">
        <v>0</v>
      </c>
      <c r="K49" s="38">
        <v>0</v>
      </c>
      <c r="L49" s="39">
        <v>0</v>
      </c>
      <c r="M49" s="38">
        <v>0</v>
      </c>
      <c r="N49" s="39">
        <v>0</v>
      </c>
      <c r="O49" s="38">
        <v>0</v>
      </c>
      <c r="P49" s="39">
        <v>0</v>
      </c>
      <c r="Q49" s="38">
        <v>0</v>
      </c>
      <c r="R49" s="39">
        <v>0</v>
      </c>
      <c r="S49" s="38">
        <v>0</v>
      </c>
      <c r="T49" s="39">
        <v>0</v>
      </c>
      <c r="U49" s="38">
        <v>0</v>
      </c>
      <c r="V49" s="39">
        <v>0</v>
      </c>
      <c r="W49" s="38">
        <v>0</v>
      </c>
      <c r="X49" s="39">
        <v>0</v>
      </c>
    </row>
    <row r="50" spans="1:24" ht="16.5" customHeight="1" x14ac:dyDescent="0.2">
      <c r="A50" s="98"/>
      <c r="B50" s="37" t="s">
        <v>44</v>
      </c>
      <c r="C50" s="38">
        <v>5435</v>
      </c>
      <c r="D50" s="39">
        <v>4520</v>
      </c>
      <c r="E50" s="38">
        <v>4500</v>
      </c>
      <c r="F50" s="39">
        <v>4511</v>
      </c>
      <c r="G50" s="38">
        <v>4510</v>
      </c>
      <c r="H50" s="39">
        <v>4513</v>
      </c>
      <c r="I50" s="38">
        <v>0</v>
      </c>
      <c r="J50" s="39">
        <v>0</v>
      </c>
      <c r="K50" s="38">
        <v>0</v>
      </c>
      <c r="L50" s="39">
        <v>0</v>
      </c>
      <c r="M50" s="38">
        <v>0</v>
      </c>
      <c r="N50" s="39">
        <v>0</v>
      </c>
      <c r="O50" s="38">
        <v>0</v>
      </c>
      <c r="P50" s="39">
        <v>0</v>
      </c>
      <c r="Q50" s="38">
        <v>0</v>
      </c>
      <c r="R50" s="39">
        <v>0</v>
      </c>
      <c r="S50" s="38">
        <v>0</v>
      </c>
      <c r="T50" s="39">
        <v>0</v>
      </c>
      <c r="U50" s="38">
        <v>0</v>
      </c>
      <c r="V50" s="39">
        <v>0</v>
      </c>
      <c r="W50" s="38">
        <v>0</v>
      </c>
      <c r="X50" s="39">
        <v>0</v>
      </c>
    </row>
    <row r="51" spans="1:24" ht="16.5" customHeight="1" x14ac:dyDescent="0.2">
      <c r="A51" s="98"/>
      <c r="B51" s="37" t="s">
        <v>56</v>
      </c>
      <c r="C51" s="38">
        <v>842</v>
      </c>
      <c r="D51" s="39">
        <v>368</v>
      </c>
      <c r="E51" s="38">
        <v>363</v>
      </c>
      <c r="F51" s="39">
        <v>54</v>
      </c>
      <c r="G51" s="38">
        <v>87</v>
      </c>
      <c r="H51" s="39">
        <v>65</v>
      </c>
      <c r="I51" s="38">
        <v>87</v>
      </c>
      <c r="J51" s="39">
        <v>150</v>
      </c>
      <c r="K51" s="38">
        <v>227</v>
      </c>
      <c r="L51" s="39">
        <v>56</v>
      </c>
      <c r="M51" s="38">
        <v>237</v>
      </c>
      <c r="N51" s="39">
        <v>301</v>
      </c>
      <c r="O51" s="38">
        <v>147</v>
      </c>
      <c r="P51" s="39">
        <v>152</v>
      </c>
      <c r="Q51" s="38">
        <v>555</v>
      </c>
      <c r="R51" s="39">
        <v>485</v>
      </c>
      <c r="S51" s="38">
        <v>740</v>
      </c>
      <c r="T51" s="39">
        <v>712</v>
      </c>
      <c r="U51" s="38">
        <v>690</v>
      </c>
      <c r="V51" s="39">
        <v>587</v>
      </c>
      <c r="W51" s="38">
        <v>580</v>
      </c>
      <c r="X51" s="39">
        <v>589</v>
      </c>
    </row>
    <row r="52" spans="1:24" ht="16.5" customHeight="1" x14ac:dyDescent="0.2">
      <c r="A52" s="98"/>
      <c r="B52" s="37" t="s">
        <v>18</v>
      </c>
      <c r="C52" s="38">
        <v>6665.3443150659214</v>
      </c>
      <c r="D52" s="39">
        <v>6549.3801917600604</v>
      </c>
      <c r="E52" s="38">
        <v>6423.3419617147511</v>
      </c>
      <c r="F52" s="39">
        <v>6392.1779305722912</v>
      </c>
      <c r="G52" s="38">
        <v>6527.8117648447696</v>
      </c>
      <c r="H52" s="39">
        <v>6496.92928042925</v>
      </c>
      <c r="I52" s="38">
        <v>6672.1132134021891</v>
      </c>
      <c r="J52" s="39">
        <v>6614.9601775223891</v>
      </c>
      <c r="K52" s="38">
        <v>6614.35309326879</v>
      </c>
      <c r="L52" s="39">
        <v>6502.4928434994299</v>
      </c>
      <c r="M52" s="38">
        <v>6561.0748211852306</v>
      </c>
      <c r="N52" s="39">
        <v>6432.9280435246192</v>
      </c>
      <c r="O52" s="38">
        <v>6271.739198446051</v>
      </c>
      <c r="P52" s="39">
        <v>6208.6551403315798</v>
      </c>
      <c r="Q52" s="38">
        <v>6240.320493715989</v>
      </c>
      <c r="R52" s="39">
        <v>6306.0369357346299</v>
      </c>
      <c r="S52" s="38">
        <v>6328.1331422383182</v>
      </c>
      <c r="T52" s="39">
        <v>6205.2501282908206</v>
      </c>
      <c r="U52" s="38">
        <v>6343.1233109599689</v>
      </c>
      <c r="V52" s="39">
        <v>6287.092933463171</v>
      </c>
      <c r="W52" s="38">
        <v>6910.1174910000682</v>
      </c>
      <c r="X52" s="39">
        <v>7082.1826325726106</v>
      </c>
    </row>
    <row r="53" spans="1:24" ht="16.5" customHeight="1" x14ac:dyDescent="0.2">
      <c r="A53" s="98"/>
      <c r="B53" s="37" t="s">
        <v>57</v>
      </c>
      <c r="C53" s="38">
        <v>412.73092924625001</v>
      </c>
      <c r="D53" s="39">
        <v>885.33713507189998</v>
      </c>
      <c r="E53" s="38">
        <v>880.81663947304003</v>
      </c>
      <c r="F53" s="39">
        <v>878.31737692405011</v>
      </c>
      <c r="G53" s="38">
        <v>1034.21653474757</v>
      </c>
      <c r="H53" s="39">
        <v>1036.2150373982702</v>
      </c>
      <c r="I53" s="38">
        <v>2194.5133405787101</v>
      </c>
      <c r="J53" s="39">
        <v>2910.2129253497001</v>
      </c>
      <c r="K53" s="38">
        <v>2912.3980471044001</v>
      </c>
      <c r="L53" s="39">
        <v>2907.3880698254802</v>
      </c>
      <c r="M53" s="38">
        <v>2899.7447655012702</v>
      </c>
      <c r="N53" s="39">
        <v>2886.0341392782002</v>
      </c>
      <c r="O53" s="38">
        <v>2870.5889253625601</v>
      </c>
      <c r="P53" s="39">
        <v>2839.1187737256</v>
      </c>
      <c r="Q53" s="38">
        <v>2835.11134086122</v>
      </c>
      <c r="R53" s="39">
        <v>2848.4741079594201</v>
      </c>
      <c r="S53" s="38">
        <v>4579.5321276529203</v>
      </c>
      <c r="T53" s="39">
        <v>6087.0882321257595</v>
      </c>
      <c r="U53" s="38">
        <v>6028.6255392828398</v>
      </c>
      <c r="V53" s="39">
        <v>6026.4964271748795</v>
      </c>
      <c r="W53" s="38">
        <v>5987.5665991216501</v>
      </c>
      <c r="X53" s="39">
        <v>6018.6554259444201</v>
      </c>
    </row>
    <row r="54" spans="1:24" ht="16.5" customHeight="1" x14ac:dyDescent="0.2">
      <c r="A54" s="98"/>
      <c r="B54" s="37" t="s">
        <v>65</v>
      </c>
      <c r="C54" s="38">
        <v>-23.595877552641408</v>
      </c>
      <c r="D54" s="39">
        <v>-41.392607029209266</v>
      </c>
      <c r="E54" s="38">
        <v>-62.141507164324857</v>
      </c>
      <c r="F54" s="39">
        <v>-96.138912613949202</v>
      </c>
      <c r="G54" s="38">
        <v>-138.76573535735102</v>
      </c>
      <c r="H54" s="39">
        <v>-187.44739433725809</v>
      </c>
      <c r="I54" s="38">
        <v>-238.03801701565135</v>
      </c>
      <c r="J54" s="39">
        <v>-292.26753578297684</v>
      </c>
      <c r="K54" s="38">
        <v>-353.07728270537797</v>
      </c>
      <c r="L54" s="39">
        <v>-425.30770246811005</v>
      </c>
      <c r="M54" s="38">
        <v>-506.93680904727836</v>
      </c>
      <c r="N54" s="39">
        <v>-590.14904539619965</v>
      </c>
      <c r="O54" s="38">
        <v>-674.26029754189449</v>
      </c>
      <c r="P54" s="39">
        <v>-752.26736075575991</v>
      </c>
      <c r="Q54" s="38">
        <v>-826.82934139995166</v>
      </c>
      <c r="R54" s="39">
        <v>-897.79608989934559</v>
      </c>
      <c r="S54" s="38">
        <v>-965.05796920995363</v>
      </c>
      <c r="T54" s="39">
        <v>-1034.7235815278668</v>
      </c>
      <c r="U54" s="38">
        <v>-1098.6958609063336</v>
      </c>
      <c r="V54" s="39">
        <v>-1160.1908742330929</v>
      </c>
      <c r="W54" s="38">
        <v>-1219.1510405039116</v>
      </c>
      <c r="X54" s="39">
        <v>-1276.7338651506589</v>
      </c>
    </row>
    <row r="55" spans="1:24" ht="16.5" customHeight="1" x14ac:dyDescent="0.2">
      <c r="A55" s="98"/>
      <c r="B55" s="37" t="s">
        <v>66</v>
      </c>
      <c r="C55" s="38">
        <v>23.274167391220001</v>
      </c>
      <c r="D55" s="39">
        <v>23.5204226225</v>
      </c>
      <c r="E55" s="38">
        <v>19.306913401319999</v>
      </c>
      <c r="F55" s="39">
        <v>26.16452864707</v>
      </c>
      <c r="G55" s="38">
        <v>33.392960086179997</v>
      </c>
      <c r="H55" s="39">
        <v>39.017298159630002</v>
      </c>
      <c r="I55" s="38">
        <v>343.45715040121991</v>
      </c>
      <c r="J55" s="39">
        <v>644.00790788133997</v>
      </c>
      <c r="K55" s="38">
        <v>676.79857109969885</v>
      </c>
      <c r="L55" s="39">
        <v>659.13151907152894</v>
      </c>
      <c r="M55" s="38">
        <v>705.09294229481998</v>
      </c>
      <c r="N55" s="39">
        <v>720.73569725827997</v>
      </c>
      <c r="O55" s="38">
        <v>735.55300484474992</v>
      </c>
      <c r="P55" s="39">
        <v>753.80735358199991</v>
      </c>
      <c r="Q55" s="38">
        <v>960.31071377769206</v>
      </c>
      <c r="R55" s="39">
        <v>957.19221804717995</v>
      </c>
      <c r="S55" s="38">
        <v>1602.64999858802</v>
      </c>
      <c r="T55" s="39">
        <v>2193.3472466366002</v>
      </c>
      <c r="U55" s="38">
        <v>2184.1244477968798</v>
      </c>
      <c r="V55" s="39">
        <v>2190.6354315613203</v>
      </c>
      <c r="W55" s="38">
        <v>2166.9138403318502</v>
      </c>
      <c r="X55" s="39">
        <v>2179.6090613849401</v>
      </c>
    </row>
    <row r="56" spans="1:24" ht="16.5" customHeight="1" x14ac:dyDescent="0.2">
      <c r="A56" s="98"/>
      <c r="B56" s="37" t="s">
        <v>59</v>
      </c>
      <c r="C56" s="38">
        <v>0</v>
      </c>
      <c r="D56" s="39">
        <v>0</v>
      </c>
      <c r="E56" s="38">
        <v>0</v>
      </c>
      <c r="F56" s="39">
        <v>0</v>
      </c>
      <c r="G56" s="38">
        <v>0</v>
      </c>
      <c r="H56" s="39">
        <v>0</v>
      </c>
      <c r="I56" s="38">
        <v>0</v>
      </c>
      <c r="J56" s="39">
        <v>0</v>
      </c>
      <c r="K56" s="38">
        <v>0</v>
      </c>
      <c r="L56" s="39">
        <v>0</v>
      </c>
      <c r="M56" s="38">
        <v>0</v>
      </c>
      <c r="N56" s="39">
        <v>0</v>
      </c>
      <c r="O56" s="38">
        <v>0</v>
      </c>
      <c r="P56" s="39">
        <v>0</v>
      </c>
      <c r="Q56" s="38">
        <v>0</v>
      </c>
      <c r="R56" s="39">
        <v>0</v>
      </c>
      <c r="S56" s="38">
        <v>0</v>
      </c>
      <c r="T56" s="39">
        <v>56.987122975630101</v>
      </c>
      <c r="U56" s="38">
        <v>156.55968223853</v>
      </c>
      <c r="V56" s="39">
        <v>156.5596822386</v>
      </c>
      <c r="W56" s="38">
        <v>415.35227322387999</v>
      </c>
      <c r="X56" s="39">
        <v>416.49022465731002</v>
      </c>
    </row>
    <row r="57" spans="1:24" ht="16.5" customHeight="1" x14ac:dyDescent="0.2">
      <c r="A57" s="98"/>
      <c r="B57" s="37" t="s">
        <v>67</v>
      </c>
      <c r="C57" s="38">
        <v>-29.092709239024998</v>
      </c>
      <c r="D57" s="39">
        <v>-29.400528278124998</v>
      </c>
      <c r="E57" s="38">
        <v>-24.133641751649996</v>
      </c>
      <c r="F57" s="39">
        <v>-32.7056608088375</v>
      </c>
      <c r="G57" s="38">
        <v>-41.741200107724993</v>
      </c>
      <c r="H57" s="39">
        <v>-48.771622699537502</v>
      </c>
      <c r="I57" s="38">
        <v>-429.32143800152488</v>
      </c>
      <c r="J57" s="39">
        <v>-805.00988485167488</v>
      </c>
      <c r="K57" s="38">
        <v>-845.9982138746235</v>
      </c>
      <c r="L57" s="39">
        <v>-823.91439883941109</v>
      </c>
      <c r="M57" s="38">
        <v>-881.36617786852491</v>
      </c>
      <c r="N57" s="39">
        <v>-900.91962157284991</v>
      </c>
      <c r="O57" s="38">
        <v>-919.4412560559374</v>
      </c>
      <c r="P57" s="39">
        <v>-942.25919197749988</v>
      </c>
      <c r="Q57" s="38">
        <v>-1200.388392222115</v>
      </c>
      <c r="R57" s="39">
        <v>-1196.4902725589748</v>
      </c>
      <c r="S57" s="38">
        <v>-2003.312498235025</v>
      </c>
      <c r="T57" s="39">
        <v>-2741.6840582957502</v>
      </c>
      <c r="U57" s="38">
        <v>-2730.1555597460997</v>
      </c>
      <c r="V57" s="39">
        <v>-2738.29428945165</v>
      </c>
      <c r="W57" s="38">
        <v>-2708.6423004148128</v>
      </c>
      <c r="X57" s="39">
        <v>-2724.5113267311749</v>
      </c>
    </row>
    <row r="58" spans="1:24" ht="16.5" customHeight="1" x14ac:dyDescent="0.2">
      <c r="A58" s="98"/>
      <c r="B58" s="37" t="s">
        <v>68</v>
      </c>
      <c r="C58" s="38">
        <v>21.236289797377268</v>
      </c>
      <c r="D58" s="39">
        <v>37.253346326288337</v>
      </c>
      <c r="E58" s="38">
        <v>55.927356447892372</v>
      </c>
      <c r="F58" s="39">
        <v>86.52502135255429</v>
      </c>
      <c r="G58" s="38">
        <v>124.88916182161591</v>
      </c>
      <c r="H58" s="39">
        <v>168.70265490353228</v>
      </c>
      <c r="I58" s="38">
        <v>214.23421531408621</v>
      </c>
      <c r="J58" s="39">
        <v>263.04078220467915</v>
      </c>
      <c r="K58" s="38">
        <v>317.76955443484019</v>
      </c>
      <c r="L58" s="39">
        <v>382.77693222129903</v>
      </c>
      <c r="M58" s="38">
        <v>456.24312814255052</v>
      </c>
      <c r="N58" s="39">
        <v>531.13414085657973</v>
      </c>
      <c r="O58" s="38">
        <v>606.83426778770502</v>
      </c>
      <c r="P58" s="39">
        <v>677.0406246801839</v>
      </c>
      <c r="Q58" s="38">
        <v>744.1464072599565</v>
      </c>
      <c r="R58" s="39">
        <v>808.01648090941103</v>
      </c>
      <c r="S58" s="38">
        <v>868.55217228895833</v>
      </c>
      <c r="T58" s="39">
        <v>931.25122337508014</v>
      </c>
      <c r="U58" s="38">
        <v>988.82627481570023</v>
      </c>
      <c r="V58" s="39">
        <v>1044.1717868097837</v>
      </c>
      <c r="W58" s="38">
        <v>1097.2359364535205</v>
      </c>
      <c r="X58" s="39">
        <v>1149.060478635593</v>
      </c>
    </row>
    <row r="59" spans="1:24" ht="16.5" customHeight="1" thickBot="1" x14ac:dyDescent="0.25">
      <c r="A59" s="99"/>
      <c r="B59" s="37" t="s">
        <v>41</v>
      </c>
      <c r="C59" s="38">
        <v>1341</v>
      </c>
      <c r="D59" s="39">
        <v>1468</v>
      </c>
      <c r="E59" s="38">
        <v>1583</v>
      </c>
      <c r="F59" s="39">
        <v>1705</v>
      </c>
      <c r="G59" s="38">
        <v>1837</v>
      </c>
      <c r="H59" s="39">
        <v>1989</v>
      </c>
      <c r="I59" s="38">
        <v>2139</v>
      </c>
      <c r="J59" s="39">
        <v>2294</v>
      </c>
      <c r="K59" s="38">
        <v>2429</v>
      </c>
      <c r="L59" s="39">
        <v>2545</v>
      </c>
      <c r="M59" s="38">
        <v>2619</v>
      </c>
      <c r="N59" s="39">
        <v>2688</v>
      </c>
      <c r="O59" s="38">
        <v>2749</v>
      </c>
      <c r="P59" s="39">
        <v>2814</v>
      </c>
      <c r="Q59" s="38">
        <v>2857</v>
      </c>
      <c r="R59" s="39">
        <v>2908</v>
      </c>
      <c r="S59" s="38">
        <v>2958</v>
      </c>
      <c r="T59" s="39">
        <v>3016</v>
      </c>
      <c r="U59" s="38">
        <v>3050</v>
      </c>
      <c r="V59" s="39">
        <v>3093</v>
      </c>
      <c r="W59" s="38">
        <v>3135</v>
      </c>
      <c r="X59" s="39">
        <v>3186</v>
      </c>
    </row>
    <row r="60" spans="1:24" ht="16.5" customHeight="1" x14ac:dyDescent="0.2">
      <c r="A60" s="100" t="s">
        <v>37</v>
      </c>
      <c r="B60" s="46" t="s">
        <v>54</v>
      </c>
      <c r="C60" s="39">
        <v>0</v>
      </c>
      <c r="D60" s="38">
        <v>0</v>
      </c>
      <c r="E60" s="39">
        <v>0</v>
      </c>
      <c r="F60" s="38">
        <v>0</v>
      </c>
      <c r="G60" s="39">
        <v>0</v>
      </c>
      <c r="H60" s="38">
        <v>0</v>
      </c>
      <c r="I60" s="39">
        <v>0</v>
      </c>
      <c r="J60" s="38">
        <v>0</v>
      </c>
      <c r="K60" s="39">
        <v>0</v>
      </c>
      <c r="L60" s="38">
        <v>0</v>
      </c>
      <c r="M60" s="39">
        <v>0</v>
      </c>
      <c r="N60" s="38">
        <v>0</v>
      </c>
      <c r="O60" s="39">
        <v>0</v>
      </c>
      <c r="P60" s="38">
        <v>0</v>
      </c>
      <c r="Q60" s="39">
        <v>0</v>
      </c>
      <c r="R60" s="38">
        <v>0</v>
      </c>
      <c r="S60" s="39">
        <v>0</v>
      </c>
      <c r="T60" s="38">
        <v>0</v>
      </c>
      <c r="U60" s="39">
        <v>0</v>
      </c>
      <c r="V60" s="38">
        <v>0</v>
      </c>
      <c r="W60" s="39">
        <v>0</v>
      </c>
      <c r="X60" s="38">
        <v>0</v>
      </c>
    </row>
    <row r="61" spans="1:24" ht="16.5" customHeight="1" x14ac:dyDescent="0.2">
      <c r="A61" s="101"/>
      <c r="B61" s="46" t="s">
        <v>55</v>
      </c>
      <c r="C61" s="39">
        <v>32184.062386328314</v>
      </c>
      <c r="D61" s="38">
        <v>32206.094726852367</v>
      </c>
      <c r="E61" s="39">
        <v>32274.23653694128</v>
      </c>
      <c r="F61" s="38">
        <v>32555.085013768148</v>
      </c>
      <c r="G61" s="39">
        <v>30105.323360174269</v>
      </c>
      <c r="H61" s="38">
        <v>29989.804677856642</v>
      </c>
      <c r="I61" s="39">
        <v>32488.630940312229</v>
      </c>
      <c r="J61" s="38">
        <v>32434.573343128541</v>
      </c>
      <c r="K61" s="39">
        <v>28664.14542335759</v>
      </c>
      <c r="L61" s="38">
        <v>32225.258772444005</v>
      </c>
      <c r="M61" s="39">
        <v>28438.872259134991</v>
      </c>
      <c r="N61" s="38">
        <v>28183.298716143396</v>
      </c>
      <c r="O61" s="39">
        <v>31212.698059205293</v>
      </c>
      <c r="P61" s="38">
        <v>30972.612787147482</v>
      </c>
      <c r="Q61" s="39">
        <v>21475.964897320217</v>
      </c>
      <c r="R61" s="38">
        <v>21348.175117458701</v>
      </c>
      <c r="S61" s="39">
        <v>21829.854062997612</v>
      </c>
      <c r="T61" s="38">
        <v>21835.319887130889</v>
      </c>
      <c r="U61" s="39">
        <v>18123.28025657987</v>
      </c>
      <c r="V61" s="38">
        <v>21671.805101117188</v>
      </c>
      <c r="W61" s="39">
        <v>18088.893635741581</v>
      </c>
      <c r="X61" s="38">
        <v>18043.131809828097</v>
      </c>
    </row>
    <row r="62" spans="1:24" ht="16.5" customHeight="1" x14ac:dyDescent="0.2">
      <c r="A62" s="101"/>
      <c r="B62" s="46" t="s">
        <v>17</v>
      </c>
      <c r="C62" s="39">
        <v>3362.7083170182418</v>
      </c>
      <c r="D62" s="38">
        <v>3371.921216516811</v>
      </c>
      <c r="E62" s="39">
        <v>3362.7083170181404</v>
      </c>
      <c r="F62" s="38">
        <v>3362.7083170181204</v>
      </c>
      <c r="G62" s="39">
        <v>3362.7083170180808</v>
      </c>
      <c r="H62" s="38">
        <v>3371.9212165169001</v>
      </c>
      <c r="I62" s="39">
        <v>3362.7083170181713</v>
      </c>
      <c r="J62" s="38">
        <v>3362.7083170181204</v>
      </c>
      <c r="K62" s="39">
        <v>3362.7083170181613</v>
      </c>
      <c r="L62" s="38">
        <v>3371.921216516911</v>
      </c>
      <c r="M62" s="39">
        <v>3362.7083170181704</v>
      </c>
      <c r="N62" s="38">
        <v>3362.7083170181104</v>
      </c>
      <c r="O62" s="39">
        <v>3362.7083170181604</v>
      </c>
      <c r="P62" s="38">
        <v>3371.9212165168701</v>
      </c>
      <c r="Q62" s="39">
        <v>3362.7083170181604</v>
      </c>
      <c r="R62" s="38">
        <v>3362.7083170181504</v>
      </c>
      <c r="S62" s="39">
        <v>3362.7083170181104</v>
      </c>
      <c r="T62" s="38">
        <v>3371.9212165168201</v>
      </c>
      <c r="U62" s="39">
        <v>3362.7083170181204</v>
      </c>
      <c r="V62" s="38">
        <v>3362.7083170181704</v>
      </c>
      <c r="W62" s="39">
        <v>3362.7083170181404</v>
      </c>
      <c r="X62" s="38">
        <v>3371.9212165167701</v>
      </c>
    </row>
    <row r="63" spans="1:24" ht="16.5" customHeight="1" x14ac:dyDescent="0.2">
      <c r="A63" s="101"/>
      <c r="B63" s="46" t="s">
        <v>44</v>
      </c>
      <c r="C63" s="39">
        <v>330.27252759328002</v>
      </c>
      <c r="D63" s="38">
        <v>61.662897734909997</v>
      </c>
      <c r="E63" s="39">
        <v>61.235848184380004</v>
      </c>
      <c r="F63" s="38">
        <v>63.305673222720003</v>
      </c>
      <c r="G63" s="39">
        <v>76.474181297300007</v>
      </c>
      <c r="H63" s="38">
        <v>56.875973284129998</v>
      </c>
      <c r="I63" s="39">
        <v>50.663335619069997</v>
      </c>
      <c r="J63" s="38">
        <v>46.647883267849998</v>
      </c>
      <c r="K63" s="39">
        <v>82.80362184869</v>
      </c>
      <c r="L63" s="38">
        <v>24.979493001480002</v>
      </c>
      <c r="M63" s="39">
        <v>119.66508593262</v>
      </c>
      <c r="N63" s="38">
        <v>122.89471668349999</v>
      </c>
      <c r="O63" s="39">
        <v>47.409482257550003</v>
      </c>
      <c r="P63" s="38">
        <v>0</v>
      </c>
      <c r="Q63" s="39">
        <v>0</v>
      </c>
      <c r="R63" s="38">
        <v>0</v>
      </c>
      <c r="S63" s="39">
        <v>0</v>
      </c>
      <c r="T63" s="38">
        <v>0</v>
      </c>
      <c r="U63" s="39">
        <v>0</v>
      </c>
      <c r="V63" s="38">
        <v>0</v>
      </c>
      <c r="W63" s="39">
        <v>0</v>
      </c>
      <c r="X63" s="38">
        <v>0</v>
      </c>
    </row>
    <row r="64" spans="1:24" ht="16.5" customHeight="1" x14ac:dyDescent="0.2">
      <c r="A64" s="101"/>
      <c r="B64" s="46" t="s">
        <v>56</v>
      </c>
      <c r="C64" s="39">
        <v>188.13069924926</v>
      </c>
      <c r="D64" s="38">
        <v>97.541223256349994</v>
      </c>
      <c r="E64" s="39">
        <v>81.506201091669993</v>
      </c>
      <c r="F64" s="38">
        <v>73.923142227689993</v>
      </c>
      <c r="G64" s="39">
        <v>104.25213633850001</v>
      </c>
      <c r="H64" s="38">
        <v>75.838519392990008</v>
      </c>
      <c r="I64" s="39">
        <v>74.144386045070007</v>
      </c>
      <c r="J64" s="38">
        <v>136.16449130325</v>
      </c>
      <c r="K64" s="39">
        <v>193.56558212676001</v>
      </c>
      <c r="L64" s="38">
        <v>55.451240263470005</v>
      </c>
      <c r="M64" s="39">
        <v>117.71557590343001</v>
      </c>
      <c r="N64" s="38">
        <v>107.24817871043999</v>
      </c>
      <c r="O64" s="39">
        <v>44.099452870920004</v>
      </c>
      <c r="P64" s="38">
        <v>44.532803316399999</v>
      </c>
      <c r="Q64" s="39">
        <v>193.79654398681001</v>
      </c>
      <c r="R64" s="38">
        <v>105.87664711344999</v>
      </c>
      <c r="S64" s="39">
        <v>434.26087443342999</v>
      </c>
      <c r="T64" s="38">
        <v>640.80961217753998</v>
      </c>
      <c r="U64" s="39">
        <v>478.34718526129996</v>
      </c>
      <c r="V64" s="38">
        <v>391.66591387792005</v>
      </c>
      <c r="W64" s="39">
        <v>513.83903791878993</v>
      </c>
      <c r="X64" s="38">
        <v>482.32416345066002</v>
      </c>
    </row>
    <row r="65" spans="1:24" ht="16.5" customHeight="1" x14ac:dyDescent="0.2">
      <c r="A65" s="101"/>
      <c r="B65" s="46" t="s">
        <v>18</v>
      </c>
      <c r="C65" s="39">
        <v>5437.244209298151</v>
      </c>
      <c r="D65" s="38">
        <v>9075.6372014268891</v>
      </c>
      <c r="E65" s="39">
        <v>11164.482944458538</v>
      </c>
      <c r="F65" s="38">
        <v>12241.745802059921</v>
      </c>
      <c r="G65" s="39">
        <v>13641.146427271631</v>
      </c>
      <c r="H65" s="38">
        <v>15472.121981888698</v>
      </c>
      <c r="I65" s="39">
        <v>16763.24776321583</v>
      </c>
      <c r="J65" s="38">
        <v>16605.209004897108</v>
      </c>
      <c r="K65" s="39">
        <v>17111.204646532547</v>
      </c>
      <c r="L65" s="38">
        <v>16270.875312732278</v>
      </c>
      <c r="M65" s="39">
        <v>16794.182831408871</v>
      </c>
      <c r="N65" s="38">
        <v>16220.35566265705</v>
      </c>
      <c r="O65" s="39">
        <v>15368.664704169147</v>
      </c>
      <c r="P65" s="38">
        <v>15080.450183295057</v>
      </c>
      <c r="Q65" s="39">
        <v>16088.864098514046</v>
      </c>
      <c r="R65" s="38">
        <v>16121.459704709028</v>
      </c>
      <c r="S65" s="39">
        <v>18458.549829124797</v>
      </c>
      <c r="T65" s="38">
        <v>18081.339243084887</v>
      </c>
      <c r="U65" s="39">
        <v>17793.678774011045</v>
      </c>
      <c r="V65" s="38">
        <v>17580.346820774161</v>
      </c>
      <c r="W65" s="39">
        <v>17801.691752197585</v>
      </c>
      <c r="X65" s="38">
        <v>18227.515261191635</v>
      </c>
    </row>
    <row r="66" spans="1:24" ht="16.5" customHeight="1" x14ac:dyDescent="0.2">
      <c r="A66" s="101"/>
      <c r="B66" s="46" t="s">
        <v>57</v>
      </c>
      <c r="C66" s="39">
        <v>862.05044800527992</v>
      </c>
      <c r="D66" s="38">
        <v>1072.4275130373701</v>
      </c>
      <c r="E66" s="39">
        <v>1071.3139834531898</v>
      </c>
      <c r="F66" s="38">
        <v>1308.3991671233698</v>
      </c>
      <c r="G66" s="39">
        <v>1703.6829051477102</v>
      </c>
      <c r="H66" s="38">
        <v>3150.8784853537099</v>
      </c>
      <c r="I66" s="39">
        <v>3561.12846347921</v>
      </c>
      <c r="J66" s="38">
        <v>3570.3883876953296</v>
      </c>
      <c r="K66" s="39">
        <v>3558.0079816258199</v>
      </c>
      <c r="L66" s="38">
        <v>3555.8329491535201</v>
      </c>
      <c r="M66" s="39">
        <v>3524.7325706559704</v>
      </c>
      <c r="N66" s="38">
        <v>3500.68032651882</v>
      </c>
      <c r="O66" s="39">
        <v>3416.2323646725399</v>
      </c>
      <c r="P66" s="38">
        <v>3291.0711622252602</v>
      </c>
      <c r="Q66" s="39">
        <v>3304.5412156355301</v>
      </c>
      <c r="R66" s="38">
        <v>3181.8926838522302</v>
      </c>
      <c r="S66" s="39">
        <v>3448.2730973436101</v>
      </c>
      <c r="T66" s="38">
        <v>3432.9903848887698</v>
      </c>
      <c r="U66" s="39">
        <v>3391.7185140501501</v>
      </c>
      <c r="V66" s="38">
        <v>3396.0752553600601</v>
      </c>
      <c r="W66" s="39">
        <v>3324.4511196512699</v>
      </c>
      <c r="X66" s="38">
        <v>3312.1046829915203</v>
      </c>
    </row>
    <row r="67" spans="1:24" ht="16.5" customHeight="1" x14ac:dyDescent="0.2">
      <c r="A67" s="101"/>
      <c r="B67" s="46" t="s">
        <v>65</v>
      </c>
      <c r="C67" s="39">
        <v>-23.95634260919558</v>
      </c>
      <c r="D67" s="38">
        <v>-42.245741982178103</v>
      </c>
      <c r="E67" s="39">
        <v>-60.73223811414352</v>
      </c>
      <c r="F67" s="38">
        <v>-101.68148528008695</v>
      </c>
      <c r="G67" s="39">
        <v>-175.75150001967685</v>
      </c>
      <c r="H67" s="38">
        <v>-256.54782267021415</v>
      </c>
      <c r="I67" s="39">
        <v>-342.78473719932475</v>
      </c>
      <c r="J67" s="38">
        <v>-453.8235470289768</v>
      </c>
      <c r="K67" s="39">
        <v>-586.63227841913022</v>
      </c>
      <c r="L67" s="38">
        <v>-732.22463146241</v>
      </c>
      <c r="M67" s="39">
        <v>-904.07148804434644</v>
      </c>
      <c r="N67" s="38">
        <v>-1099.3566903773467</v>
      </c>
      <c r="O67" s="39">
        <v>-1323.274748351748</v>
      </c>
      <c r="P67" s="38">
        <v>-1583.9374368765048</v>
      </c>
      <c r="Q67" s="39">
        <v>-1964.6484773947734</v>
      </c>
      <c r="R67" s="38">
        <v>-2415.9829950302023</v>
      </c>
      <c r="S67" s="39">
        <v>-2897.4781614079984</v>
      </c>
      <c r="T67" s="38">
        <v>-3511.1629719485281</v>
      </c>
      <c r="U67" s="39">
        <v>-4155.7957950161153</v>
      </c>
      <c r="V67" s="38">
        <v>-4811.6903110792664</v>
      </c>
      <c r="W67" s="39">
        <v>-5387.0073356295188</v>
      </c>
      <c r="X67" s="38">
        <v>-5895.3087079955321</v>
      </c>
    </row>
    <row r="68" spans="1:24" ht="16.5" customHeight="1" x14ac:dyDescent="0.2">
      <c r="A68" s="101"/>
      <c r="B68" s="46" t="s">
        <v>66</v>
      </c>
      <c r="C68" s="39">
        <v>14.625739663279999</v>
      </c>
      <c r="D68" s="38">
        <v>23.542227753859979</v>
      </c>
      <c r="E68" s="39">
        <v>16.40867131405999</v>
      </c>
      <c r="F68" s="38">
        <v>22.684447837389968</v>
      </c>
      <c r="G68" s="39">
        <v>33.375048900929897</v>
      </c>
      <c r="H68" s="38">
        <v>38.849693050599896</v>
      </c>
      <c r="I68" s="39">
        <v>37.590793655319899</v>
      </c>
      <c r="J68" s="38">
        <v>37.942207621979904</v>
      </c>
      <c r="K68" s="39">
        <v>38.149999999999899</v>
      </c>
      <c r="L68" s="38">
        <v>38.681202953809901</v>
      </c>
      <c r="M68" s="39">
        <v>38.592941451169899</v>
      </c>
      <c r="N68" s="38">
        <v>38.785999999999902</v>
      </c>
      <c r="O68" s="39">
        <v>38.601999999999897</v>
      </c>
      <c r="P68" s="38">
        <v>38.171053460149899</v>
      </c>
      <c r="Q68" s="39">
        <v>220.11654678524991</v>
      </c>
      <c r="R68" s="38">
        <v>415.94345576018992</v>
      </c>
      <c r="S68" s="39">
        <v>1997.9325613582398</v>
      </c>
      <c r="T68" s="38">
        <v>2418.0790548967198</v>
      </c>
      <c r="U68" s="39">
        <v>2586.41239803705</v>
      </c>
      <c r="V68" s="38">
        <v>2537.57031678255</v>
      </c>
      <c r="W68" s="39">
        <v>2645.6822532781398</v>
      </c>
      <c r="X68" s="38">
        <v>2627.4682311488</v>
      </c>
    </row>
    <row r="69" spans="1:24" ht="16.5" customHeight="1" x14ac:dyDescent="0.2">
      <c r="A69" s="101"/>
      <c r="B69" s="46" t="s">
        <v>59</v>
      </c>
      <c r="C69" s="39">
        <v>0</v>
      </c>
      <c r="D69" s="38">
        <v>0</v>
      </c>
      <c r="E69" s="39">
        <v>0</v>
      </c>
      <c r="F69" s="38">
        <v>0</v>
      </c>
      <c r="G69" s="39">
        <v>0</v>
      </c>
      <c r="H69" s="38">
        <v>0</v>
      </c>
      <c r="I69" s="39">
        <v>0</v>
      </c>
      <c r="J69" s="38">
        <v>0</v>
      </c>
      <c r="K69" s="39">
        <v>0</v>
      </c>
      <c r="L69" s="38">
        <v>0</v>
      </c>
      <c r="M69" s="39">
        <v>0</v>
      </c>
      <c r="N69" s="38">
        <v>0</v>
      </c>
      <c r="O69" s="39">
        <v>0</v>
      </c>
      <c r="P69" s="38">
        <v>0</v>
      </c>
      <c r="Q69" s="39">
        <v>0</v>
      </c>
      <c r="R69" s="38">
        <v>0</v>
      </c>
      <c r="S69" s="39">
        <v>0</v>
      </c>
      <c r="T69" s="38">
        <v>5.7566332325099996</v>
      </c>
      <c r="U69" s="39">
        <v>257.17893873469001</v>
      </c>
      <c r="V69" s="38">
        <v>257.17893873473002</v>
      </c>
      <c r="W69" s="39">
        <v>438</v>
      </c>
      <c r="X69" s="38">
        <v>439.2</v>
      </c>
    </row>
    <row r="70" spans="1:24" ht="16.5" customHeight="1" x14ac:dyDescent="0.2">
      <c r="A70" s="101"/>
      <c r="B70" s="46" t="s">
        <v>67</v>
      </c>
      <c r="C70" s="39">
        <v>-18.282174579099998</v>
      </c>
      <c r="D70" s="38">
        <v>-29.427784692324973</v>
      </c>
      <c r="E70" s="39">
        <v>-20.510839142574987</v>
      </c>
      <c r="F70" s="38">
        <v>-28.35555979673746</v>
      </c>
      <c r="G70" s="39">
        <v>-41.718811126162372</v>
      </c>
      <c r="H70" s="38">
        <v>-48.562116313249867</v>
      </c>
      <c r="I70" s="39">
        <v>-46.988492069149871</v>
      </c>
      <c r="J70" s="38">
        <v>-47.427759527474876</v>
      </c>
      <c r="K70" s="39">
        <v>-47.687499999999872</v>
      </c>
      <c r="L70" s="38">
        <v>-48.351503692262376</v>
      </c>
      <c r="M70" s="39">
        <v>-48.241176813962369</v>
      </c>
      <c r="N70" s="38">
        <v>-48.482499999999874</v>
      </c>
      <c r="O70" s="39">
        <v>-48.25249999999987</v>
      </c>
      <c r="P70" s="38">
        <v>-47.713816825187372</v>
      </c>
      <c r="Q70" s="39">
        <v>-275.14568348156234</v>
      </c>
      <c r="R70" s="38">
        <v>-519.92931970023733</v>
      </c>
      <c r="S70" s="39">
        <v>-2497.4157016977997</v>
      </c>
      <c r="T70" s="38">
        <v>-3022.5988186208997</v>
      </c>
      <c r="U70" s="39">
        <v>-3233.0154975463124</v>
      </c>
      <c r="V70" s="38">
        <v>-3171.9628959781871</v>
      </c>
      <c r="W70" s="39">
        <v>-3307.1028165976745</v>
      </c>
      <c r="X70" s="38">
        <v>-3284.3352889359999</v>
      </c>
    </row>
    <row r="71" spans="1:24" ht="16.5" customHeight="1" x14ac:dyDescent="0.2">
      <c r="A71" s="101"/>
      <c r="B71" s="46" t="s">
        <v>68</v>
      </c>
      <c r="C71" s="39">
        <v>21.560708348276023</v>
      </c>
      <c r="D71" s="38">
        <v>38.021167783960294</v>
      </c>
      <c r="E71" s="39">
        <v>54.659014302729169</v>
      </c>
      <c r="F71" s="38">
        <v>91.51333675207826</v>
      </c>
      <c r="G71" s="39">
        <v>158.17635001770918</v>
      </c>
      <c r="H71" s="38">
        <v>230.89304040319274</v>
      </c>
      <c r="I71" s="39">
        <v>308.50626347939226</v>
      </c>
      <c r="J71" s="38">
        <v>408.44119232607915</v>
      </c>
      <c r="K71" s="39">
        <v>527.96905057721722</v>
      </c>
      <c r="L71" s="38">
        <v>659.00216831616899</v>
      </c>
      <c r="M71" s="39">
        <v>813.66433923991178</v>
      </c>
      <c r="N71" s="38">
        <v>989.42102133961203</v>
      </c>
      <c r="O71" s="39">
        <v>1190.9472735165732</v>
      </c>
      <c r="P71" s="38">
        <v>1425.5436931888544</v>
      </c>
      <c r="Q71" s="39">
        <v>1768.183629655296</v>
      </c>
      <c r="R71" s="38">
        <v>2174.384695527182</v>
      </c>
      <c r="S71" s="39">
        <v>2607.7303452671986</v>
      </c>
      <c r="T71" s="38">
        <v>3160.0466747536752</v>
      </c>
      <c r="U71" s="39">
        <v>3740.2162155145043</v>
      </c>
      <c r="V71" s="38">
        <v>4330.5212799713399</v>
      </c>
      <c r="W71" s="39">
        <v>4848.3066020665674</v>
      </c>
      <c r="X71" s="38">
        <v>5305.7778371959794</v>
      </c>
    </row>
    <row r="72" spans="1:24" ht="16.5" customHeight="1" thickBot="1" x14ac:dyDescent="0.25">
      <c r="A72" s="102"/>
      <c r="B72" s="46" t="s">
        <v>41</v>
      </c>
      <c r="C72" s="39">
        <v>1933</v>
      </c>
      <c r="D72" s="38">
        <v>2273</v>
      </c>
      <c r="E72" s="39">
        <v>2609</v>
      </c>
      <c r="F72" s="38">
        <v>2972</v>
      </c>
      <c r="G72" s="39">
        <v>3355</v>
      </c>
      <c r="H72" s="38">
        <v>3786</v>
      </c>
      <c r="I72" s="39">
        <v>4223</v>
      </c>
      <c r="J72" s="38">
        <v>4725</v>
      </c>
      <c r="K72" s="39">
        <v>5299</v>
      </c>
      <c r="L72" s="38">
        <v>6010</v>
      </c>
      <c r="M72" s="39">
        <v>6821</v>
      </c>
      <c r="N72" s="38">
        <v>7856</v>
      </c>
      <c r="O72" s="39">
        <v>9107</v>
      </c>
      <c r="P72" s="38">
        <v>10578</v>
      </c>
      <c r="Q72" s="39">
        <v>12031</v>
      </c>
      <c r="R72" s="38">
        <v>13456</v>
      </c>
      <c r="S72" s="39">
        <v>14670</v>
      </c>
      <c r="T72" s="38">
        <v>15683</v>
      </c>
      <c r="U72" s="39">
        <v>16312</v>
      </c>
      <c r="V72" s="38">
        <v>16877</v>
      </c>
      <c r="W72" s="39">
        <v>17367</v>
      </c>
      <c r="X72" s="38">
        <v>17857</v>
      </c>
    </row>
    <row r="73" spans="1:24" ht="16.5" customHeight="1" x14ac:dyDescent="0.2">
      <c r="A73" s="97" t="s">
        <v>39</v>
      </c>
      <c r="B73" s="37" t="s">
        <v>54</v>
      </c>
      <c r="C73" s="38">
        <v>0</v>
      </c>
      <c r="D73" s="39">
        <v>0</v>
      </c>
      <c r="E73" s="38">
        <v>0</v>
      </c>
      <c r="F73" s="39">
        <v>0</v>
      </c>
      <c r="G73" s="38">
        <v>0</v>
      </c>
      <c r="H73" s="39">
        <v>0</v>
      </c>
      <c r="I73" s="38">
        <v>0</v>
      </c>
      <c r="J73" s="39">
        <v>0</v>
      </c>
      <c r="K73" s="38">
        <v>0</v>
      </c>
      <c r="L73" s="39">
        <v>0</v>
      </c>
      <c r="M73" s="38">
        <v>0</v>
      </c>
      <c r="N73" s="39">
        <v>0</v>
      </c>
      <c r="O73" s="38">
        <v>0</v>
      </c>
      <c r="P73" s="39">
        <v>0</v>
      </c>
      <c r="Q73" s="38">
        <v>0</v>
      </c>
      <c r="R73" s="39">
        <v>0</v>
      </c>
      <c r="S73" s="38">
        <v>0</v>
      </c>
      <c r="T73" s="39">
        <v>0</v>
      </c>
      <c r="U73" s="38">
        <v>0</v>
      </c>
      <c r="V73" s="39">
        <v>0</v>
      </c>
      <c r="W73" s="38">
        <v>0</v>
      </c>
      <c r="X73" s="39">
        <v>0</v>
      </c>
    </row>
    <row r="74" spans="1:24" ht="16.5" customHeight="1" x14ac:dyDescent="0.2">
      <c r="A74" s="98"/>
      <c r="B74" s="37" t="s">
        <v>55</v>
      </c>
      <c r="C74" s="38">
        <v>0</v>
      </c>
      <c r="D74" s="39">
        <v>0</v>
      </c>
      <c r="E74" s="38">
        <v>0</v>
      </c>
      <c r="F74" s="39">
        <v>0</v>
      </c>
      <c r="G74" s="38">
        <v>0</v>
      </c>
      <c r="H74" s="39">
        <v>0</v>
      </c>
      <c r="I74" s="38">
        <v>0</v>
      </c>
      <c r="J74" s="39">
        <v>0</v>
      </c>
      <c r="K74" s="38">
        <v>0</v>
      </c>
      <c r="L74" s="39">
        <v>0</v>
      </c>
      <c r="M74" s="38">
        <v>0</v>
      </c>
      <c r="N74" s="39">
        <v>0</v>
      </c>
      <c r="O74" s="38">
        <v>0</v>
      </c>
      <c r="P74" s="39">
        <v>0</v>
      </c>
      <c r="Q74" s="38">
        <v>0</v>
      </c>
      <c r="R74" s="39">
        <v>0</v>
      </c>
      <c r="S74" s="38">
        <v>0</v>
      </c>
      <c r="T74" s="39">
        <v>0</v>
      </c>
      <c r="U74" s="38">
        <v>0</v>
      </c>
      <c r="V74" s="39">
        <v>0</v>
      </c>
      <c r="W74" s="38">
        <v>0</v>
      </c>
      <c r="X74" s="39">
        <v>0</v>
      </c>
    </row>
    <row r="75" spans="1:24" ht="16.5" customHeight="1" x14ac:dyDescent="0.2">
      <c r="A75" s="98"/>
      <c r="B75" s="37" t="s">
        <v>17</v>
      </c>
      <c r="C75" s="38">
        <v>8672.9803783416792</v>
      </c>
      <c r="D75" s="39">
        <v>8696.7419684189699</v>
      </c>
      <c r="E75" s="38">
        <v>8672.9803783413608</v>
      </c>
      <c r="F75" s="39">
        <v>8672.98037834141</v>
      </c>
      <c r="G75" s="38">
        <v>8672.9803783414409</v>
      </c>
      <c r="H75" s="39">
        <v>8696.741968418959</v>
      </c>
      <c r="I75" s="38">
        <v>8605.0981372953502</v>
      </c>
      <c r="J75" s="39">
        <v>8672.98037834155</v>
      </c>
      <c r="K75" s="38">
        <v>8672.9803783415209</v>
      </c>
      <c r="L75" s="39">
        <v>8696.7419684190081</v>
      </c>
      <c r="M75" s="38">
        <v>8672.9803783414609</v>
      </c>
      <c r="N75" s="39">
        <v>8672.98037834139</v>
      </c>
      <c r="O75" s="38">
        <v>8672.9803783414209</v>
      </c>
      <c r="P75" s="39">
        <v>8696.7419684191191</v>
      </c>
      <c r="Q75" s="38">
        <v>8672.980378341339</v>
      </c>
      <c r="R75" s="39">
        <v>8672.9803783415227</v>
      </c>
      <c r="S75" s="38">
        <v>8672.9803783415609</v>
      </c>
      <c r="T75" s="39">
        <v>8696.7419684190991</v>
      </c>
      <c r="U75" s="38">
        <v>8672.9803783412899</v>
      </c>
      <c r="V75" s="39">
        <v>8672.9803783414209</v>
      </c>
      <c r="W75" s="38">
        <v>8672.9803783414391</v>
      </c>
      <c r="X75" s="39">
        <v>8696.7419684192009</v>
      </c>
    </row>
    <row r="76" spans="1:24" ht="16.5" customHeight="1" x14ac:dyDescent="0.2">
      <c r="A76" s="98"/>
      <c r="B76" s="37" t="s">
        <v>44</v>
      </c>
      <c r="C76" s="38">
        <v>0</v>
      </c>
      <c r="D76" s="39">
        <v>0</v>
      </c>
      <c r="E76" s="38">
        <v>0</v>
      </c>
      <c r="F76" s="39">
        <v>0</v>
      </c>
      <c r="G76" s="38">
        <v>0</v>
      </c>
      <c r="H76" s="39">
        <v>0</v>
      </c>
      <c r="I76" s="38">
        <v>0</v>
      </c>
      <c r="J76" s="39">
        <v>0</v>
      </c>
      <c r="K76" s="38">
        <v>0</v>
      </c>
      <c r="L76" s="39">
        <v>0</v>
      </c>
      <c r="M76" s="38">
        <v>0</v>
      </c>
      <c r="N76" s="39">
        <v>0</v>
      </c>
      <c r="O76" s="38">
        <v>0</v>
      </c>
      <c r="P76" s="39">
        <v>0</v>
      </c>
      <c r="Q76" s="38">
        <v>0</v>
      </c>
      <c r="R76" s="39">
        <v>0</v>
      </c>
      <c r="S76" s="38">
        <v>0</v>
      </c>
      <c r="T76" s="39">
        <v>0</v>
      </c>
      <c r="U76" s="38">
        <v>0</v>
      </c>
      <c r="V76" s="39">
        <v>0</v>
      </c>
      <c r="W76" s="38">
        <v>0</v>
      </c>
      <c r="X76" s="39">
        <v>0</v>
      </c>
    </row>
    <row r="77" spans="1:24" ht="16.5" customHeight="1" x14ac:dyDescent="0.2">
      <c r="A77" s="98"/>
      <c r="B77" s="37" t="s">
        <v>56</v>
      </c>
      <c r="C77" s="38">
        <v>0</v>
      </c>
      <c r="D77" s="39">
        <v>0</v>
      </c>
      <c r="E77" s="38">
        <v>0</v>
      </c>
      <c r="F77" s="39">
        <v>0</v>
      </c>
      <c r="G77" s="38">
        <v>0</v>
      </c>
      <c r="H77" s="39">
        <v>5.7740944609999997E-2</v>
      </c>
      <c r="I77" s="38">
        <v>1.3303205510000001E-2</v>
      </c>
      <c r="J77" s="39">
        <v>0.11998102385000001</v>
      </c>
      <c r="K77" s="38">
        <v>0</v>
      </c>
      <c r="L77" s="39">
        <v>0</v>
      </c>
      <c r="M77" s="38">
        <v>0</v>
      </c>
      <c r="N77" s="39">
        <v>0</v>
      </c>
      <c r="O77" s="38">
        <v>0</v>
      </c>
      <c r="P77" s="39">
        <v>0</v>
      </c>
      <c r="Q77" s="38">
        <v>0</v>
      </c>
      <c r="R77" s="39">
        <v>0</v>
      </c>
      <c r="S77" s="38">
        <v>0</v>
      </c>
      <c r="T77" s="39">
        <v>0</v>
      </c>
      <c r="U77" s="38">
        <v>0</v>
      </c>
      <c r="V77" s="39">
        <v>0</v>
      </c>
      <c r="W77" s="38">
        <v>0</v>
      </c>
      <c r="X77" s="39">
        <v>0</v>
      </c>
    </row>
    <row r="78" spans="1:24" ht="16.5" customHeight="1" x14ac:dyDescent="0.2">
      <c r="A78" s="98"/>
      <c r="B78" s="37" t="s">
        <v>18</v>
      </c>
      <c r="C78" s="38">
        <v>1051.75443019104</v>
      </c>
      <c r="D78" s="39">
        <v>1066.17096197297</v>
      </c>
      <c r="E78" s="38">
        <v>1053.3539273958199</v>
      </c>
      <c r="F78" s="39">
        <v>1055.24353193974</v>
      </c>
      <c r="G78" s="38">
        <v>1051.5951688734599</v>
      </c>
      <c r="H78" s="39">
        <v>1061.4143768473</v>
      </c>
      <c r="I78" s="38">
        <v>1061.79052786385</v>
      </c>
      <c r="J78" s="39">
        <v>1060.42972482289</v>
      </c>
      <c r="K78" s="38">
        <v>1056.7328380343399</v>
      </c>
      <c r="L78" s="39">
        <v>1059.9145822451001</v>
      </c>
      <c r="M78" s="38">
        <v>1057.18666898834</v>
      </c>
      <c r="N78" s="39">
        <v>1051.7544297893701</v>
      </c>
      <c r="O78" s="38">
        <v>1061.7905273721799</v>
      </c>
      <c r="P78" s="39">
        <v>1067.8890906021199</v>
      </c>
      <c r="Q78" s="38">
        <v>1627.1148847917002</v>
      </c>
      <c r="R78" s="39">
        <v>1632.59161221197</v>
      </c>
      <c r="S78" s="38">
        <v>2202.137152813491</v>
      </c>
      <c r="T78" s="39">
        <v>2218.2669969894096</v>
      </c>
      <c r="U78" s="38">
        <v>2297.6884131710103</v>
      </c>
      <c r="V78" s="39">
        <v>2268.9642786254608</v>
      </c>
      <c r="W78" s="38">
        <v>2276.23401479517</v>
      </c>
      <c r="X78" s="39">
        <v>2307.1551354263702</v>
      </c>
    </row>
    <row r="79" spans="1:24" ht="16.5" customHeight="1" x14ac:dyDescent="0.2">
      <c r="A79" s="98"/>
      <c r="B79" s="37" t="s">
        <v>57</v>
      </c>
      <c r="C79" s="38">
        <v>0</v>
      </c>
      <c r="D79" s="39">
        <v>0</v>
      </c>
      <c r="E79" s="38">
        <v>0</v>
      </c>
      <c r="F79" s="39">
        <v>0</v>
      </c>
      <c r="G79" s="38">
        <v>0</v>
      </c>
      <c r="H79" s="39">
        <v>0</v>
      </c>
      <c r="I79" s="38">
        <v>0</v>
      </c>
      <c r="J79" s="39">
        <v>0</v>
      </c>
      <c r="K79" s="38">
        <v>0</v>
      </c>
      <c r="L79" s="39">
        <v>0</v>
      </c>
      <c r="M79" s="38">
        <v>0</v>
      </c>
      <c r="N79" s="39">
        <v>0</v>
      </c>
      <c r="O79" s="38">
        <v>0</v>
      </c>
      <c r="P79" s="39">
        <v>0</v>
      </c>
      <c r="Q79" s="38">
        <v>0</v>
      </c>
      <c r="R79" s="39">
        <v>0</v>
      </c>
      <c r="S79" s="38">
        <v>0</v>
      </c>
      <c r="T79" s="39">
        <v>0</v>
      </c>
      <c r="U79" s="38">
        <v>0</v>
      </c>
      <c r="V79" s="39">
        <v>0</v>
      </c>
      <c r="W79" s="38">
        <v>0</v>
      </c>
      <c r="X79" s="39">
        <v>0</v>
      </c>
    </row>
    <row r="80" spans="1:24" ht="16.5" customHeight="1" x14ac:dyDescent="0.2">
      <c r="A80" s="98"/>
      <c r="B80" s="37" t="s">
        <v>65</v>
      </c>
      <c r="C80" s="38">
        <v>-1.6960857447688811</v>
      </c>
      <c r="D80" s="39">
        <v>-2.6096549292824798</v>
      </c>
      <c r="E80" s="38">
        <v>-3.7860550545643319</v>
      </c>
      <c r="F80" s="39">
        <v>-5.3351449195320706</v>
      </c>
      <c r="G80" s="38">
        <v>-7.1467946344028119</v>
      </c>
      <c r="H80" s="39">
        <v>-9.6235401250410906</v>
      </c>
      <c r="I80" s="38">
        <v>-12.510219450452897</v>
      </c>
      <c r="J80" s="39">
        <v>-16.411363309060796</v>
      </c>
      <c r="K80" s="38">
        <v>-20.26332973634155</v>
      </c>
      <c r="L80" s="39">
        <v>-25.022290742616811</v>
      </c>
      <c r="M80" s="38">
        <v>-30.357294321357912</v>
      </c>
      <c r="N80" s="39">
        <v>-36.173936385295718</v>
      </c>
      <c r="O80" s="38">
        <v>-42.455285336483698</v>
      </c>
      <c r="P80" s="39">
        <v>-49.347681856094802</v>
      </c>
      <c r="Q80" s="38">
        <v>-57.771721400950597</v>
      </c>
      <c r="R80" s="39">
        <v>-66.247816630827188</v>
      </c>
      <c r="S80" s="38">
        <v>-85.399373794560447</v>
      </c>
      <c r="T80" s="39">
        <v>-101.92401733105915</v>
      </c>
      <c r="U80" s="38">
        <v>-121.62385967502713</v>
      </c>
      <c r="V80" s="39">
        <v>-138.82560000635308</v>
      </c>
      <c r="W80" s="38">
        <v>-159.00636868964588</v>
      </c>
      <c r="X80" s="39">
        <v>-182.33007519355849</v>
      </c>
    </row>
    <row r="81" spans="1:24" ht="16.5" customHeight="1" x14ac:dyDescent="0.2">
      <c r="A81" s="98"/>
      <c r="B81" s="37" t="s">
        <v>66</v>
      </c>
      <c r="C81" s="38">
        <v>0</v>
      </c>
      <c r="D81" s="39">
        <v>0</v>
      </c>
      <c r="E81" s="38">
        <v>0</v>
      </c>
      <c r="F81" s="39">
        <v>0</v>
      </c>
      <c r="G81" s="38">
        <v>0</v>
      </c>
      <c r="H81" s="39">
        <v>0</v>
      </c>
      <c r="I81" s="38">
        <v>0</v>
      </c>
      <c r="J81" s="39">
        <v>0</v>
      </c>
      <c r="K81" s="38">
        <v>0</v>
      </c>
      <c r="L81" s="39">
        <v>0</v>
      </c>
      <c r="M81" s="38">
        <v>0</v>
      </c>
      <c r="N81" s="39">
        <v>0</v>
      </c>
      <c r="O81" s="38">
        <v>0</v>
      </c>
      <c r="P81" s="39">
        <v>0</v>
      </c>
      <c r="Q81" s="38">
        <v>0</v>
      </c>
      <c r="R81" s="39">
        <v>0</v>
      </c>
      <c r="S81" s="38">
        <v>0</v>
      </c>
      <c r="T81" s="39">
        <v>0</v>
      </c>
      <c r="U81" s="38">
        <v>0</v>
      </c>
      <c r="V81" s="39">
        <v>0</v>
      </c>
      <c r="W81" s="38">
        <v>0</v>
      </c>
      <c r="X81" s="39">
        <v>0</v>
      </c>
    </row>
    <row r="82" spans="1:24" ht="16.5" customHeight="1" x14ac:dyDescent="0.2">
      <c r="A82" s="98"/>
      <c r="B82" s="37" t="s">
        <v>59</v>
      </c>
      <c r="C82" s="38">
        <v>0</v>
      </c>
      <c r="D82" s="39">
        <v>0</v>
      </c>
      <c r="E82" s="38">
        <v>0</v>
      </c>
      <c r="F82" s="39">
        <v>0</v>
      </c>
      <c r="G82" s="38">
        <v>0</v>
      </c>
      <c r="H82" s="39">
        <v>0</v>
      </c>
      <c r="I82" s="38">
        <v>0</v>
      </c>
      <c r="J82" s="39">
        <v>0</v>
      </c>
      <c r="K82" s="38">
        <v>0</v>
      </c>
      <c r="L82" s="39">
        <v>0</v>
      </c>
      <c r="M82" s="38">
        <v>0</v>
      </c>
      <c r="N82" s="39">
        <v>0</v>
      </c>
      <c r="O82" s="38">
        <v>0</v>
      </c>
      <c r="P82" s="39">
        <v>0</v>
      </c>
      <c r="Q82" s="38">
        <v>0</v>
      </c>
      <c r="R82" s="39">
        <v>0</v>
      </c>
      <c r="S82" s="38">
        <v>0</v>
      </c>
      <c r="T82" s="39">
        <v>0</v>
      </c>
      <c r="U82" s="38">
        <v>0</v>
      </c>
      <c r="V82" s="39">
        <v>0</v>
      </c>
      <c r="W82" s="38">
        <v>0</v>
      </c>
      <c r="X82" s="39">
        <v>0</v>
      </c>
    </row>
    <row r="83" spans="1:24" ht="16.5" customHeight="1" x14ac:dyDescent="0.2">
      <c r="A83" s="98"/>
      <c r="B83" s="37" t="s">
        <v>67</v>
      </c>
      <c r="C83" s="38">
        <v>0</v>
      </c>
      <c r="D83" s="39">
        <v>0</v>
      </c>
      <c r="E83" s="38">
        <v>0</v>
      </c>
      <c r="F83" s="39">
        <v>0</v>
      </c>
      <c r="G83" s="38">
        <v>0</v>
      </c>
      <c r="H83" s="39">
        <v>0</v>
      </c>
      <c r="I83" s="38">
        <v>0</v>
      </c>
      <c r="J83" s="39">
        <v>0</v>
      </c>
      <c r="K83" s="38">
        <v>0</v>
      </c>
      <c r="L83" s="39">
        <v>0</v>
      </c>
      <c r="M83" s="38">
        <v>0</v>
      </c>
      <c r="N83" s="39">
        <v>0</v>
      </c>
      <c r="O83" s="38">
        <v>0</v>
      </c>
      <c r="P83" s="39">
        <v>0</v>
      </c>
      <c r="Q83" s="38">
        <v>0</v>
      </c>
      <c r="R83" s="39">
        <v>0</v>
      </c>
      <c r="S83" s="38">
        <v>0</v>
      </c>
      <c r="T83" s="39">
        <v>0</v>
      </c>
      <c r="U83" s="38">
        <v>0</v>
      </c>
      <c r="V83" s="39">
        <v>0</v>
      </c>
      <c r="W83" s="38">
        <v>0</v>
      </c>
      <c r="X83" s="39">
        <v>0</v>
      </c>
    </row>
    <row r="84" spans="1:24" ht="16.5" customHeight="1" x14ac:dyDescent="0.2">
      <c r="A84" s="98"/>
      <c r="B84" s="37" t="s">
        <v>68</v>
      </c>
      <c r="C84" s="38">
        <v>1.526477170291993</v>
      </c>
      <c r="D84" s="39">
        <v>2.3486894363542317</v>
      </c>
      <c r="E84" s="38">
        <v>3.4074495491078989</v>
      </c>
      <c r="F84" s="39">
        <v>4.8016304275788633</v>
      </c>
      <c r="G84" s="38">
        <v>6.4321151709625308</v>
      </c>
      <c r="H84" s="39">
        <v>8.6611861125369813</v>
      </c>
      <c r="I84" s="38">
        <v>11.259197505407608</v>
      </c>
      <c r="J84" s="39">
        <v>14.770226978154717</v>
      </c>
      <c r="K84" s="38">
        <v>18.236996762707395</v>
      </c>
      <c r="L84" s="39">
        <v>22.52006166835513</v>
      </c>
      <c r="M84" s="38">
        <v>27.32156488922212</v>
      </c>
      <c r="N84" s="39">
        <v>32.556542746766148</v>
      </c>
      <c r="O84" s="38">
        <v>38.209756802835329</v>
      </c>
      <c r="P84" s="39">
        <v>44.412913670485324</v>
      </c>
      <c r="Q84" s="38">
        <v>51.994549260855536</v>
      </c>
      <c r="R84" s="39">
        <v>59.623034967744474</v>
      </c>
      <c r="S84" s="38">
        <v>76.859436415104398</v>
      </c>
      <c r="T84" s="39">
        <v>91.731615597953237</v>
      </c>
      <c r="U84" s="38">
        <v>109.46147370752442</v>
      </c>
      <c r="V84" s="39">
        <v>124.94304000571779</v>
      </c>
      <c r="W84" s="38">
        <v>143.10573182068129</v>
      </c>
      <c r="X84" s="39">
        <v>164.09706767420263</v>
      </c>
    </row>
    <row r="85" spans="1:24" ht="16.5" customHeight="1" thickBot="1" x14ac:dyDescent="0.25">
      <c r="A85" s="99"/>
      <c r="B85" s="37" t="s">
        <v>41</v>
      </c>
      <c r="C85" s="38">
        <v>182</v>
      </c>
      <c r="D85" s="39">
        <v>211</v>
      </c>
      <c r="E85" s="38">
        <v>240</v>
      </c>
      <c r="F85" s="39">
        <v>271</v>
      </c>
      <c r="G85" s="38">
        <v>303</v>
      </c>
      <c r="H85" s="39">
        <v>337</v>
      </c>
      <c r="I85" s="38">
        <v>369</v>
      </c>
      <c r="J85" s="39">
        <v>403</v>
      </c>
      <c r="K85" s="38">
        <v>439</v>
      </c>
      <c r="L85" s="39">
        <v>478</v>
      </c>
      <c r="M85" s="38">
        <v>515</v>
      </c>
      <c r="N85" s="39">
        <v>557</v>
      </c>
      <c r="O85" s="38">
        <v>604</v>
      </c>
      <c r="P85" s="39">
        <v>661</v>
      </c>
      <c r="Q85" s="38">
        <v>719</v>
      </c>
      <c r="R85" s="39">
        <v>789</v>
      </c>
      <c r="S85" s="38">
        <v>863</v>
      </c>
      <c r="T85" s="39">
        <v>945</v>
      </c>
      <c r="U85" s="38">
        <v>1013</v>
      </c>
      <c r="V85" s="39">
        <v>1077</v>
      </c>
      <c r="W85" s="38">
        <v>1130</v>
      </c>
      <c r="X85" s="39">
        <v>1177</v>
      </c>
    </row>
  </sheetData>
  <mergeCells count="6">
    <mergeCell ref="A73:A85"/>
    <mergeCell ref="A3:A16"/>
    <mergeCell ref="A21:A33"/>
    <mergeCell ref="A34:A46"/>
    <mergeCell ref="A47:A59"/>
    <mergeCell ref="A60:A7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W16"/>
  <sheetViews>
    <sheetView zoomScaleNormal="100" workbookViewId="0"/>
  </sheetViews>
  <sheetFormatPr defaultColWidth="9.140625" defaultRowHeight="15.75" customHeight="1" x14ac:dyDescent="0.2"/>
  <cols>
    <col min="1" max="1" width="28.5703125" style="53" customWidth="1"/>
    <col min="2" max="23" width="10.42578125" style="53" customWidth="1"/>
    <col min="24" max="16384" width="9.140625" style="53"/>
  </cols>
  <sheetData>
    <row r="1" spans="1:23" ht="15.75" customHeight="1" x14ac:dyDescent="0.25">
      <c r="A1" s="20" t="s">
        <v>21</v>
      </c>
      <c r="G1" s="54"/>
      <c r="H1" s="55"/>
      <c r="I1" s="55"/>
      <c r="J1" s="55"/>
      <c r="K1" s="55"/>
      <c r="L1" s="55"/>
      <c r="M1" s="55"/>
    </row>
    <row r="2" spans="1:23" s="36" customFormat="1" ht="15.75" customHeight="1" x14ac:dyDescent="0.2">
      <c r="A2" s="33" t="s">
        <v>20</v>
      </c>
      <c r="B2" s="50" t="s">
        <v>0</v>
      </c>
      <c r="C2" s="51" t="s">
        <v>1</v>
      </c>
      <c r="D2" s="50" t="s">
        <v>2</v>
      </c>
      <c r="E2" s="51" t="s">
        <v>3</v>
      </c>
      <c r="F2" s="50" t="s">
        <v>4</v>
      </c>
      <c r="G2" s="51" t="s">
        <v>5</v>
      </c>
      <c r="H2" s="50" t="s">
        <v>6</v>
      </c>
      <c r="I2" s="51" t="s">
        <v>7</v>
      </c>
      <c r="J2" s="50" t="s">
        <v>8</v>
      </c>
      <c r="K2" s="51" t="s">
        <v>9</v>
      </c>
      <c r="L2" s="50" t="s">
        <v>10</v>
      </c>
      <c r="M2" s="51" t="s">
        <v>11</v>
      </c>
      <c r="N2" s="50" t="s">
        <v>12</v>
      </c>
      <c r="O2" s="51" t="s">
        <v>13</v>
      </c>
      <c r="P2" s="50" t="s">
        <v>14</v>
      </c>
      <c r="Q2" s="51" t="s">
        <v>15</v>
      </c>
      <c r="R2" s="50" t="s">
        <v>16</v>
      </c>
      <c r="S2" s="51" t="s">
        <v>45</v>
      </c>
      <c r="T2" s="50" t="s">
        <v>61</v>
      </c>
      <c r="U2" s="51" t="s">
        <v>62</v>
      </c>
      <c r="V2" s="50" t="s">
        <v>63</v>
      </c>
      <c r="W2" s="51" t="s">
        <v>64</v>
      </c>
    </row>
    <row r="3" spans="1:23" s="56" customFormat="1" ht="15.75" customHeight="1" x14ac:dyDescent="0.2">
      <c r="A3" s="37" t="s">
        <v>54</v>
      </c>
      <c r="B3" s="38">
        <v>0</v>
      </c>
      <c r="C3" s="39">
        <v>0</v>
      </c>
      <c r="D3" s="38">
        <v>0</v>
      </c>
      <c r="E3" s="39">
        <v>0</v>
      </c>
      <c r="F3" s="38">
        <v>-1800</v>
      </c>
      <c r="G3" s="39">
        <v>-1800</v>
      </c>
      <c r="H3" s="38">
        <v>-1800</v>
      </c>
      <c r="I3" s="39">
        <v>-1800</v>
      </c>
      <c r="J3" s="38">
        <v>-2165</v>
      </c>
      <c r="K3" s="39">
        <v>-2165</v>
      </c>
      <c r="L3" s="38">
        <v>-3485</v>
      </c>
      <c r="M3" s="39">
        <v>-5165</v>
      </c>
      <c r="N3" s="38">
        <v>-5165</v>
      </c>
      <c r="O3" s="39">
        <v>-5165</v>
      </c>
      <c r="P3" s="38">
        <v>-5165</v>
      </c>
      <c r="Q3" s="39">
        <v>-5165</v>
      </c>
      <c r="R3" s="38">
        <v>-8045</v>
      </c>
      <c r="S3" s="39">
        <v>-10685</v>
      </c>
      <c r="T3" s="38">
        <v>-12085</v>
      </c>
      <c r="U3" s="39">
        <v>-12085</v>
      </c>
      <c r="V3" s="38">
        <v>-12785</v>
      </c>
      <c r="W3" s="39">
        <v>-12785</v>
      </c>
    </row>
    <row r="4" spans="1:23" s="56" customFormat="1" ht="15.75" customHeight="1" x14ac:dyDescent="0.2">
      <c r="A4" s="37" t="s">
        <v>55</v>
      </c>
      <c r="B4" s="38">
        <v>0</v>
      </c>
      <c r="C4" s="39">
        <v>0</v>
      </c>
      <c r="D4" s="38">
        <v>0</v>
      </c>
      <c r="E4" s="39">
        <v>0</v>
      </c>
      <c r="F4" s="38">
        <v>0</v>
      </c>
      <c r="G4" s="39">
        <v>0</v>
      </c>
      <c r="H4" s="38">
        <v>0</v>
      </c>
      <c r="I4" s="39">
        <v>0</v>
      </c>
      <c r="J4" s="38">
        <v>0</v>
      </c>
      <c r="K4" s="39">
        <v>0</v>
      </c>
      <c r="L4" s="38">
        <v>0</v>
      </c>
      <c r="M4" s="39">
        <v>0</v>
      </c>
      <c r="N4" s="38">
        <v>0</v>
      </c>
      <c r="O4" s="39">
        <v>0</v>
      </c>
      <c r="P4" s="38">
        <v>-1528</v>
      </c>
      <c r="Q4" s="39">
        <v>-1528</v>
      </c>
      <c r="R4" s="38">
        <v>-1528</v>
      </c>
      <c r="S4" s="39">
        <v>-1528</v>
      </c>
      <c r="T4" s="38">
        <v>-1528</v>
      </c>
      <c r="U4" s="39">
        <v>-1528</v>
      </c>
      <c r="V4" s="38">
        <v>-1528</v>
      </c>
      <c r="W4" s="39">
        <v>-1528</v>
      </c>
    </row>
    <row r="5" spans="1:23" s="56" customFormat="1" ht="15.75" customHeight="1" x14ac:dyDescent="0.2">
      <c r="A5" s="37" t="s">
        <v>17</v>
      </c>
      <c r="B5" s="38">
        <v>0</v>
      </c>
      <c r="C5" s="39">
        <v>0</v>
      </c>
      <c r="D5" s="38">
        <v>0</v>
      </c>
      <c r="E5" s="39">
        <v>0</v>
      </c>
      <c r="F5" s="38">
        <v>0</v>
      </c>
      <c r="G5" s="39">
        <v>0</v>
      </c>
      <c r="H5" s="38">
        <v>0</v>
      </c>
      <c r="I5" s="39">
        <v>0</v>
      </c>
      <c r="J5" s="38">
        <v>0</v>
      </c>
      <c r="K5" s="39">
        <v>0</v>
      </c>
      <c r="L5" s="38">
        <v>0</v>
      </c>
      <c r="M5" s="39">
        <v>0</v>
      </c>
      <c r="N5" s="38">
        <v>0</v>
      </c>
      <c r="O5" s="39">
        <v>0</v>
      </c>
      <c r="P5" s="38">
        <v>0</v>
      </c>
      <c r="Q5" s="39">
        <v>0</v>
      </c>
      <c r="R5" s="38">
        <v>0</v>
      </c>
      <c r="S5" s="39">
        <v>0</v>
      </c>
      <c r="T5" s="38">
        <v>0</v>
      </c>
      <c r="U5" s="39">
        <v>0</v>
      </c>
      <c r="V5" s="38">
        <v>0</v>
      </c>
      <c r="W5" s="39">
        <v>0</v>
      </c>
    </row>
    <row r="6" spans="1:23" s="56" customFormat="1" ht="15.75" customHeight="1" x14ac:dyDescent="0.2">
      <c r="A6" s="37" t="s">
        <v>44</v>
      </c>
      <c r="B6" s="38">
        <v>0</v>
      </c>
      <c r="C6" s="39">
        <v>0</v>
      </c>
      <c r="D6" s="38">
        <v>0</v>
      </c>
      <c r="E6" s="39">
        <v>0</v>
      </c>
      <c r="F6" s="38">
        <v>0</v>
      </c>
      <c r="G6" s="39">
        <v>0</v>
      </c>
      <c r="H6" s="38">
        <v>-1462</v>
      </c>
      <c r="I6" s="39">
        <v>-1462</v>
      </c>
      <c r="J6" s="38">
        <v>-1462</v>
      </c>
      <c r="K6" s="39">
        <v>-1462</v>
      </c>
      <c r="L6" s="38">
        <v>-1462</v>
      </c>
      <c r="M6" s="39">
        <v>-1462</v>
      </c>
      <c r="N6" s="38">
        <v>-1462</v>
      </c>
      <c r="O6" s="39">
        <v>-1972</v>
      </c>
      <c r="P6" s="38">
        <v>-1972</v>
      </c>
      <c r="Q6" s="39">
        <v>-1972</v>
      </c>
      <c r="R6" s="38">
        <v>-1972</v>
      </c>
      <c r="S6" s="39">
        <v>-1972</v>
      </c>
      <c r="T6" s="38">
        <v>-1972</v>
      </c>
      <c r="U6" s="39">
        <v>-1972</v>
      </c>
      <c r="V6" s="38">
        <v>-1972</v>
      </c>
      <c r="W6" s="39">
        <v>-1972</v>
      </c>
    </row>
    <row r="7" spans="1:23" s="56" customFormat="1" ht="15.75" customHeight="1" x14ac:dyDescent="0.2">
      <c r="A7" s="37" t="s">
        <v>56</v>
      </c>
      <c r="B7" s="38">
        <v>0</v>
      </c>
      <c r="C7" s="39">
        <v>-24</v>
      </c>
      <c r="D7" s="38">
        <v>-24</v>
      </c>
      <c r="E7" s="39">
        <v>-298</v>
      </c>
      <c r="F7" s="38">
        <v>-12</v>
      </c>
      <c r="G7" s="39">
        <v>103</v>
      </c>
      <c r="H7" s="38">
        <v>103</v>
      </c>
      <c r="I7" s="39">
        <v>103</v>
      </c>
      <c r="J7" s="38">
        <v>103</v>
      </c>
      <c r="K7" s="39">
        <v>103</v>
      </c>
      <c r="L7" s="38">
        <v>103</v>
      </c>
      <c r="M7" s="39">
        <v>103</v>
      </c>
      <c r="N7" s="38">
        <v>103</v>
      </c>
      <c r="O7" s="39">
        <v>103</v>
      </c>
      <c r="P7" s="38">
        <v>103</v>
      </c>
      <c r="Q7" s="39">
        <v>103</v>
      </c>
      <c r="R7" s="38">
        <v>103</v>
      </c>
      <c r="S7" s="39">
        <v>103</v>
      </c>
      <c r="T7" s="38">
        <v>103</v>
      </c>
      <c r="U7" s="39">
        <v>103</v>
      </c>
      <c r="V7" s="38">
        <v>103</v>
      </c>
      <c r="W7" s="39">
        <v>103</v>
      </c>
    </row>
    <row r="8" spans="1:23" s="56" customFormat="1" ht="15.75" customHeight="1" x14ac:dyDescent="0.2">
      <c r="A8" s="37" t="s">
        <v>18</v>
      </c>
      <c r="B8" s="38">
        <v>0</v>
      </c>
      <c r="C8" s="39">
        <v>1894.0000000000009</v>
      </c>
      <c r="D8" s="38">
        <v>2294.0000000000009</v>
      </c>
      <c r="E8" s="39">
        <v>2694</v>
      </c>
      <c r="F8" s="38">
        <v>3094</v>
      </c>
      <c r="G8" s="39">
        <v>3987</v>
      </c>
      <c r="H8" s="38">
        <v>4387</v>
      </c>
      <c r="I8" s="39">
        <v>4387</v>
      </c>
      <c r="J8" s="38">
        <v>4512.5297862400002</v>
      </c>
      <c r="K8" s="39">
        <v>4645.0455783100006</v>
      </c>
      <c r="L8" s="38">
        <v>4820.5905002500003</v>
      </c>
      <c r="M8" s="39">
        <v>4923.098727640001</v>
      </c>
      <c r="N8" s="38">
        <v>4923.098727640001</v>
      </c>
      <c r="O8" s="39">
        <v>4923.098727640001</v>
      </c>
      <c r="P8" s="38">
        <v>5047.5783686000013</v>
      </c>
      <c r="Q8" s="39">
        <v>5427.7355007600017</v>
      </c>
      <c r="R8" s="38">
        <v>6140.5538300300013</v>
      </c>
      <c r="S8" s="39">
        <v>7875.5538300300013</v>
      </c>
      <c r="T8" s="38">
        <v>7972.6185650900006</v>
      </c>
      <c r="U8" s="39">
        <v>8121.5198374499996</v>
      </c>
      <c r="V8" s="38">
        <v>8308.5253953899992</v>
      </c>
      <c r="W8" s="39">
        <v>8308.5253953899992</v>
      </c>
    </row>
    <row r="9" spans="1:23" s="56" customFormat="1" ht="15.75" customHeight="1" x14ac:dyDescent="0.2">
      <c r="A9" s="37" t="s">
        <v>57</v>
      </c>
      <c r="B9" s="38">
        <v>0</v>
      </c>
      <c r="C9" s="39">
        <v>474.60245868000038</v>
      </c>
      <c r="D9" s="38">
        <v>474.60245868000038</v>
      </c>
      <c r="E9" s="39">
        <v>570.60245868000038</v>
      </c>
      <c r="F9" s="38">
        <v>1549.6816337400001</v>
      </c>
      <c r="G9" s="39">
        <v>2133.6816337400001</v>
      </c>
      <c r="H9" s="38">
        <v>3459.6116768899997</v>
      </c>
      <c r="I9" s="39">
        <v>4720.3290502799991</v>
      </c>
      <c r="J9" s="38">
        <v>5367.0802352299997</v>
      </c>
      <c r="K9" s="39">
        <v>5928.3672412899996</v>
      </c>
      <c r="L9" s="38">
        <v>6535.7106210399998</v>
      </c>
      <c r="M9" s="39">
        <v>7116.1324114899999</v>
      </c>
      <c r="N9" s="38">
        <v>7116.1324114899999</v>
      </c>
      <c r="O9" s="39">
        <v>7116.1324114899999</v>
      </c>
      <c r="P9" s="38">
        <v>7116.1324114899999</v>
      </c>
      <c r="Q9" s="39">
        <v>7116.1324114899999</v>
      </c>
      <c r="R9" s="38">
        <v>8298.6230721000011</v>
      </c>
      <c r="S9" s="39">
        <v>11654.924073329999</v>
      </c>
      <c r="T9" s="38">
        <v>15410.003112779998</v>
      </c>
      <c r="U9" s="39">
        <v>15934.357155890002</v>
      </c>
      <c r="V9" s="38">
        <v>17164.928192079999</v>
      </c>
      <c r="W9" s="39">
        <v>17449.608943989999</v>
      </c>
    </row>
    <row r="10" spans="1:23" s="56" customFormat="1" ht="15.75" customHeight="1" x14ac:dyDescent="0.2">
      <c r="A10" s="37" t="s">
        <v>58</v>
      </c>
      <c r="B10" s="38">
        <v>0</v>
      </c>
      <c r="C10" s="39">
        <v>20</v>
      </c>
      <c r="D10" s="38">
        <v>120</v>
      </c>
      <c r="E10" s="39">
        <v>120</v>
      </c>
      <c r="F10" s="38">
        <v>120</v>
      </c>
      <c r="G10" s="39">
        <v>120</v>
      </c>
      <c r="H10" s="38">
        <v>322.37627999999995</v>
      </c>
      <c r="I10" s="39">
        <v>487.87858000000006</v>
      </c>
      <c r="J10" s="38">
        <v>487.87858000000006</v>
      </c>
      <c r="K10" s="39">
        <v>487.87858000000006</v>
      </c>
      <c r="L10" s="38">
        <v>487.87858000000006</v>
      </c>
      <c r="M10" s="39">
        <v>1112.2205090000002</v>
      </c>
      <c r="N10" s="38">
        <v>1112.2205090000002</v>
      </c>
      <c r="O10" s="39">
        <v>1112.2205090000002</v>
      </c>
      <c r="P10" s="38">
        <v>1559.3442959999998</v>
      </c>
      <c r="Q10" s="39">
        <v>1821.8486189999999</v>
      </c>
      <c r="R10" s="38">
        <v>3594.6387399999999</v>
      </c>
      <c r="S10" s="39">
        <v>5867.2803309999999</v>
      </c>
      <c r="T10" s="38">
        <v>8740.4491569999991</v>
      </c>
      <c r="U10" s="39">
        <v>9166.9103020000002</v>
      </c>
      <c r="V10" s="38">
        <v>10114.026132999999</v>
      </c>
      <c r="W10" s="39">
        <v>10294.818201999999</v>
      </c>
    </row>
    <row r="11" spans="1:23" s="56" customFormat="1" ht="15.75" customHeight="1" x14ac:dyDescent="0.2">
      <c r="A11" s="37" t="s">
        <v>59</v>
      </c>
      <c r="B11" s="38">
        <v>0</v>
      </c>
      <c r="C11" s="39">
        <v>0</v>
      </c>
      <c r="D11" s="38">
        <v>0</v>
      </c>
      <c r="E11" s="39">
        <v>0</v>
      </c>
      <c r="F11" s="38">
        <v>0</v>
      </c>
      <c r="G11" s="39">
        <v>0</v>
      </c>
      <c r="H11" s="38">
        <v>0</v>
      </c>
      <c r="I11" s="39">
        <v>0</v>
      </c>
      <c r="J11" s="38">
        <v>0</v>
      </c>
      <c r="K11" s="39">
        <v>0</v>
      </c>
      <c r="L11" s="38">
        <v>0</v>
      </c>
      <c r="M11" s="39">
        <v>0</v>
      </c>
      <c r="N11" s="38">
        <v>0</v>
      </c>
      <c r="O11" s="39">
        <v>0</v>
      </c>
      <c r="P11" s="38">
        <v>0</v>
      </c>
      <c r="Q11" s="39">
        <v>0</v>
      </c>
      <c r="R11" s="38">
        <v>0</v>
      </c>
      <c r="S11" s="39">
        <v>114.28591900000001</v>
      </c>
      <c r="T11" s="38">
        <v>194.46087225000002</v>
      </c>
      <c r="U11" s="39">
        <v>194.46087225000002</v>
      </c>
      <c r="V11" s="38">
        <v>294.82928600000002</v>
      </c>
      <c r="W11" s="39">
        <v>294.82928600000002</v>
      </c>
    </row>
    <row r="12" spans="1:23" ht="15.75" customHeight="1" x14ac:dyDescent="0.2">
      <c r="A12" s="37" t="s">
        <v>60</v>
      </c>
      <c r="B12" s="38">
        <v>0</v>
      </c>
      <c r="C12" s="39">
        <v>138.62</v>
      </c>
      <c r="D12" s="38">
        <v>305.57000000000005</v>
      </c>
      <c r="E12" s="39">
        <v>521.71</v>
      </c>
      <c r="F12" s="38">
        <v>779.7299999999999</v>
      </c>
      <c r="G12" s="39">
        <v>1087.8400000000001</v>
      </c>
      <c r="H12" s="38">
        <v>1444.0100000000002</v>
      </c>
      <c r="I12" s="39">
        <v>1851.1399999999999</v>
      </c>
      <c r="J12" s="38">
        <v>2309.79</v>
      </c>
      <c r="K12" s="39">
        <v>2818.7599999999998</v>
      </c>
      <c r="L12" s="38">
        <v>3380.5899999999997</v>
      </c>
      <c r="M12" s="39">
        <v>4007.7799999999997</v>
      </c>
      <c r="N12" s="38">
        <v>4709.6099999999997</v>
      </c>
      <c r="O12" s="39">
        <v>5518.5599999999995</v>
      </c>
      <c r="P12" s="38">
        <v>6470.5599999999995</v>
      </c>
      <c r="Q12" s="39">
        <v>7589.22</v>
      </c>
      <c r="R12" s="38">
        <v>8881.6500000000015</v>
      </c>
      <c r="S12" s="39">
        <v>10276.92</v>
      </c>
      <c r="T12" s="38">
        <v>11691.1</v>
      </c>
      <c r="U12" s="39">
        <v>13031.27</v>
      </c>
      <c r="V12" s="38">
        <v>14208.720000000001</v>
      </c>
      <c r="W12" s="39">
        <v>15216.92</v>
      </c>
    </row>
    <row r="13" spans="1:23" ht="15.75" customHeight="1" x14ac:dyDescent="0.2">
      <c r="A13" s="37" t="s">
        <v>41</v>
      </c>
      <c r="B13" s="38">
        <v>0</v>
      </c>
      <c r="C13" s="39">
        <v>878</v>
      </c>
      <c r="D13" s="38">
        <v>1799</v>
      </c>
      <c r="E13" s="39">
        <v>2790</v>
      </c>
      <c r="F13" s="38">
        <v>3886</v>
      </c>
      <c r="G13" s="39">
        <v>5156</v>
      </c>
      <c r="H13" s="38">
        <v>6634</v>
      </c>
      <c r="I13" s="39">
        <v>8404</v>
      </c>
      <c r="J13" s="38">
        <v>10600</v>
      </c>
      <c r="K13" s="39">
        <v>13375</v>
      </c>
      <c r="L13" s="38">
        <v>16872</v>
      </c>
      <c r="M13" s="39">
        <v>21096</v>
      </c>
      <c r="N13" s="38">
        <v>25804</v>
      </c>
      <c r="O13" s="39">
        <v>30580</v>
      </c>
      <c r="P13" s="38">
        <v>34966</v>
      </c>
      <c r="Q13" s="39">
        <v>38620</v>
      </c>
      <c r="R13" s="38">
        <v>41535</v>
      </c>
      <c r="S13" s="39">
        <v>43682</v>
      </c>
      <c r="T13" s="38">
        <v>45328</v>
      </c>
      <c r="U13" s="39">
        <v>46747</v>
      </c>
      <c r="V13" s="38">
        <v>47900</v>
      </c>
      <c r="W13" s="39">
        <v>48896</v>
      </c>
    </row>
    <row r="14" spans="1:23" s="57" customFormat="1" ht="15.75" customHeight="1" x14ac:dyDescent="0.25">
      <c r="A14" s="41" t="s">
        <v>19</v>
      </c>
      <c r="B14" s="42">
        <f t="shared" ref="B14:U14" si="0">SUM(B3:B13)</f>
        <v>0</v>
      </c>
      <c r="C14" s="43">
        <f t="shared" si="0"/>
        <v>3381.2224586800012</v>
      </c>
      <c r="D14" s="42">
        <f t="shared" si="0"/>
        <v>4969.172458680001</v>
      </c>
      <c r="E14" s="43">
        <f t="shared" si="0"/>
        <v>6398.3124586800004</v>
      </c>
      <c r="F14" s="42">
        <f t="shared" si="0"/>
        <v>7617.4116337400001</v>
      </c>
      <c r="G14" s="43">
        <f t="shared" si="0"/>
        <v>10787.52163374</v>
      </c>
      <c r="H14" s="42">
        <f t="shared" si="0"/>
        <v>13087.99795689</v>
      </c>
      <c r="I14" s="43">
        <f t="shared" si="0"/>
        <v>16691.347630279997</v>
      </c>
      <c r="J14" s="42">
        <f t="shared" si="0"/>
        <v>19753.27860147</v>
      </c>
      <c r="K14" s="43">
        <f t="shared" si="0"/>
        <v>23731.051399600001</v>
      </c>
      <c r="L14" s="42">
        <f t="shared" si="0"/>
        <v>27252.769701290003</v>
      </c>
      <c r="M14" s="43">
        <f t="shared" si="0"/>
        <v>31731.23164813</v>
      </c>
      <c r="N14" s="42">
        <f t="shared" si="0"/>
        <v>37141.061648130002</v>
      </c>
      <c r="O14" s="43">
        <f t="shared" si="0"/>
        <v>42216.011648129999</v>
      </c>
      <c r="P14" s="42">
        <f t="shared" si="0"/>
        <v>46597.615076089998</v>
      </c>
      <c r="Q14" s="43">
        <f t="shared" si="0"/>
        <v>52012.936531250001</v>
      </c>
      <c r="R14" s="42">
        <f t="shared" si="0"/>
        <v>57008.465642130002</v>
      </c>
      <c r="S14" s="43">
        <f t="shared" si="0"/>
        <v>65388.964153360001</v>
      </c>
      <c r="T14" s="42">
        <f t="shared" si="0"/>
        <v>73854.631707120003</v>
      </c>
      <c r="U14" s="43">
        <f t="shared" si="0"/>
        <v>77713.518167589995</v>
      </c>
      <c r="V14" s="42">
        <f t="shared" ref="V14:W14" si="1">SUM(V3:V13)</f>
        <v>81809.029006469995</v>
      </c>
      <c r="W14" s="43">
        <f t="shared" si="1"/>
        <v>84278.701827379991</v>
      </c>
    </row>
    <row r="15" spans="1:23" ht="15.75" customHeight="1" x14ac:dyDescent="0.2">
      <c r="B15" s="58"/>
      <c r="C15" s="58"/>
    </row>
    <row r="16" spans="1:23" ht="15.75" customHeight="1" x14ac:dyDescent="0.2">
      <c r="B16" s="58"/>
      <c r="C16" s="5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Z10"/>
  <sheetViews>
    <sheetView workbookViewId="0"/>
  </sheetViews>
  <sheetFormatPr defaultColWidth="9.140625" defaultRowHeight="12.75" x14ac:dyDescent="0.2"/>
  <cols>
    <col min="1" max="1" width="13.85546875" style="2" bestFit="1" customWidth="1"/>
    <col min="2" max="23" width="10.42578125" style="2" customWidth="1"/>
    <col min="24" max="16384" width="9.140625" style="2"/>
  </cols>
  <sheetData>
    <row r="1" spans="1:26" ht="15.75" x14ac:dyDescent="0.25">
      <c r="A1" s="20" t="s">
        <v>70</v>
      </c>
    </row>
    <row r="2" spans="1:26" s="36" customFormat="1" x14ac:dyDescent="0.2">
      <c r="A2" s="33" t="s">
        <v>34</v>
      </c>
      <c r="B2" s="50" t="s">
        <v>0</v>
      </c>
      <c r="C2" s="51" t="s">
        <v>1</v>
      </c>
      <c r="D2" s="50" t="s">
        <v>2</v>
      </c>
      <c r="E2" s="51" t="s">
        <v>3</v>
      </c>
      <c r="F2" s="50" t="s">
        <v>4</v>
      </c>
      <c r="G2" s="51" t="s">
        <v>5</v>
      </c>
      <c r="H2" s="50" t="s">
        <v>6</v>
      </c>
      <c r="I2" s="51" t="s">
        <v>7</v>
      </c>
      <c r="J2" s="50" t="s">
        <v>8</v>
      </c>
      <c r="K2" s="51" t="s">
        <v>9</v>
      </c>
      <c r="L2" s="50" t="s">
        <v>10</v>
      </c>
      <c r="M2" s="51" t="s">
        <v>11</v>
      </c>
      <c r="N2" s="50" t="s">
        <v>12</v>
      </c>
      <c r="O2" s="51" t="s">
        <v>13</v>
      </c>
      <c r="P2" s="50" t="s">
        <v>14</v>
      </c>
      <c r="Q2" s="51" t="s">
        <v>15</v>
      </c>
      <c r="R2" s="50" t="s">
        <v>16</v>
      </c>
      <c r="S2" s="51" t="s">
        <v>45</v>
      </c>
      <c r="T2" s="50" t="s">
        <v>61</v>
      </c>
      <c r="U2" s="51" t="s">
        <v>62</v>
      </c>
      <c r="V2" s="50" t="s">
        <v>63</v>
      </c>
      <c r="W2" s="51" t="s">
        <v>64</v>
      </c>
    </row>
    <row r="3" spans="1:26" s="5" customFormat="1" ht="15.75" customHeight="1" x14ac:dyDescent="0.2">
      <c r="A3" s="37" t="s">
        <v>35</v>
      </c>
      <c r="B3" s="38" t="s">
        <v>71</v>
      </c>
      <c r="C3" s="39">
        <v>33.000999999999998</v>
      </c>
      <c r="D3" s="38">
        <v>33.000999999999998</v>
      </c>
      <c r="E3" s="39">
        <v>33.000999999999998</v>
      </c>
      <c r="F3" s="38">
        <v>136.64699999999999</v>
      </c>
      <c r="G3" s="39">
        <v>145.571</v>
      </c>
      <c r="H3" s="38">
        <v>145.571</v>
      </c>
      <c r="I3" s="39">
        <v>145.571</v>
      </c>
      <c r="J3" s="38">
        <v>145.571</v>
      </c>
      <c r="K3" s="39">
        <v>145.571</v>
      </c>
      <c r="L3" s="38">
        <v>145.571</v>
      </c>
      <c r="M3" s="39">
        <v>145.571</v>
      </c>
      <c r="N3" s="38">
        <v>145.571</v>
      </c>
      <c r="O3" s="39">
        <v>145.571</v>
      </c>
      <c r="P3" s="38">
        <v>145.571</v>
      </c>
      <c r="Q3" s="39">
        <v>219.74100000000001</v>
      </c>
      <c r="R3" s="38">
        <v>348.12099999999998</v>
      </c>
      <c r="S3" s="39">
        <v>993.80899999999997</v>
      </c>
      <c r="T3" s="38">
        <v>1333.4659999999999</v>
      </c>
      <c r="U3" s="39">
        <v>1336.6279999999999</v>
      </c>
      <c r="V3" s="38">
        <v>1422.3309999999999</v>
      </c>
      <c r="W3" s="39">
        <v>1424.135</v>
      </c>
    </row>
    <row r="4" spans="1:26" s="5" customFormat="1" ht="15.75" customHeight="1" x14ac:dyDescent="0.2">
      <c r="A4" s="37" t="s">
        <v>36</v>
      </c>
      <c r="B4" s="38" t="s">
        <v>71</v>
      </c>
      <c r="C4" s="39" t="s">
        <v>71</v>
      </c>
      <c r="D4" s="38" t="s">
        <v>71</v>
      </c>
      <c r="E4" s="39" t="s">
        <v>71</v>
      </c>
      <c r="F4" s="38" t="s">
        <v>71</v>
      </c>
      <c r="G4" s="39" t="s">
        <v>71</v>
      </c>
      <c r="H4" s="38">
        <v>73.350999999999999</v>
      </c>
      <c r="I4" s="39">
        <v>168.208</v>
      </c>
      <c r="J4" s="38">
        <v>249.09100000000001</v>
      </c>
      <c r="K4" s="39">
        <v>321.94900000000001</v>
      </c>
      <c r="L4" s="38">
        <v>404.68400000000003</v>
      </c>
      <c r="M4" s="39">
        <v>534.02800000000002</v>
      </c>
      <c r="N4" s="38">
        <v>534.02800000000002</v>
      </c>
      <c r="O4" s="39">
        <v>534.02800000000002</v>
      </c>
      <c r="P4" s="38">
        <v>560.07899999999995</v>
      </c>
      <c r="Q4" s="39">
        <v>565.39499999999998</v>
      </c>
      <c r="R4" s="38">
        <v>565.79399999999998</v>
      </c>
      <c r="S4" s="39">
        <v>587.09</v>
      </c>
      <c r="T4" s="38">
        <v>769.62300000000005</v>
      </c>
      <c r="U4" s="39">
        <v>866.06299999999999</v>
      </c>
      <c r="V4" s="38">
        <v>944.86500000000001</v>
      </c>
      <c r="W4" s="39">
        <v>978.34400000000005</v>
      </c>
    </row>
    <row r="5" spans="1:26" s="5" customFormat="1" ht="15.75" customHeight="1" x14ac:dyDescent="0.2">
      <c r="A5" s="37" t="s">
        <v>37</v>
      </c>
      <c r="B5" s="38" t="s">
        <v>71</v>
      </c>
      <c r="C5" s="39">
        <v>1.248</v>
      </c>
      <c r="D5" s="38">
        <v>72.266000000000005</v>
      </c>
      <c r="E5" s="39">
        <v>153.77600000000001</v>
      </c>
      <c r="F5" s="38">
        <v>241.28200000000001</v>
      </c>
      <c r="G5" s="39">
        <v>458.22199999999998</v>
      </c>
      <c r="H5" s="38">
        <v>544.34100000000001</v>
      </c>
      <c r="I5" s="39">
        <v>544.34100000000001</v>
      </c>
      <c r="J5" s="38">
        <v>544.34100000000001</v>
      </c>
      <c r="K5" s="39">
        <v>544.34100000000001</v>
      </c>
      <c r="L5" s="38">
        <v>544.34100000000001</v>
      </c>
      <c r="M5" s="39">
        <v>544.34100000000001</v>
      </c>
      <c r="N5" s="38">
        <v>544.34100000000001</v>
      </c>
      <c r="O5" s="39">
        <v>544.34100000000001</v>
      </c>
      <c r="P5" s="38">
        <v>553.76199999999994</v>
      </c>
      <c r="Q5" s="39">
        <v>564.12300000000005</v>
      </c>
      <c r="R5" s="38">
        <v>713.31500000000005</v>
      </c>
      <c r="S5" s="39">
        <v>738.73099999999999</v>
      </c>
      <c r="T5" s="38">
        <v>761.88400000000001</v>
      </c>
      <c r="U5" s="39">
        <v>761.88400000000001</v>
      </c>
      <c r="V5" s="38">
        <v>779.024</v>
      </c>
      <c r="W5" s="39">
        <v>777.77599999999995</v>
      </c>
    </row>
    <row r="6" spans="1:26" s="5" customFormat="1" ht="15.75" customHeight="1" x14ac:dyDescent="0.2">
      <c r="A6" s="37" t="s">
        <v>38</v>
      </c>
      <c r="B6" s="38" t="s">
        <v>71</v>
      </c>
      <c r="C6" s="39">
        <v>1.615</v>
      </c>
      <c r="D6" s="38">
        <v>1.615</v>
      </c>
      <c r="E6" s="39">
        <v>1.615</v>
      </c>
      <c r="F6" s="38">
        <v>7.3070000000000004</v>
      </c>
      <c r="G6" s="39">
        <v>7.3070000000000004</v>
      </c>
      <c r="H6" s="38">
        <v>69.061000000000007</v>
      </c>
      <c r="I6" s="39">
        <v>110.705</v>
      </c>
      <c r="J6" s="38">
        <v>110.705</v>
      </c>
      <c r="K6" s="39">
        <v>110.705</v>
      </c>
      <c r="L6" s="38">
        <v>110.705</v>
      </c>
      <c r="M6" s="39">
        <v>110.705</v>
      </c>
      <c r="N6" s="38">
        <v>110.705</v>
      </c>
      <c r="O6" s="39">
        <v>110.705</v>
      </c>
      <c r="P6" s="38">
        <v>120.294</v>
      </c>
      <c r="Q6" s="39">
        <v>120.294</v>
      </c>
      <c r="R6" s="38">
        <v>198.11099999999999</v>
      </c>
      <c r="S6" s="39">
        <v>268.92700000000002</v>
      </c>
      <c r="T6" s="38">
        <v>287.37599999999998</v>
      </c>
      <c r="U6" s="39">
        <v>287.37599999999998</v>
      </c>
      <c r="V6" s="38">
        <v>334.726</v>
      </c>
      <c r="W6" s="39">
        <v>334.726</v>
      </c>
    </row>
    <row r="7" spans="1:26" s="5" customFormat="1" ht="15.75" customHeight="1" x14ac:dyDescent="0.2">
      <c r="A7" s="37" t="s">
        <v>39</v>
      </c>
      <c r="B7" s="38" t="s">
        <v>71</v>
      </c>
      <c r="C7" s="39" t="s">
        <v>71</v>
      </c>
      <c r="D7" s="38" t="s">
        <v>71</v>
      </c>
      <c r="E7" s="39" t="s">
        <v>71</v>
      </c>
      <c r="F7" s="38" t="s">
        <v>71</v>
      </c>
      <c r="G7" s="39" t="s">
        <v>71</v>
      </c>
      <c r="H7" s="38" t="s">
        <v>71</v>
      </c>
      <c r="I7" s="39" t="s">
        <v>71</v>
      </c>
      <c r="J7" s="38" t="s">
        <v>71</v>
      </c>
      <c r="K7" s="39" t="s">
        <v>71</v>
      </c>
      <c r="L7" s="38" t="s">
        <v>71</v>
      </c>
      <c r="M7" s="39" t="s">
        <v>71</v>
      </c>
      <c r="N7" s="38" t="s">
        <v>71</v>
      </c>
      <c r="O7" s="39" t="s">
        <v>71</v>
      </c>
      <c r="P7" s="38">
        <v>21.123999999999999</v>
      </c>
      <c r="Q7" s="39">
        <v>21.123999999999999</v>
      </c>
      <c r="R7" s="38">
        <v>41.69</v>
      </c>
      <c r="S7" s="39">
        <v>41.69</v>
      </c>
      <c r="T7" s="38">
        <v>45.695999999999998</v>
      </c>
      <c r="U7" s="39">
        <v>45.695999999999998</v>
      </c>
      <c r="V7" s="38">
        <v>45.695999999999998</v>
      </c>
      <c r="W7" s="39">
        <v>45.695999999999998</v>
      </c>
    </row>
    <row r="8" spans="1:26" x14ac:dyDescent="0.2">
      <c r="A8" s="59" t="s">
        <v>77</v>
      </c>
      <c r="B8" s="6"/>
      <c r="C8" s="6"/>
      <c r="D8" s="6"/>
      <c r="E8" s="6"/>
      <c r="F8" s="6"/>
      <c r="G8" s="6"/>
      <c r="H8" s="6"/>
      <c r="I8" s="6"/>
      <c r="J8" s="6"/>
      <c r="K8" s="6"/>
      <c r="L8" s="6"/>
      <c r="M8" s="6"/>
      <c r="N8" s="6"/>
      <c r="O8" s="6"/>
      <c r="P8" s="6"/>
      <c r="Q8" s="6"/>
      <c r="R8" s="6"/>
      <c r="S8" s="6"/>
      <c r="T8" s="6"/>
      <c r="U8" s="6"/>
      <c r="V8" s="6"/>
      <c r="W8" s="6"/>
    </row>
    <row r="10" spans="1:26" ht="14.25" x14ac:dyDescent="0.2">
      <c r="A10" s="53"/>
      <c r="B10" s="58"/>
      <c r="C10" s="58"/>
      <c r="D10" s="53"/>
      <c r="E10" s="53"/>
      <c r="F10" s="53"/>
      <c r="G10" s="53"/>
      <c r="H10" s="53"/>
      <c r="I10" s="53"/>
      <c r="J10" s="53"/>
      <c r="K10" s="53"/>
      <c r="L10" s="53"/>
      <c r="M10" s="53"/>
      <c r="N10" s="53"/>
      <c r="O10" s="53"/>
      <c r="P10" s="53"/>
      <c r="Q10" s="53"/>
      <c r="R10" s="53"/>
      <c r="S10" s="53"/>
      <c r="T10" s="53"/>
      <c r="U10" s="53"/>
      <c r="V10" s="53"/>
      <c r="W10" s="53"/>
      <c r="X10" s="53"/>
      <c r="Y10" s="53"/>
      <c r="Z10" s="5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a14523ce-dede-483e-883a-2d83261080bd">NETWORKDEV-1262562635-209</_dlc_DocId>
    <_dlc_DocIdUrl xmlns="a14523ce-dede-483e-883a-2d83261080bd">
      <Url>http://sharedocs/sites/nd/BusinessAsUsual/_layouts/15/DocIdRedir.aspx?ID=NETWORKDEV-1262562635-209</Url>
      <Description>NETWORKDEV-1262562635-209</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5EE2FDD9A15D549AEA83EA1B400EBDA" ma:contentTypeVersion="0" ma:contentTypeDescription="Create a new document." ma:contentTypeScope="" ma:versionID="ad79084dcdd2c6282bac2fbd9f324cf9">
  <xsd:schema xmlns:xsd="http://www.w3.org/2001/XMLSchema" xmlns:xs="http://www.w3.org/2001/XMLSchema" xmlns:p="http://schemas.microsoft.com/office/2006/metadata/properties" xmlns:ns2="a14523ce-dede-483e-883a-2d83261080bd" targetNamespace="http://schemas.microsoft.com/office/2006/metadata/properties" ma:root="true" ma:fieldsID="7609b2132cc27c2e027996f255529d92" ns2:_="">
    <xsd:import namespace="a14523ce-dede-483e-883a-2d83261080b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4523ce-dede-483e-883a-2d83261080b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4884797-D8A5-45D4-A6C8-85916C62C8C0}">
  <ds:schemaRefs>
    <ds:schemaRef ds:uri="http://schemas.microsoft.com/sharepoint/v3/contenttype/forms"/>
  </ds:schemaRefs>
</ds:datastoreItem>
</file>

<file path=customXml/itemProps2.xml><?xml version="1.0" encoding="utf-8"?>
<ds:datastoreItem xmlns:ds="http://schemas.openxmlformats.org/officeDocument/2006/customXml" ds:itemID="{F3203936-8F89-476E-B0D1-A4F68C695FA1}">
  <ds:schemaRefs>
    <ds:schemaRef ds:uri="http://schemas.openxmlformats.org/package/2006/metadata/core-properties"/>
    <ds:schemaRef ds:uri="http://schemas.microsoft.com/office/2006/documentManagement/types"/>
    <ds:schemaRef ds:uri="http://purl.org/dc/terms/"/>
    <ds:schemaRef ds:uri="http://schemas.microsoft.com/office/2006/metadata/properties"/>
    <ds:schemaRef ds:uri="a14523ce-dede-483e-883a-2d83261080bd"/>
    <ds:schemaRef ds:uri="http://www.w3.org/XML/1998/namespace"/>
    <ds:schemaRef ds:uri="http://purl.org/dc/dcmitype/"/>
    <ds:schemaRef ds:uri="http://purl.org/dc/elements/1.1/"/>
    <ds:schemaRef ds:uri="http://schemas.microsoft.com/office/infopath/2007/PartnerControls"/>
  </ds:schemaRefs>
</ds:datastoreItem>
</file>

<file path=customXml/itemProps3.xml><?xml version="1.0" encoding="utf-8"?>
<ds:datastoreItem xmlns:ds="http://schemas.openxmlformats.org/officeDocument/2006/customXml" ds:itemID="{1932FEEB-AFF4-44A6-AF08-8958FB854E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4523ce-dede-483e-883a-2d8326108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B08047A-94CC-4FCF-A37F-45A7EEF88F1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3</vt:i4>
      </vt:variant>
    </vt:vector>
  </HeadingPairs>
  <TitlesOfParts>
    <vt:vector size="10" baseType="lpstr">
      <vt:lpstr>Index</vt:lpstr>
      <vt:lpstr>Market Benefits Summary</vt:lpstr>
      <vt:lpstr>Net Market Benefits</vt:lpstr>
      <vt:lpstr>NEMInstalledCapacity Data</vt:lpstr>
      <vt:lpstr>NEMEnergyGenerated Data</vt:lpstr>
      <vt:lpstr>NewAndRetiredCapacity Data</vt:lpstr>
      <vt:lpstr>GenerationInvestment</vt:lpstr>
      <vt:lpstr>NEMInstalledCapacity Figure</vt:lpstr>
      <vt:lpstr>NEMEnergyGenerated Figure</vt:lpstr>
      <vt:lpstr>NewAndRetiredCapacity Figure</vt:lpstr>
    </vt:vector>
  </TitlesOfParts>
  <Company>AEMO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NTNDP_2016_Additional_Information</dc:title>
  <dc:creator>Monique Meerkotter</dc:creator>
  <cp:lastModifiedBy>AEMO</cp:lastModifiedBy>
  <dcterms:created xsi:type="dcterms:W3CDTF">2012-11-20T01:45:39Z</dcterms:created>
  <dcterms:modified xsi:type="dcterms:W3CDTF">2018-07-24T04:42:45Z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0x010100E5EE2FDD9A15D549AEA83EA1B400EBDA</vt:lpwstr>
  </property>
  <property fmtid="{D5CDD505-2E9C-101B-9397-08002B2CF9AE}" pid="3" name="_dlc_DocIdItemGuid">
    <vt:lpwstr>33e8c2c2-cf42-46e7-a3e5-46bd238f3641</vt:lpwstr>
  </property>
  <property fmtid="{D5CDD505-2E9C-101B-9397-08002B2CF9AE}" pid="4" name="AEMOKeywords">
    <vt:lpwstr/>
  </property>
  <property fmtid="{D5CDD505-2E9C-101B-9397-08002B2CF9AE}" pid="5" name="AEMODocumentType">
    <vt:lpwstr>1;#Operational Record|859762f2-4462-42eb-9744-c955c7e2c540</vt:lpwstr>
  </property>
  <property fmtid="{D5CDD505-2E9C-101B-9397-08002B2CF9AE}" pid="6" name="DocumentStorageId">
    <vt:lpwstr/>
  </property>
  <property fmtid="{D5CDD505-2E9C-101B-9397-08002B2CF9AE}" pid="7" name="AEMODocumentTypeTaxHTField0">
    <vt:lpwstr>Operational Record|859762f2-4462-42eb-9744-c955c7e2c540</vt:lpwstr>
  </property>
  <property fmtid="{D5CDD505-2E9C-101B-9397-08002B2CF9AE}" pid="8" name="TaxCatchAll">
    <vt:lpwstr>1;#Operational Record|859762f2-4462-42eb-9744-c955c7e2c540</vt:lpwstr>
  </property>
  <property fmtid="{D5CDD505-2E9C-101B-9397-08002B2CF9AE}" pid="9" name="AEMOKeywordsTaxHTField0">
    <vt:lpwstr/>
  </property>
</Properties>
</file>