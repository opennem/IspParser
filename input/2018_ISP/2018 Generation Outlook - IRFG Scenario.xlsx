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chartsheets/sheet2.xml" ContentType="application/vnd.openxmlformats-officedocument.spreadsheetml.chartsheet+xml"/>
  <Override PartName="/xl/worksheets/sheet5.xml" ContentType="application/vnd.openxmlformats-officedocument.spreadsheetml.worksheet+xml"/>
  <Override PartName="/xl/chartsheets/sheet3.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925"/>
  <workbookPr codeName="ThisWorkbook"/>
  <mc:AlternateContent xmlns:mc="http://schemas.openxmlformats.org/markup-compatibility/2006">
    <mc:Choice Requires="x15">
      <x15ac:absPath xmlns:x15ac="http://schemas.microsoft.com/office/spreadsheetml/2010/11/ac" url="A:\ISP\Reports for publication\ISP database\2018 ISP Generation and Transmission Outlooks\"/>
    </mc:Choice>
  </mc:AlternateContent>
  <bookViews>
    <workbookView xWindow="0" yWindow="0" windowWidth="19200" windowHeight="6990" tabRatio="876"/>
  </bookViews>
  <sheets>
    <sheet name="Index" sheetId="42" r:id="rId1"/>
    <sheet name="Market Benefits Summary" sheetId="47" r:id="rId2"/>
    <sheet name="Net Market Benefits" sheetId="46" r:id="rId3"/>
    <sheet name="NEMInstalledCapacity Figure" sheetId="40" r:id="rId4"/>
    <sheet name="NEMInstalledCapacity Data" sheetId="2" r:id="rId5"/>
    <sheet name="NEMEnergyGenerated Figure" sheetId="41" r:id="rId6"/>
    <sheet name="NEMEnergyGenerated Data" sheetId="5" r:id="rId7"/>
    <sheet name="NewAndRetiredCapacity Figure" sheetId="38" r:id="rId8"/>
    <sheet name="NewAndRetiredCapacity Data" sheetId="29" r:id="rId9"/>
    <sheet name="GenerationInvestment" sheetId="43" r:id="rId10"/>
  </sheets>
  <definedNames>
    <definedName name="_xlnm._FilterDatabase" localSheetId="6" hidden="1">'NEMEnergyGenerated Data'!#REF!</definedName>
    <definedName name="_xlnm._FilterDatabase" localSheetId="4" hidden="1">'NEMInstalledCapacity Data'!$A$15:$AR$17</definedName>
    <definedName name="_xlnm._FilterDatabase" localSheetId="2" hidden="1">'Net Market Benefits'!#REF!</definedName>
    <definedName name="_xlnm._FilterDatabase" localSheetId="8" hidden="1">'NewAndRetiredCapacity Data'!#REF!</definedName>
  </definedNames>
  <calcPr calcId="171027"/>
</workbook>
</file>

<file path=xl/calcChain.xml><?xml version="1.0" encoding="utf-8"?>
<calcChain xmlns="http://schemas.openxmlformats.org/spreadsheetml/2006/main">
  <c r="S24" i="47" l="1"/>
  <c r="R24" i="47"/>
  <c r="L24" i="47"/>
  <c r="K24" i="47"/>
  <c r="E24" i="47"/>
  <c r="D24" i="47"/>
  <c r="S12" i="47"/>
  <c r="R12" i="47"/>
  <c r="L12" i="47"/>
  <c r="K12" i="47"/>
  <c r="E12" i="47"/>
  <c r="D12" i="47"/>
  <c r="T10" i="47"/>
  <c r="T9" i="47"/>
  <c r="T8" i="47"/>
  <c r="T7" i="47"/>
  <c r="T6" i="47"/>
  <c r="T5" i="47"/>
  <c r="C14" i="29" l="1"/>
  <c r="W14" i="29" l="1"/>
  <c r="V14" i="29"/>
  <c r="E16" i="5"/>
  <c r="F16" i="5"/>
  <c r="G16" i="5"/>
  <c r="H16" i="5"/>
  <c r="I16" i="5"/>
  <c r="J16" i="5"/>
  <c r="K16" i="5"/>
  <c r="L16" i="5"/>
  <c r="M16" i="5"/>
  <c r="N16" i="5"/>
  <c r="O16" i="5"/>
  <c r="P16" i="5"/>
  <c r="Q16" i="5"/>
  <c r="R16" i="5"/>
  <c r="S16" i="5"/>
  <c r="T16" i="5"/>
  <c r="U16" i="5"/>
  <c r="V16" i="5"/>
  <c r="W16" i="5"/>
  <c r="X16" i="5"/>
  <c r="D16" i="5"/>
  <c r="C16" i="5"/>
  <c r="W14" i="2"/>
  <c r="X14" i="2"/>
  <c r="D14" i="2" l="1"/>
  <c r="E14" i="2"/>
  <c r="F14" i="2"/>
  <c r="G14" i="2"/>
  <c r="H14" i="2"/>
  <c r="I14" i="2"/>
  <c r="J14" i="2"/>
  <c r="K14" i="2"/>
  <c r="L14" i="2"/>
  <c r="M14" i="2"/>
  <c r="N14" i="2"/>
  <c r="O14" i="2"/>
  <c r="P14" i="2"/>
  <c r="Q14" i="2"/>
  <c r="R14" i="2"/>
  <c r="S14" i="2"/>
  <c r="T14" i="2"/>
  <c r="U14" i="2"/>
  <c r="V14" i="2"/>
  <c r="C14" i="2"/>
  <c r="B14" i="29" l="1"/>
  <c r="D14" i="29"/>
  <c r="E14" i="29"/>
  <c r="F14" i="29"/>
  <c r="G14" i="29"/>
  <c r="H14" i="29"/>
  <c r="I14" i="29"/>
  <c r="J14" i="29"/>
  <c r="K14" i="29"/>
  <c r="L14" i="29"/>
  <c r="M14" i="29"/>
  <c r="N14" i="29"/>
  <c r="O14" i="29"/>
  <c r="P14" i="29"/>
  <c r="Q14" i="29"/>
  <c r="R14" i="29"/>
  <c r="S14" i="29"/>
  <c r="T14" i="29"/>
  <c r="U14" i="29"/>
</calcChain>
</file>

<file path=xl/sharedStrings.xml><?xml version="1.0" encoding="utf-8"?>
<sst xmlns="http://schemas.openxmlformats.org/spreadsheetml/2006/main" count="425" uniqueCount="107">
  <si>
    <t>2018-19</t>
  </si>
  <si>
    <t>2019-20</t>
  </si>
  <si>
    <t>2020-21</t>
  </si>
  <si>
    <t>2021-22</t>
  </si>
  <si>
    <t>2022-23</t>
  </si>
  <si>
    <t>2023-24</t>
  </si>
  <si>
    <t>2024-25</t>
  </si>
  <si>
    <t>2025-26</t>
  </si>
  <si>
    <t>2026-27</t>
  </si>
  <si>
    <t>2027-28</t>
  </si>
  <si>
    <t>2028-29</t>
  </si>
  <si>
    <t>2029-30</t>
  </si>
  <si>
    <t>2030-31</t>
  </si>
  <si>
    <t>2031-32</t>
  </si>
  <si>
    <t>2032-33</t>
  </si>
  <si>
    <t>2033-34</t>
  </si>
  <si>
    <t>2034-35</t>
  </si>
  <si>
    <t>Hydro</t>
  </si>
  <si>
    <t>Wind</t>
  </si>
  <si>
    <t>Total</t>
  </si>
  <si>
    <t>Technology</t>
  </si>
  <si>
    <t>Cumulative NEM Total New Entry / Retired Capacity by Technology (MW)</t>
  </si>
  <si>
    <t>Total NEM Installed Capacity by Technology (MW)</t>
  </si>
  <si>
    <t>Please note that the data format may need to be adjusted in order to view the data to the level of fidelity required. 
For example, you may need to format the cell to a more appropriate number of decimal places in some cases as desired.</t>
  </si>
  <si>
    <t>Index Table</t>
  </si>
  <si>
    <t>Tab Name</t>
  </si>
  <si>
    <t>Content Description</t>
  </si>
  <si>
    <t>NEMInstalledCapacity Figure</t>
  </si>
  <si>
    <t>NEMInstalledCapacity Data</t>
  </si>
  <si>
    <t>NEMEnergyGenerated Figure</t>
  </si>
  <si>
    <t>NEMEnergyGenerated Data</t>
  </si>
  <si>
    <t>NewAndRetiredCapacity Figure</t>
  </si>
  <si>
    <t>NewAndRetiredCapacity Data</t>
  </si>
  <si>
    <t>GenerationInvestment</t>
  </si>
  <si>
    <t>Region</t>
  </si>
  <si>
    <t>NSW</t>
  </si>
  <si>
    <t>QLD</t>
  </si>
  <si>
    <t>VIC</t>
  </si>
  <si>
    <t>SA</t>
  </si>
  <si>
    <t>TAS</t>
  </si>
  <si>
    <t xml:space="preserve">Total </t>
  </si>
  <si>
    <t>Rooftop PV</t>
  </si>
  <si>
    <t>NEM</t>
  </si>
  <si>
    <t>About</t>
  </si>
  <si>
    <t>CCGT</t>
  </si>
  <si>
    <t>2035-36</t>
  </si>
  <si>
    <t>Generation Cost</t>
  </si>
  <si>
    <t>FO&amp;M Cost</t>
  </si>
  <si>
    <t>Build Cost</t>
  </si>
  <si>
    <t>Intra-connectors</t>
  </si>
  <si>
    <t>Inter-connectors</t>
  </si>
  <si>
    <t>Total NEM installed capacity by technology (MW) and total NEM installed capacity by technology and zone (MW), yearly resolution for period 2018–19 to 2039–40.</t>
  </si>
  <si>
    <t>Cumulative NEM total new entry and retired capacity by technology (MW) and cumulative NEM total new entry and retired capacity by technology and zone, yearly resolution for period 2018–19 to 2039–40.</t>
  </si>
  <si>
    <t>Generation investment across the NEM ($ million), yearly resolution for period 2018–19 to 2039–40.</t>
  </si>
  <si>
    <t>Black coal</t>
  </si>
  <si>
    <t>Brown coal</t>
  </si>
  <si>
    <t>Peaking gas + liquids</t>
  </si>
  <si>
    <t>Utility Solar</t>
  </si>
  <si>
    <t>Utility storage</t>
  </si>
  <si>
    <t>Biomass</t>
  </si>
  <si>
    <t>Distributed storage</t>
  </si>
  <si>
    <t>2036-37</t>
  </si>
  <si>
    <t>2037-38</t>
  </si>
  <si>
    <t>2038-39</t>
  </si>
  <si>
    <t>2039-40</t>
  </si>
  <si>
    <t>Distributed storage load</t>
  </si>
  <si>
    <t>Utility storage generation</t>
  </si>
  <si>
    <t>Utility storage load</t>
  </si>
  <si>
    <t>Distributed storage generation</t>
  </si>
  <si>
    <t>Total NEM Generated Energy by Technology (GWh)</t>
  </si>
  <si>
    <t>Annualised Generation Investment across the NEM ($ million)</t>
  </si>
  <si>
    <t>2018 ISP Generation Outlook</t>
  </si>
  <si>
    <t>Total NEM generated energy by technology (GWh) and total NEM generated energy by technology and zone (GWh), yearly resolution for period 2018–19 to 2039–40.</t>
  </si>
  <si>
    <t>Breakdown of the total market benefits provided under this scenario. Market benefit is presented as NPV of equivalent annuities.</t>
  </si>
  <si>
    <t>Market Benefits of Increased Role For Gas scenario by 2040</t>
  </si>
  <si>
    <t>NPV ($ million)</t>
  </si>
  <si>
    <t>* Excludes annualised cost of committed and advanced generation projects</t>
  </si>
  <si>
    <t>This spreadsheet contains the generation and transmission outlook for the Increased role for gas scenario of the 2018 ISP. For a complete description of the scenarios and sensitivities, please see the 2018 ISP main report.</t>
  </si>
  <si>
    <t>Market Benefits Summary</t>
  </si>
  <si>
    <t>Market benefits summary for all scenarios in the 2018 ISP. Market benefit is presented as NPV of equivalent annuities.</t>
  </si>
  <si>
    <t>Market Benefits of Neutral scenario by 2040</t>
  </si>
  <si>
    <t>Market Benefits of Fast Change scenario by 2040</t>
  </si>
  <si>
    <t>Market Benefits of Slow Change scenario by 2040</t>
  </si>
  <si>
    <t>Neutral (without the interconnection plan)</t>
  </si>
  <si>
    <t>Neutral (with interconnection plan)</t>
  </si>
  <si>
    <t>Fast change (without the interconnection plan)</t>
  </si>
  <si>
    <t>Fast change (with interconnection plan)</t>
  </si>
  <si>
    <t>Slow change (without the interconnection plan)</t>
  </si>
  <si>
    <t>Slow change (with interconnection plan)</t>
  </si>
  <si>
    <t>Explicit investment</t>
  </si>
  <si>
    <t>Market Benefits of Neutral with storage intiatives scenario by 2040</t>
  </si>
  <si>
    <t>Market Benefits of High DER scenario by 2040</t>
  </si>
  <si>
    <t>Neutral with storage initiatives (without the interconnection plan)</t>
  </si>
  <si>
    <t>Neutral with storage (with interconnection plan)</t>
  </si>
  <si>
    <t>Increased role for gas (without the interconnection plan)</t>
  </si>
  <si>
    <t>Increased role for gas (with interconnection plan)</t>
  </si>
  <si>
    <t>High DER (without the interconnection plan)</t>
  </si>
  <si>
    <t>High DER (with interconnection plan)</t>
  </si>
  <si>
    <t>Version History</t>
  </si>
  <si>
    <t>Version Number</t>
  </si>
  <si>
    <t>Description</t>
  </si>
  <si>
    <t>v1.0</t>
  </si>
  <si>
    <t>Initial release</t>
  </si>
  <si>
    <t>v2.0</t>
  </si>
  <si>
    <t>Updated release – added Market Benefits Summary worksheet describing the Gross Market Benefits of each scenario. Updated “Market Benefits” sheet to “Net Market Benefits”</t>
  </si>
  <si>
    <t>Net Market Benefits</t>
  </si>
  <si>
    <t>Net Market Benefits of Increased Role For Gas scenario by 2040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</si>
</sst>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8" formatCode="&quot;$&quot;#,##0.00;[Red]\-&quot;$&quot;#,##0.00"/>
    <numFmt numFmtId="44" formatCode="_-&quot;$&quot;* #,##0.00_-;\-&quot;$&quot;* #,##0.00_-;_-&quot;$&quot;* &quot;-&quot;??_-;_-@_-"/>
    <numFmt numFmtId="43" formatCode="_-* #,##0.00_-;\-* #,##0.00_-;_-* &quot;-&quot;??_-;_-@_-"/>
    <numFmt numFmtId="164" formatCode="#,##0_ ;\-#,##0\ "/>
    <numFmt numFmtId="165" formatCode="0.000000"/>
    <numFmt numFmtId="166" formatCode="_-* #,##0_-;\-* #,##0_-;_-* &quot;-&quot;??_-;_-@_-"/>
  </numFmts>
  <fonts count="46" x14ac:knownFonts="1">
    <font>
      <sz val="10"/>
      <color theme="1"/>
      <name val="Arial"/>
      <family val="2"/>
    </font>
    <font>
      <sz val="11"/>
      <color theme="1"/>
      <name val="Tw Cen MT"/>
      <family val="2"/>
      <scheme val="minor"/>
    </font>
    <font>
      <sz val="11"/>
      <color theme="1"/>
      <name val="Arial"/>
      <family val="2"/>
    </font>
    <font>
      <sz val="11"/>
      <color theme="1"/>
      <name val="Arial"/>
      <family val="2"/>
    </font>
    <font>
      <sz val="11"/>
      <color theme="1"/>
      <name val="Arial"/>
      <family val="2"/>
    </font>
    <font>
      <sz val="10"/>
      <name val="Arial"/>
      <family val="2"/>
    </font>
    <font>
      <sz val="10"/>
      <color theme="1"/>
      <name val="Arial"/>
      <family val="2"/>
    </font>
    <font>
      <sz val="8"/>
      <color theme="1"/>
      <name val="Arial"/>
      <family val="2"/>
    </font>
    <font>
      <sz val="10"/>
      <color theme="0"/>
      <name val="Arial"/>
      <family val="2"/>
    </font>
    <font>
      <sz val="11"/>
      <color theme="1"/>
      <name val="Arial"/>
      <family val="2"/>
    </font>
    <font>
      <sz val="11"/>
      <color theme="1"/>
      <name val="Tw Cen MT"/>
      <family val="2"/>
      <scheme val="minor"/>
    </font>
    <font>
      <sz val="8"/>
      <color theme="0"/>
      <name val="Arial"/>
      <family val="2"/>
    </font>
    <font>
      <sz val="8"/>
      <color rgb="FF000099"/>
      <name val="Arial"/>
      <family val="2"/>
    </font>
    <font>
      <sz val="7"/>
      <name val="Arial"/>
      <family val="2"/>
    </font>
    <font>
      <sz val="8"/>
      <color rgb="FF000080"/>
      <name val="Arial"/>
      <family val="2"/>
    </font>
    <font>
      <b/>
      <sz val="11"/>
      <color theme="1"/>
      <name val="Arial"/>
      <family val="2"/>
    </font>
    <font>
      <b/>
      <sz val="10"/>
      <color theme="1"/>
      <name val="Arial"/>
      <family val="2"/>
    </font>
    <font>
      <b/>
      <sz val="18"/>
      <color theme="3"/>
      <name val="Tw Cen M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5"/>
      <color rgb="FFF47321"/>
      <name val="Arial"/>
      <family val="2"/>
    </font>
    <font>
      <b/>
      <sz val="11"/>
      <color rgb="FFF47321"/>
      <name val="Arial"/>
      <family val="2"/>
    </font>
    <font>
      <b/>
      <sz val="12"/>
      <color rgb="FFC00000"/>
      <name val="Tw Cen MT"/>
      <family val="2"/>
      <scheme val="major"/>
    </font>
    <font>
      <b/>
      <sz val="8"/>
      <color rgb="FF000000"/>
      <name val="Tw Cen MT"/>
      <family val="2"/>
      <scheme val="minor"/>
    </font>
    <font>
      <sz val="10"/>
      <color theme="1"/>
      <name val="Tw Cen MT"/>
      <family val="2"/>
      <scheme val="minor"/>
    </font>
    <font>
      <sz val="8"/>
      <color theme="1"/>
      <name val="Tw Cen MT"/>
      <family val="2"/>
      <scheme val="minor"/>
    </font>
    <font>
      <b/>
      <sz val="8"/>
      <color theme="1"/>
      <name val="Tw Cen MT"/>
      <family val="2"/>
      <scheme val="minor"/>
    </font>
    <font>
      <sz val="10"/>
      <color theme="1"/>
      <name val="Tw Cen MT"/>
      <family val="2"/>
      <scheme val="major"/>
    </font>
    <font>
      <b/>
      <sz val="12"/>
      <color theme="5"/>
      <name val="Tw Cen MT"/>
      <family val="2"/>
      <scheme val="minor"/>
    </font>
    <font>
      <b/>
      <sz val="10"/>
      <color theme="5"/>
      <name val="Tw Cen MT"/>
      <family val="2"/>
      <scheme val="minor"/>
    </font>
    <font>
      <b/>
      <sz val="10"/>
      <color theme="1"/>
      <name val="Tw Cen MT"/>
      <family val="2"/>
      <scheme val="minor"/>
    </font>
    <font>
      <b/>
      <sz val="20"/>
      <color rgb="FFC41230"/>
      <name val="Tw Cen MT"/>
      <family val="2"/>
      <scheme val="major"/>
    </font>
    <font>
      <b/>
      <sz val="14"/>
      <color rgb="FFC41230"/>
      <name val="Tw Cen MT"/>
      <family val="2"/>
      <scheme val="major"/>
    </font>
    <font>
      <b/>
      <sz val="10"/>
      <name val="Tw Cen MT"/>
      <family val="2"/>
      <scheme val="minor"/>
    </font>
    <font>
      <b/>
      <sz val="11"/>
      <color theme="5"/>
      <name val="Tw Cen MT"/>
      <family val="2"/>
      <scheme val="minor"/>
    </font>
  </fonts>
  <fills count="40">
    <fill>
      <patternFill patternType="none"/>
    </fill>
    <fill>
      <patternFill patternType="gray125"/>
    </fill>
    <fill>
      <patternFill patternType="solid">
        <fgColor theme="4"/>
      </patternFill>
    </fill>
    <fill>
      <patternFill patternType="solid">
        <fgColor indexed="26"/>
      </patternFill>
    </fill>
    <fill>
      <patternFill patternType="solid">
        <fgColor indexed="49"/>
      </patternFill>
    </fill>
    <fill>
      <patternFill patternType="solid">
        <fgColor rgb="FFD9D9D9"/>
        <bgColor indexed="64"/>
      </patternFill>
    </fill>
    <fill>
      <patternFill patternType="solid">
        <fgColor indexed="22"/>
        <bgColor indexed="64"/>
      </patternFill>
    </fill>
    <fill>
      <patternFill patternType="solid">
        <fgColor rgb="FFE6E6E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style="medium">
        <color theme="0"/>
      </right>
      <top style="thin">
        <color indexed="64"/>
      </top>
      <bottom/>
      <diagonal/>
    </border>
    <border>
      <left/>
      <right style="medium">
        <color theme="0"/>
      </right>
      <top/>
      <bottom/>
      <diagonal/>
    </border>
    <border>
      <left/>
      <right style="medium">
        <color theme="0"/>
      </right>
      <top/>
      <bottom style="medium">
        <color theme="0"/>
      </bottom>
      <diagonal/>
    </border>
    <border>
      <left style="thin">
        <color rgb="FFFEFDFD"/>
      </left>
      <right style="thin">
        <color theme="2"/>
      </right>
      <top style="thin">
        <color indexed="64"/>
      </top>
      <bottom style="thin">
        <color indexed="64"/>
      </bottom>
      <diagonal/>
    </border>
    <border>
      <left/>
      <right style="thin">
        <color rgb="FFFEFDFD"/>
      </right>
      <top style="thin">
        <color indexed="64"/>
      </top>
      <bottom style="thin">
        <color indexed="64"/>
      </bottom>
      <diagonal/>
    </border>
    <border>
      <left style="thin">
        <color rgb="FFFEFDFD"/>
      </left>
      <right style="thin">
        <color theme="1" tint="0.749992370372631"/>
      </right>
      <top style="thin">
        <color indexed="64"/>
      </top>
      <bottom style="thin">
        <color theme="1" tint="0.749992370372631"/>
      </bottom>
      <diagonal/>
    </border>
    <border>
      <left style="thin">
        <color theme="1" tint="0.749992370372631"/>
      </left>
      <right style="thin">
        <color rgb="FFFEFDFD"/>
      </right>
      <top style="thin">
        <color indexed="64"/>
      </top>
      <bottom style="thin">
        <color theme="1" tint="0.749992370372631"/>
      </bottom>
      <diagonal/>
    </border>
    <border>
      <left style="thin">
        <color rgb="FFFEFDFD"/>
      </left>
      <right/>
      <top/>
      <bottom/>
      <diagonal/>
    </border>
    <border>
      <left style="thin">
        <color theme="1" tint="0.749992370372631"/>
      </left>
      <right style="thin">
        <color rgb="FFFEFDFD"/>
      </right>
      <top style="thin">
        <color theme="1" tint="0.749992370372631"/>
      </top>
      <bottom/>
      <diagonal/>
    </border>
    <border>
      <left style="thin">
        <color rgb="FFFEFDFD"/>
      </left>
      <right style="thin">
        <color theme="1" tint="0.749992370372631"/>
      </right>
      <top style="thin">
        <color theme="1" tint="0.749992370372631"/>
      </top>
      <bottom style="thin">
        <color theme="1" tint="0.749992370372631"/>
      </bottom>
      <diagonal/>
    </border>
    <border>
      <left style="thin">
        <color theme="1" tint="0.749992370372631"/>
      </left>
      <right style="thin">
        <color rgb="FFFEFDFD"/>
      </right>
      <top/>
      <bottom style="thin">
        <color theme="1" tint="0.749992370372631"/>
      </bottom>
      <diagonal/>
    </border>
    <border>
      <left style="thin">
        <color theme="1" tint="0.749992370372631"/>
      </left>
      <right style="thin">
        <color rgb="FFFEFDFD"/>
      </right>
      <top/>
      <bottom/>
      <diagonal/>
    </border>
    <border>
      <left style="thin">
        <color theme="1" tint="0.749992370372631"/>
      </left>
      <right style="thin">
        <color rgb="FFFEFDFD"/>
      </right>
      <top style="thin">
        <color theme="1" tint="0.749992370372631"/>
      </top>
      <bottom style="thin">
        <color theme="1" tint="0.749992370372631"/>
      </bottom>
      <diagonal/>
    </border>
    <border>
      <left/>
      <right/>
      <top/>
      <bottom style="thin">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rgb="FFFEFDFD"/>
      </left>
      <right style="thin">
        <color theme="1" tint="0.749992370372631"/>
      </right>
      <top style="thin">
        <color theme="1" tint="0.749992370372631"/>
      </top>
      <bottom/>
      <diagonal/>
    </border>
    <border>
      <left/>
      <right/>
      <top style="thin">
        <color theme="1" tint="0.749992370372631"/>
      </top>
      <bottom/>
      <diagonal/>
    </border>
  </borders>
  <cellStyleXfs count="711">
    <xf numFmtId="0" fontId="0" fillId="0" borderId="0"/>
    <xf numFmtId="0" fontId="6" fillId="0" borderId="0"/>
    <xf numFmtId="0" fontId="9" fillId="0" borderId="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10" fillId="0" borderId="0"/>
    <xf numFmtId="0" fontId="10" fillId="0" borderId="0"/>
    <xf numFmtId="0" fontId="1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1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9" fillId="0" borderId="0"/>
    <xf numFmtId="0" fontId="5" fillId="0" borderId="0"/>
    <xf numFmtId="0" fontId="7"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3" borderId="1" applyNumberFormat="0" applyFont="0" applyAlignment="0" applyProtection="0"/>
    <xf numFmtId="0" fontId="11" fillId="4" borderId="0">
      <alignment horizontal="center"/>
    </xf>
    <xf numFmtId="0" fontId="11" fillId="4" borderId="0">
      <alignment horizontal="center"/>
    </xf>
    <xf numFmtId="0" fontId="11" fillId="2"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2"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4"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9" fontId="5" fillId="0" borderId="0" applyFont="0" applyFill="0" applyBorder="0" applyAlignment="0" applyProtection="0"/>
    <xf numFmtId="9" fontId="5" fillId="0" borderId="0" applyFont="0" applyFill="0" applyBorder="0" applyAlignment="0" applyProtection="0"/>
    <xf numFmtId="4" fontId="7" fillId="0" borderId="0" applyNumberFormat="0" applyBorder="0" applyAlignment="0" applyProtection="0">
      <alignment horizontal="center"/>
    </xf>
    <xf numFmtId="0" fontId="12" fillId="5" borderId="0">
      <alignment horizontal="center" wrapText="1"/>
    </xf>
    <xf numFmtId="0" fontId="13" fillId="0" borderId="0" applyNumberFormat="0" applyBorder="0">
      <alignment horizontal="left" wrapText="1"/>
    </xf>
    <xf numFmtId="0" fontId="13" fillId="0" borderId="0" applyNumberFormat="0" applyBorder="0">
      <alignment horizontal="left" wrapText="1"/>
    </xf>
    <xf numFmtId="0" fontId="14" fillId="6" borderId="0" applyNumberFormat="0" applyProtection="0"/>
    <xf numFmtId="0" fontId="14" fillId="6" borderId="0" applyNumberFormat="0" applyProtection="0"/>
    <xf numFmtId="0" fontId="14" fillId="7"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7"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6"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4" fillId="0" borderId="0"/>
    <xf numFmtId="43" fontId="6" fillId="0" borderId="0" applyFont="0" applyFill="0" applyBorder="0" applyAlignment="0" applyProtection="0"/>
    <xf numFmtId="0" fontId="4" fillId="0" borderId="0"/>
    <xf numFmtId="0" fontId="4" fillId="0" borderId="0"/>
    <xf numFmtId="0" fontId="17" fillId="0" borderId="0" applyNumberFormat="0" applyFill="0" applyBorder="0" applyAlignment="0" applyProtection="0"/>
    <xf numFmtId="0" fontId="18" fillId="0" borderId="2" applyNumberFormat="0" applyFill="0" applyAlignment="0" applyProtection="0"/>
    <xf numFmtId="0" fontId="19" fillId="0" borderId="3" applyNumberFormat="0" applyFill="0" applyAlignment="0" applyProtection="0"/>
    <xf numFmtId="0" fontId="20" fillId="0" borderId="4" applyNumberFormat="0" applyFill="0" applyAlignment="0" applyProtection="0"/>
    <xf numFmtId="0" fontId="20" fillId="0" borderId="0" applyNumberFormat="0" applyFill="0" applyBorder="0" applyAlignment="0" applyProtection="0"/>
    <xf numFmtId="0" fontId="21" fillId="8" borderId="0" applyNumberFormat="0" applyBorder="0" applyAlignment="0" applyProtection="0"/>
    <xf numFmtId="0" fontId="22" fillId="9" borderId="0" applyNumberFormat="0" applyBorder="0" applyAlignment="0" applyProtection="0"/>
    <xf numFmtId="0" fontId="23" fillId="10" borderId="0" applyNumberFormat="0" applyBorder="0" applyAlignment="0" applyProtection="0"/>
    <xf numFmtId="0" fontId="24" fillId="11" borderId="5" applyNumberFormat="0" applyAlignment="0" applyProtection="0"/>
    <xf numFmtId="0" fontId="25" fillId="12" borderId="6" applyNumberFormat="0" applyAlignment="0" applyProtection="0"/>
    <xf numFmtId="0" fontId="26" fillId="12" borderId="5" applyNumberFormat="0" applyAlignment="0" applyProtection="0"/>
    <xf numFmtId="0" fontId="27" fillId="0" borderId="7" applyNumberFormat="0" applyFill="0" applyAlignment="0" applyProtection="0"/>
    <xf numFmtId="0" fontId="28" fillId="13" borderId="8"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16" fillId="0" borderId="10" applyNumberFormat="0" applyFill="0" applyAlignment="0" applyProtection="0"/>
    <xf numFmtId="0" fontId="8" fillId="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8" fillId="37" borderId="0" applyNumberFormat="0" applyBorder="0" applyAlignment="0" applyProtection="0"/>
    <xf numFmtId="0" fontId="6" fillId="14" borderId="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4" borderId="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4" borderId="9" applyNumberFormat="0" applyFont="0" applyAlignment="0" applyProtection="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6" fillId="0" borderId="0"/>
    <xf numFmtId="43" fontId="6" fillId="0" borderId="0" applyFont="0" applyFill="0" applyBorder="0" applyAlignment="0" applyProtection="0"/>
  </cellStyleXfs>
  <cellXfs count="103">
    <xf numFmtId="0" fontId="0" fillId="0" borderId="0" xfId="0"/>
    <xf numFmtId="165" fontId="0" fillId="0" borderId="0" xfId="0" applyNumberFormat="1"/>
    <xf numFmtId="0" fontId="0" fillId="0" borderId="0" xfId="0"/>
    <xf numFmtId="0" fontId="31" fillId="38" borderId="0" xfId="0" applyFont="1" applyFill="1" applyAlignment="1">
      <alignment vertical="center"/>
    </xf>
    <xf numFmtId="0" fontId="32" fillId="38" borderId="0" xfId="0" applyFont="1" applyFill="1" applyAlignment="1">
      <alignment horizontal="left" vertical="center"/>
    </xf>
    <xf numFmtId="0" fontId="7" fillId="0" borderId="0" xfId="0" applyFont="1"/>
    <xf numFmtId="164" fontId="7" fillId="0" borderId="0" xfId="0" applyNumberFormat="1" applyFont="1"/>
    <xf numFmtId="0" fontId="33" fillId="0" borderId="0" xfId="0" applyFont="1" applyBorder="1" applyAlignment="1"/>
    <xf numFmtId="0" fontId="34" fillId="39" borderId="11" xfId="0" applyFont="1" applyFill="1" applyBorder="1" applyAlignment="1">
      <alignment horizontal="left" vertical="center" wrapText="1"/>
    </xf>
    <xf numFmtId="0" fontId="34" fillId="0" borderId="11" xfId="0" applyFont="1" applyFill="1" applyBorder="1" applyAlignment="1">
      <alignment horizontal="right" vertical="center"/>
    </xf>
    <xf numFmtId="0" fontId="34" fillId="39" borderId="11" xfId="0" applyFont="1" applyFill="1" applyBorder="1" applyAlignment="1">
      <alignment horizontal="right" vertical="center"/>
    </xf>
    <xf numFmtId="0" fontId="35" fillId="0" borderId="0" xfId="0" applyFont="1" applyFill="1" applyBorder="1"/>
    <xf numFmtId="164" fontId="36" fillId="39" borderId="0" xfId="618" applyNumberFormat="1" applyFont="1" applyFill="1" applyBorder="1" applyAlignment="1">
      <alignment horizontal="left"/>
    </xf>
    <xf numFmtId="164" fontId="36" fillId="0" borderId="0" xfId="618" applyNumberFormat="1" applyFont="1" applyFill="1" applyBorder="1" applyAlignment="1">
      <alignment horizontal="right"/>
    </xf>
    <xf numFmtId="164" fontId="36" fillId="39" borderId="0" xfId="618" applyNumberFormat="1" applyFont="1" applyFill="1" applyBorder="1" applyAlignment="1">
      <alignment horizontal="right"/>
    </xf>
    <xf numFmtId="8" fontId="36" fillId="0" borderId="0" xfId="0" applyNumberFormat="1" applyFont="1"/>
    <xf numFmtId="0" fontId="2" fillId="0" borderId="0" xfId="700"/>
    <xf numFmtId="164" fontId="2" fillId="0" borderId="0" xfId="700" applyNumberFormat="1"/>
    <xf numFmtId="0" fontId="2" fillId="0" borderId="0" xfId="700" applyFont="1" applyFill="1"/>
    <xf numFmtId="0" fontId="2" fillId="0" borderId="0" xfId="700" applyFill="1"/>
    <xf numFmtId="0" fontId="7" fillId="0" borderId="0" xfId="700" applyFont="1"/>
    <xf numFmtId="164" fontId="37" fillId="39" borderId="0" xfId="618" applyNumberFormat="1" applyFont="1" applyFill="1" applyBorder="1" applyAlignment="1">
      <alignment horizontal="left"/>
    </xf>
    <xf numFmtId="164" fontId="37" fillId="0" borderId="0" xfId="618" applyNumberFormat="1" applyFont="1" applyFill="1" applyBorder="1" applyAlignment="1">
      <alignment horizontal="right"/>
    </xf>
    <xf numFmtId="164" fontId="37" fillId="39" borderId="0" xfId="618" applyNumberFormat="1" applyFont="1" applyFill="1" applyBorder="1" applyAlignment="1">
      <alignment horizontal="right"/>
    </xf>
    <xf numFmtId="0" fontId="15" fillId="0" borderId="0" xfId="700" applyFont="1"/>
    <xf numFmtId="0" fontId="33" fillId="0" borderId="0" xfId="696" applyFont="1" applyFill="1" applyBorder="1"/>
    <xf numFmtId="0" fontId="0" fillId="0" borderId="0" xfId="0" applyAlignment="1">
      <alignment horizontal="right"/>
    </xf>
    <xf numFmtId="0" fontId="37" fillId="0" borderId="11" xfId="0" applyFont="1" applyFill="1" applyBorder="1" applyAlignment="1">
      <alignment horizontal="left" vertical="center" wrapText="1"/>
    </xf>
    <xf numFmtId="164" fontId="0" fillId="0" borderId="0" xfId="0" applyNumberFormat="1" applyAlignment="1">
      <alignment horizontal="right"/>
    </xf>
    <xf numFmtId="164" fontId="36" fillId="0" borderId="0" xfId="618" applyNumberFormat="1" applyFont="1" applyFill="1" applyBorder="1" applyAlignment="1">
      <alignment horizontal="left"/>
    </xf>
    <xf numFmtId="0" fontId="38" fillId="0" borderId="0" xfId="0" applyFont="1" applyFill="1" applyBorder="1"/>
    <xf numFmtId="164" fontId="38" fillId="0" borderId="0" xfId="0" applyNumberFormat="1" applyFont="1" applyFill="1" applyBorder="1"/>
    <xf numFmtId="0" fontId="34" fillId="0" borderId="11" xfId="0" applyFont="1" applyFill="1" applyBorder="1" applyAlignment="1">
      <alignment horizontal="center" vertical="center"/>
    </xf>
    <xf numFmtId="0" fontId="34" fillId="39" borderId="11" xfId="0" applyFont="1" applyFill="1" applyBorder="1" applyAlignment="1">
      <alignment horizontal="center" vertical="center"/>
    </xf>
    <xf numFmtId="0" fontId="36" fillId="0" borderId="0" xfId="0" applyFont="1" applyFill="1" applyBorder="1"/>
    <xf numFmtId="164" fontId="36" fillId="0" borderId="0" xfId="0" applyNumberFormat="1" applyFont="1" applyFill="1" applyBorder="1"/>
    <xf numFmtId="164" fontId="35" fillId="0" borderId="0" xfId="0" applyNumberFormat="1" applyFont="1" applyFill="1" applyBorder="1"/>
    <xf numFmtId="166" fontId="36" fillId="39" borderId="0" xfId="618" applyNumberFormat="1" applyFont="1" applyFill="1" applyBorder="1" applyAlignment="1">
      <alignment horizontal="right"/>
    </xf>
    <xf numFmtId="166" fontId="36" fillId="0" borderId="0" xfId="618" applyNumberFormat="1" applyFont="1" applyFill="1" applyBorder="1" applyAlignment="1">
      <alignment horizontal="right"/>
    </xf>
    <xf numFmtId="0" fontId="16" fillId="0" borderId="0" xfId="0" applyFont="1" applyBorder="1" applyAlignment="1"/>
    <xf numFmtId="0" fontId="39" fillId="0" borderId="11" xfId="0" applyFont="1" applyFill="1" applyBorder="1"/>
    <xf numFmtId="0" fontId="40" fillId="0" borderId="11" xfId="0" applyFont="1" applyFill="1" applyBorder="1"/>
    <xf numFmtId="0" fontId="0" fillId="0" borderId="0" xfId="0" applyFill="1" applyBorder="1"/>
    <xf numFmtId="0" fontId="35" fillId="0" borderId="0" xfId="0" applyFont="1" applyFill="1" applyBorder="1" applyAlignment="1">
      <alignment horizontal="left" vertical="center" wrapText="1"/>
    </xf>
    <xf numFmtId="166" fontId="35" fillId="0" borderId="0" xfId="618" applyNumberFormat="1" applyFont="1" applyFill="1" applyBorder="1" applyAlignment="1">
      <alignment horizontal="left" vertical="center" wrapText="1"/>
    </xf>
    <xf numFmtId="0" fontId="41" fillId="0" borderId="0" xfId="0" applyFont="1" applyFill="1" applyBorder="1" applyAlignment="1">
      <alignment horizontal="left" vertical="center" wrapText="1"/>
    </xf>
    <xf numFmtId="166" fontId="41" fillId="0" borderId="0" xfId="618" applyNumberFormat="1" applyFont="1" applyFill="1" applyBorder="1" applyAlignment="1">
      <alignment horizontal="left" vertical="center" wrapText="1"/>
    </xf>
    <xf numFmtId="0" fontId="0" fillId="38" borderId="0" xfId="0" applyFill="1"/>
    <xf numFmtId="0" fontId="42" fillId="38" borderId="0" xfId="0" applyFont="1" applyFill="1" applyAlignment="1">
      <alignment vertical="center"/>
    </xf>
    <xf numFmtId="0" fontId="43" fillId="38" borderId="0" xfId="0" applyFont="1" applyFill="1" applyAlignment="1">
      <alignment horizontal="left" vertical="center"/>
    </xf>
    <xf numFmtId="0" fontId="7" fillId="38" borderId="0" xfId="0" applyFont="1" applyFill="1"/>
    <xf numFmtId="0" fontId="39" fillId="38" borderId="15" xfId="0" applyFont="1" applyFill="1" applyBorder="1"/>
    <xf numFmtId="0" fontId="39" fillId="38" borderId="16" xfId="0" applyFont="1" applyFill="1" applyBorder="1" applyAlignment="1">
      <alignment wrapText="1"/>
    </xf>
    <xf numFmtId="0" fontId="35" fillId="38" borderId="17" xfId="0" applyFont="1" applyFill="1" applyBorder="1" applyAlignment="1">
      <alignment horizontal="left" vertical="center" wrapText="1"/>
    </xf>
    <xf numFmtId="0" fontId="35" fillId="38" borderId="18" xfId="0" applyFont="1" applyFill="1" applyBorder="1" applyAlignment="1">
      <alignment horizontal="left" vertical="center" wrapText="1"/>
    </xf>
    <xf numFmtId="0" fontId="35" fillId="38" borderId="19" xfId="0" applyFont="1" applyFill="1" applyBorder="1" applyAlignment="1">
      <alignment horizontal="left" vertical="center" wrapText="1"/>
    </xf>
    <xf numFmtId="0" fontId="35" fillId="38" borderId="21" xfId="0" applyFont="1" applyFill="1" applyBorder="1" applyAlignment="1">
      <alignment horizontal="left" vertical="center" wrapText="1"/>
    </xf>
    <xf numFmtId="0" fontId="35" fillId="38" borderId="24" xfId="0" applyFont="1" applyFill="1" applyBorder="1" applyAlignment="1">
      <alignment horizontal="left" vertical="center" wrapText="1"/>
    </xf>
    <xf numFmtId="0" fontId="1" fillId="38" borderId="0" xfId="708" applyFill="1"/>
    <xf numFmtId="0" fontId="1" fillId="38" borderId="0" xfId="708" applyFill="1" applyBorder="1"/>
    <xf numFmtId="0" fontId="33" fillId="38" borderId="0" xfId="709" applyFont="1" applyFill="1" applyBorder="1" applyAlignment="1"/>
    <xf numFmtId="0" fontId="16" fillId="38" borderId="0" xfId="709" applyFont="1" applyFill="1" applyBorder="1" applyAlignment="1"/>
    <xf numFmtId="0" fontId="39" fillId="38" borderId="11" xfId="709" applyFont="1" applyFill="1" applyBorder="1"/>
    <xf numFmtId="0" fontId="44" fillId="38" borderId="11" xfId="709" applyFont="1" applyFill="1" applyBorder="1" applyAlignment="1">
      <alignment horizontal="right" wrapText="1"/>
    </xf>
    <xf numFmtId="0" fontId="44" fillId="38" borderId="11" xfId="709" applyFont="1" applyFill="1" applyBorder="1" applyAlignment="1">
      <alignment horizontal="right"/>
    </xf>
    <xf numFmtId="0" fontId="39" fillId="38" borderId="11" xfId="709" applyFont="1" applyFill="1" applyBorder="1" applyAlignment="1">
      <alignment horizontal="right" wrapText="1"/>
    </xf>
    <xf numFmtId="0" fontId="35" fillId="38" borderId="0" xfId="709" applyFont="1" applyFill="1" applyBorder="1" applyAlignment="1">
      <alignment horizontal="left" vertical="center" wrapText="1"/>
    </xf>
    <xf numFmtId="166" fontId="35" fillId="38" borderId="0" xfId="710" applyNumberFormat="1" applyFont="1" applyFill="1" applyBorder="1" applyAlignment="1">
      <alignment horizontal="left" vertical="center" wrapText="1"/>
    </xf>
    <xf numFmtId="0" fontId="41" fillId="38" borderId="25" xfId="709" applyFont="1" applyFill="1" applyBorder="1" applyAlignment="1">
      <alignment horizontal="left" vertical="center" wrapText="1"/>
    </xf>
    <xf numFmtId="166" fontId="41" fillId="38" borderId="25" xfId="710" applyNumberFormat="1" applyFont="1" applyFill="1" applyBorder="1" applyAlignment="1">
      <alignment horizontal="left" vertical="center" wrapText="1"/>
    </xf>
    <xf numFmtId="0" fontId="1" fillId="38" borderId="26" xfId="708" applyFill="1" applyBorder="1"/>
    <xf numFmtId="0" fontId="1" fillId="38" borderId="27" xfId="708" applyFill="1" applyBorder="1"/>
    <xf numFmtId="0" fontId="1" fillId="38" borderId="28" xfId="708" applyFill="1" applyBorder="1"/>
    <xf numFmtId="0" fontId="1" fillId="38" borderId="29" xfId="708" applyFill="1" applyBorder="1"/>
    <xf numFmtId="0" fontId="1" fillId="38" borderId="30" xfId="708" applyFill="1" applyBorder="1"/>
    <xf numFmtId="0" fontId="1" fillId="38" borderId="31" xfId="708" applyFill="1" applyBorder="1"/>
    <xf numFmtId="0" fontId="1" fillId="38" borderId="32" xfId="708" applyFill="1" applyBorder="1"/>
    <xf numFmtId="0" fontId="1" fillId="38" borderId="33" xfId="708" applyFill="1" applyBorder="1"/>
    <xf numFmtId="0" fontId="35" fillId="38" borderId="23" xfId="0" applyFont="1" applyFill="1" applyBorder="1" applyAlignment="1">
      <alignment horizontal="left" vertical="center" wrapText="1"/>
    </xf>
    <xf numFmtId="0" fontId="0" fillId="38" borderId="0" xfId="0" applyFont="1" applyFill="1" applyAlignment="1">
      <alignment horizontal="left" vertical="center" wrapText="1"/>
    </xf>
    <xf numFmtId="0" fontId="35" fillId="38" borderId="0" xfId="0" applyFont="1" applyFill="1" applyAlignment="1">
      <alignment horizontal="left" vertical="center" wrapText="1"/>
    </xf>
    <xf numFmtId="166" fontId="41" fillId="38" borderId="0" xfId="710" applyNumberFormat="1" applyFont="1" applyFill="1" applyBorder="1" applyAlignment="1">
      <alignment horizontal="left" vertical="center" wrapText="1"/>
    </xf>
    <xf numFmtId="0" fontId="41" fillId="38" borderId="0" xfId="709" applyFont="1" applyFill="1" applyBorder="1" applyAlignment="1">
      <alignment horizontal="left" vertical="center" wrapText="1"/>
    </xf>
    <xf numFmtId="0" fontId="41" fillId="38" borderId="32" xfId="709" applyFont="1" applyFill="1" applyBorder="1" applyAlignment="1">
      <alignment horizontal="left" vertical="center" wrapText="1"/>
    </xf>
    <xf numFmtId="166" fontId="41" fillId="38" borderId="32" xfId="710" applyNumberFormat="1" applyFont="1" applyFill="1" applyBorder="1" applyAlignment="1">
      <alignment horizontal="left" vertical="center" wrapText="1"/>
    </xf>
    <xf numFmtId="0" fontId="45" fillId="38" borderId="11" xfId="709" applyFont="1" applyFill="1" applyBorder="1" applyAlignment="1">
      <alignment horizontal="right" wrapText="1"/>
    </xf>
    <xf numFmtId="0" fontId="35" fillId="38" borderId="23" xfId="0" applyFont="1" applyFill="1" applyBorder="1" applyAlignment="1">
      <alignment horizontal="left" vertical="center" wrapText="1"/>
    </xf>
    <xf numFmtId="0" fontId="35" fillId="38" borderId="20" xfId="0" applyFont="1" applyFill="1" applyBorder="1" applyAlignment="1">
      <alignment horizontal="left" vertical="center" wrapText="1"/>
    </xf>
    <xf numFmtId="0" fontId="0" fillId="38" borderId="0" xfId="0" applyFont="1" applyFill="1" applyAlignment="1">
      <alignment horizontal="left" vertical="center" wrapText="1"/>
    </xf>
    <xf numFmtId="0" fontId="35" fillId="38" borderId="0" xfId="0" applyFont="1" applyFill="1" applyAlignment="1">
      <alignment horizontal="left" vertical="center" wrapText="1"/>
    </xf>
    <xf numFmtId="0" fontId="35" fillId="38" borderId="22" xfId="0" applyFont="1" applyFill="1" applyBorder="1" applyAlignment="1">
      <alignment horizontal="left" vertical="center" wrapText="1"/>
    </xf>
    <xf numFmtId="0" fontId="36" fillId="0" borderId="0" xfId="1" applyFont="1" applyFill="1" applyBorder="1" applyAlignment="1">
      <alignment horizontal="center" vertical="center"/>
    </xf>
    <xf numFmtId="0" fontId="36" fillId="39" borderId="0" xfId="1" applyFont="1" applyFill="1" applyBorder="1" applyAlignment="1">
      <alignment horizontal="center" vertical="center"/>
    </xf>
    <xf numFmtId="0" fontId="36" fillId="0" borderId="12" xfId="1" applyFont="1" applyFill="1" applyBorder="1" applyAlignment="1">
      <alignment horizontal="center" vertical="center"/>
    </xf>
    <xf numFmtId="0" fontId="36" fillId="0" borderId="13" xfId="1" applyFont="1" applyFill="1" applyBorder="1" applyAlignment="1">
      <alignment horizontal="center" vertical="center"/>
    </xf>
    <xf numFmtId="0" fontId="36" fillId="0" borderId="14" xfId="1" applyFont="1" applyFill="1" applyBorder="1" applyAlignment="1">
      <alignment horizontal="center" vertical="center"/>
    </xf>
    <xf numFmtId="0" fontId="36" fillId="39" borderId="12" xfId="1" applyFont="1" applyFill="1" applyBorder="1" applyAlignment="1">
      <alignment horizontal="center" vertical="center"/>
    </xf>
    <xf numFmtId="0" fontId="36" fillId="39" borderId="13" xfId="1" applyFont="1" applyFill="1" applyBorder="1" applyAlignment="1">
      <alignment horizontal="center" vertical="center"/>
    </xf>
    <xf numFmtId="0" fontId="36" fillId="39" borderId="14" xfId="1" applyFont="1" applyFill="1" applyBorder="1" applyAlignment="1">
      <alignment horizontal="center" vertical="center"/>
    </xf>
    <xf numFmtId="0" fontId="39" fillId="38" borderId="15" xfId="0" applyFont="1" applyFill="1" applyBorder="1" applyAlignment="1">
      <alignment horizontal="center"/>
    </xf>
    <xf numFmtId="0" fontId="35" fillId="38" borderId="17" xfId="0" applyFont="1" applyFill="1" applyBorder="1" applyAlignment="1">
      <alignment horizontal="center" vertical="center" wrapText="1"/>
    </xf>
    <xf numFmtId="0" fontId="35" fillId="38" borderId="34" xfId="0" applyFont="1" applyFill="1" applyBorder="1" applyAlignment="1">
      <alignment horizontal="center" vertical="center" wrapText="1"/>
    </xf>
    <xf numFmtId="0" fontId="7" fillId="38" borderId="35" xfId="0" applyFont="1" applyFill="1" applyBorder="1"/>
  </cellXfs>
  <cellStyles count="711">
    <cellStyle name="20% - Accent1" xfId="638" builtinId="30" customBuiltin="1"/>
    <cellStyle name="20% - Accent1 2" xfId="676"/>
    <cellStyle name="20% - Accent1 3" xfId="662"/>
    <cellStyle name="20% - Accent2" xfId="642" builtinId="34" customBuiltin="1"/>
    <cellStyle name="20% - Accent2 2" xfId="678"/>
    <cellStyle name="20% - Accent2 3" xfId="664"/>
    <cellStyle name="20% - Accent3" xfId="646" builtinId="38" customBuiltin="1"/>
    <cellStyle name="20% - Accent3 2" xfId="680"/>
    <cellStyle name="20% - Accent3 3" xfId="666"/>
    <cellStyle name="20% - Accent4" xfId="650" builtinId="42" customBuiltin="1"/>
    <cellStyle name="20% - Accent4 2" xfId="682"/>
    <cellStyle name="20% - Accent4 3" xfId="668"/>
    <cellStyle name="20% - Accent5" xfId="654" builtinId="46" customBuiltin="1"/>
    <cellStyle name="20% - Accent5 2" xfId="684"/>
    <cellStyle name="20% - Accent5 3" xfId="670"/>
    <cellStyle name="20% - Accent6" xfId="658" builtinId="50" customBuiltin="1"/>
    <cellStyle name="20% - Accent6 2" xfId="686"/>
    <cellStyle name="20% - Accent6 3" xfId="672"/>
    <cellStyle name="40% - Accent1" xfId="639" builtinId="31" customBuiltin="1"/>
    <cellStyle name="40% - Accent1 2" xfId="677"/>
    <cellStyle name="40% - Accent1 3" xfId="663"/>
    <cellStyle name="40% - Accent2" xfId="643" builtinId="35" customBuiltin="1"/>
    <cellStyle name="40% - Accent2 2" xfId="679"/>
    <cellStyle name="40% - Accent2 3" xfId="665"/>
    <cellStyle name="40% - Accent3" xfId="647" builtinId="39" customBuiltin="1"/>
    <cellStyle name="40% - Accent3 2" xfId="681"/>
    <cellStyle name="40% - Accent3 3" xfId="667"/>
    <cellStyle name="40% - Accent4" xfId="651" builtinId="43" customBuiltin="1"/>
    <cellStyle name="40% - Accent4 2" xfId="683"/>
    <cellStyle name="40% - Accent4 3" xfId="669"/>
    <cellStyle name="40% - Accent5" xfId="655" builtinId="47" customBuiltin="1"/>
    <cellStyle name="40% - Accent5 2" xfId="685"/>
    <cellStyle name="40% - Accent5 3" xfId="671"/>
    <cellStyle name="40% - Accent6" xfId="659" builtinId="51" customBuiltin="1"/>
    <cellStyle name="40% - Accent6 2" xfId="687"/>
    <cellStyle name="40% - Accent6 3" xfId="673"/>
    <cellStyle name="60% - Accent1" xfId="640" builtinId="32" customBuiltin="1"/>
    <cellStyle name="60% - Accent2" xfId="644" builtinId="36" customBuiltin="1"/>
    <cellStyle name="60% - Accent3" xfId="648" builtinId="40" customBuiltin="1"/>
    <cellStyle name="60% - Accent4" xfId="652" builtinId="44" customBuiltin="1"/>
    <cellStyle name="60% - Accent5" xfId="656" builtinId="48" customBuiltin="1"/>
    <cellStyle name="60% - Accent6" xfId="660" builtinId="52" customBuiltin="1"/>
    <cellStyle name="Accent1" xfId="637" builtinId="29" customBuiltin="1"/>
    <cellStyle name="Accent2" xfId="641" builtinId="33" customBuiltin="1"/>
    <cellStyle name="Accent3" xfId="645" builtinId="37" customBuiltin="1"/>
    <cellStyle name="Accent4" xfId="649" builtinId="41" customBuiltin="1"/>
    <cellStyle name="Accent5" xfId="653" builtinId="45" customBuiltin="1"/>
    <cellStyle name="Accent6" xfId="657" builtinId="49" customBuiltin="1"/>
    <cellStyle name="Bad" xfId="627" builtinId="27" customBuiltin="1"/>
    <cellStyle name="Calculation" xfId="631" builtinId="22" customBuiltin="1"/>
    <cellStyle name="Check Cell" xfId="633" builtinId="23" customBuiltin="1"/>
    <cellStyle name="Comma" xfId="618" builtinId="3"/>
    <cellStyle name="Comma 2" xfId="3"/>
    <cellStyle name="Comma 3" xfId="710"/>
    <cellStyle name="Comma 4" xfId="4"/>
    <cellStyle name="Comma 4 2" xfId="5"/>
    <cellStyle name="Currency 2" xfId="6"/>
    <cellStyle name="Explanatory Text" xfId="635" builtinId="53" customBuiltin="1"/>
    <cellStyle name="Good" xfId="626" builtinId="26" customBuiltin="1"/>
    <cellStyle name="Heading 1" xfId="622" builtinId="16" customBuiltin="1"/>
    <cellStyle name="Heading 2" xfId="623" builtinId="17" customBuiltin="1"/>
    <cellStyle name="Heading 3" xfId="624" builtinId="18" customBuiltin="1"/>
    <cellStyle name="Heading 4" xfId="625" builtinId="19" customBuiltin="1"/>
    <cellStyle name="Input" xfId="629" builtinId="20" customBuiltin="1"/>
    <cellStyle name="Linked Cell" xfId="632" builtinId="24" customBuiltin="1"/>
    <cellStyle name="Neutral" xfId="628" builtinId="28" customBuiltin="1"/>
    <cellStyle name="Normal" xfId="0" builtinId="0"/>
    <cellStyle name="Normal 10" xfId="7"/>
    <cellStyle name="Normal 10 10" xfId="8"/>
    <cellStyle name="Normal 10 13" xfId="9"/>
    <cellStyle name="Normal 10 5" xfId="10"/>
    <cellStyle name="Normal 10 8" xfId="11"/>
    <cellStyle name="Normal 10 9" xfId="12"/>
    <cellStyle name="Normal 106" xfId="13"/>
    <cellStyle name="Normal 11" xfId="14"/>
    <cellStyle name="Normal 11 2" xfId="15"/>
    <cellStyle name="Normal 12" xfId="617"/>
    <cellStyle name="Normal 12 2" xfId="692"/>
    <cellStyle name="Normal 12 2 2" xfId="696"/>
    <cellStyle name="Normal 12 3" xfId="697"/>
    <cellStyle name="Normal 12 4" xfId="695"/>
    <cellStyle name="Normal 13" xfId="698"/>
    <cellStyle name="Normal 14" xfId="699"/>
    <cellStyle name="Normal 15" xfId="708"/>
    <cellStyle name="Normal 15 2" xfId="709"/>
    <cellStyle name="Normal 160 2" xfId="16"/>
    <cellStyle name="Normal 176 2" xfId="17"/>
    <cellStyle name="Normal 177 2" xfId="18"/>
    <cellStyle name="Normal 2" xfId="1"/>
    <cellStyle name="Normal 2 2" xfId="19"/>
    <cellStyle name="Normal 2 2 2" xfId="688"/>
    <cellStyle name="Normal 2 3" xfId="20"/>
    <cellStyle name="Normal 2 3 2" xfId="674"/>
    <cellStyle name="Normal 2 4" xfId="21"/>
    <cellStyle name="Normal 2 4 2" xfId="22"/>
    <cellStyle name="Normal 2 4 2 2" xfId="23"/>
    <cellStyle name="Normal 2 4 3" xfId="24"/>
    <cellStyle name="Normal 2 4 3 2" xfId="25"/>
    <cellStyle name="Normal 2 4 4" xfId="26"/>
    <cellStyle name="Normal 2 5" xfId="27"/>
    <cellStyle name="Normal 2 5 2" xfId="28"/>
    <cellStyle name="Normal 2 6" xfId="29"/>
    <cellStyle name="Normal 2 6 2" xfId="30"/>
    <cellStyle name="Normal 2 7" xfId="31"/>
    <cellStyle name="Normal 22 2" xfId="32"/>
    <cellStyle name="Normal 23 2" xfId="33"/>
    <cellStyle name="Normal 24 2" xfId="34"/>
    <cellStyle name="Normal 25 2" xfId="35"/>
    <cellStyle name="Normal 26 2" xfId="36"/>
    <cellStyle name="Normal 28" xfId="37"/>
    <cellStyle name="Normal 3" xfId="2"/>
    <cellStyle name="Normal 3 10" xfId="700"/>
    <cellStyle name="Normal 3 2" xfId="38"/>
    <cellStyle name="Normal 3 2 2" xfId="39"/>
    <cellStyle name="Normal 3 2 2 2" xfId="40"/>
    <cellStyle name="Normal 3 2 2 2 2" xfId="41"/>
    <cellStyle name="Normal 3 2 2 2 2 2" xfId="42"/>
    <cellStyle name="Normal 3 2 2 2 3" xfId="43"/>
    <cellStyle name="Normal 3 2 2 2 3 2" xfId="44"/>
    <cellStyle name="Normal 3 2 2 2 4" xfId="45"/>
    <cellStyle name="Normal 3 2 2 3" xfId="46"/>
    <cellStyle name="Normal 3 2 2 3 2" xfId="47"/>
    <cellStyle name="Normal 3 2 2 4" xfId="48"/>
    <cellStyle name="Normal 3 2 2 4 2" xfId="49"/>
    <cellStyle name="Normal 3 2 2 5" xfId="50"/>
    <cellStyle name="Normal 3 2 3" xfId="51"/>
    <cellStyle name="Normal 3 2 3 2" xfId="52"/>
    <cellStyle name="Normal 3 2 3 2 2" xfId="53"/>
    <cellStyle name="Normal 3 2 3 2 2 2" xfId="54"/>
    <cellStyle name="Normal 3 2 3 2 3" xfId="55"/>
    <cellStyle name="Normal 3 2 3 2 3 2" xfId="56"/>
    <cellStyle name="Normal 3 2 3 2 4" xfId="57"/>
    <cellStyle name="Normal 3 2 3 3" xfId="58"/>
    <cellStyle name="Normal 3 2 3 3 2" xfId="59"/>
    <cellStyle name="Normal 3 2 3 4" xfId="60"/>
    <cellStyle name="Normal 3 2 3 4 2" xfId="61"/>
    <cellStyle name="Normal 3 2 3 5" xfId="62"/>
    <cellStyle name="Normal 3 2 4" xfId="63"/>
    <cellStyle name="Normal 3 2 4 2" xfId="64"/>
    <cellStyle name="Normal 3 2 4 2 2" xfId="65"/>
    <cellStyle name="Normal 3 2 4 3" xfId="66"/>
    <cellStyle name="Normal 3 2 4 3 2" xfId="67"/>
    <cellStyle name="Normal 3 2 4 4" xfId="68"/>
    <cellStyle name="Normal 3 2 5" xfId="69"/>
    <cellStyle name="Normal 3 2 5 2" xfId="70"/>
    <cellStyle name="Normal 3 2 6" xfId="71"/>
    <cellStyle name="Normal 3 2 6 2" xfId="72"/>
    <cellStyle name="Normal 3 2 7" xfId="73"/>
    <cellStyle name="Normal 3 3" xfId="74"/>
    <cellStyle name="Normal 3 3 2" xfId="75"/>
    <cellStyle name="Normal 3 3 2 2" xfId="76"/>
    <cellStyle name="Normal 3 3 2 2 2" xfId="77"/>
    <cellStyle name="Normal 3 3 2 2 2 2" xfId="78"/>
    <cellStyle name="Normal 3 3 2 2 3" xfId="79"/>
    <cellStyle name="Normal 3 3 2 2 3 2" xfId="80"/>
    <cellStyle name="Normal 3 3 2 2 4" xfId="81"/>
    <cellStyle name="Normal 3 3 2 3" xfId="82"/>
    <cellStyle name="Normal 3 3 2 3 2" xfId="83"/>
    <cellStyle name="Normal 3 3 2 4" xfId="84"/>
    <cellStyle name="Normal 3 3 2 4 2" xfId="85"/>
    <cellStyle name="Normal 3 3 2 5" xfId="86"/>
    <cellStyle name="Normal 3 3 3" xfId="87"/>
    <cellStyle name="Normal 3 3 3 2" xfId="88"/>
    <cellStyle name="Normal 3 3 3 2 2" xfId="89"/>
    <cellStyle name="Normal 3 3 3 2 2 2" xfId="90"/>
    <cellStyle name="Normal 3 3 3 2 3" xfId="91"/>
    <cellStyle name="Normal 3 3 3 2 3 2" xfId="92"/>
    <cellStyle name="Normal 3 3 3 2 4" xfId="93"/>
    <cellStyle name="Normal 3 3 3 3" xfId="94"/>
    <cellStyle name="Normal 3 3 3 3 2" xfId="95"/>
    <cellStyle name="Normal 3 3 3 4" xfId="96"/>
    <cellStyle name="Normal 3 3 3 4 2" xfId="97"/>
    <cellStyle name="Normal 3 3 3 5" xfId="98"/>
    <cellStyle name="Normal 3 4" xfId="99"/>
    <cellStyle name="Normal 3 4 2" xfId="100"/>
    <cellStyle name="Normal 3 4 2 2" xfId="101"/>
    <cellStyle name="Normal 3 4 2 2 2" xfId="102"/>
    <cellStyle name="Normal 3 4 2 2 2 2" xfId="103"/>
    <cellStyle name="Normal 3 4 2 2 3" xfId="104"/>
    <cellStyle name="Normal 3 4 2 2 3 2" xfId="105"/>
    <cellStyle name="Normal 3 4 2 2 4" xfId="106"/>
    <cellStyle name="Normal 3 4 2 3" xfId="107"/>
    <cellStyle name="Normal 3 4 2 3 2" xfId="108"/>
    <cellStyle name="Normal 3 4 2 4" xfId="109"/>
    <cellStyle name="Normal 3 4 2 4 2" xfId="110"/>
    <cellStyle name="Normal 3 4 2 5" xfId="111"/>
    <cellStyle name="Normal 3 4 3" xfId="112"/>
    <cellStyle name="Normal 3 4 3 2" xfId="113"/>
    <cellStyle name="Normal 3 4 3 2 2" xfId="114"/>
    <cellStyle name="Normal 3 4 3 3" xfId="115"/>
    <cellStyle name="Normal 3 4 3 3 2" xfId="116"/>
    <cellStyle name="Normal 3 4 3 4" xfId="117"/>
    <cellStyle name="Normal 3 4 4" xfId="118"/>
    <cellStyle name="Normal 3 4 4 2" xfId="119"/>
    <cellStyle name="Normal 3 4 5" xfId="120"/>
    <cellStyle name="Normal 3 4 5 2" xfId="121"/>
    <cellStyle name="Normal 3 4 6" xfId="122"/>
    <cellStyle name="Normal 3 5" xfId="123"/>
    <cellStyle name="Normal 3 5 2" xfId="124"/>
    <cellStyle name="Normal 3 5 2 2" xfId="125"/>
    <cellStyle name="Normal 3 5 2 2 2" xfId="126"/>
    <cellStyle name="Normal 3 5 2 3" xfId="127"/>
    <cellStyle name="Normal 3 5 2 3 2" xfId="128"/>
    <cellStyle name="Normal 3 5 2 4" xfId="129"/>
    <cellStyle name="Normal 3 5 3" xfId="130"/>
    <cellStyle name="Normal 3 5 3 2" xfId="131"/>
    <cellStyle name="Normal 3 5 4" xfId="132"/>
    <cellStyle name="Normal 3 5 4 2" xfId="133"/>
    <cellStyle name="Normal 3 5 5" xfId="134"/>
    <cellStyle name="Normal 3 6" xfId="135"/>
    <cellStyle name="Normal 3 6 2" xfId="136"/>
    <cellStyle name="Normal 3 6 2 2" xfId="137"/>
    <cellStyle name="Normal 3 6 2 2 2" xfId="138"/>
    <cellStyle name="Normal 3 6 2 3" xfId="139"/>
    <cellStyle name="Normal 3 6 2 3 2" xfId="140"/>
    <cellStyle name="Normal 3 6 2 4" xfId="141"/>
    <cellStyle name="Normal 3 6 3" xfId="142"/>
    <cellStyle name="Normal 3 6 3 2" xfId="143"/>
    <cellStyle name="Normal 3 6 4" xfId="144"/>
    <cellStyle name="Normal 3 6 4 2" xfId="145"/>
    <cellStyle name="Normal 3 6 5" xfId="146"/>
    <cellStyle name="Normal 3 7" xfId="619"/>
    <cellStyle name="Normal 3 7 2" xfId="693"/>
    <cellStyle name="Normal 3 7 3" xfId="701"/>
    <cellStyle name="Normal 3 7 4" xfId="702"/>
    <cellStyle name="Normal 3 8" xfId="690"/>
    <cellStyle name="Normal 3 9" xfId="703"/>
    <cellStyle name="Normal 30 2" xfId="147"/>
    <cellStyle name="Normal 30 2 2" xfId="148"/>
    <cellStyle name="Normal 30 2 2 2" xfId="149"/>
    <cellStyle name="Normal 30 2 2 2 2" xfId="150"/>
    <cellStyle name="Normal 30 2 2 3" xfId="151"/>
    <cellStyle name="Normal 30 2 2 3 2" xfId="152"/>
    <cellStyle name="Normal 30 2 2 4" xfId="153"/>
    <cellStyle name="Normal 30 2 3" xfId="154"/>
    <cellStyle name="Normal 30 2 3 2" xfId="155"/>
    <cellStyle name="Normal 30 2 4" xfId="156"/>
    <cellStyle name="Normal 30 2 4 2" xfId="157"/>
    <cellStyle name="Normal 30 2 5" xfId="158"/>
    <cellStyle name="Normal 32 3" xfId="159"/>
    <cellStyle name="Normal 36" xfId="160"/>
    <cellStyle name="Normal 37" xfId="161"/>
    <cellStyle name="Normal 39" xfId="162"/>
    <cellStyle name="Normal 4" xfId="163"/>
    <cellStyle name="Normal 4 2" xfId="164"/>
    <cellStyle name="Normal 4 2 2" xfId="165"/>
    <cellStyle name="Normal 4 2 2 2" xfId="166"/>
    <cellStyle name="Normal 4 2 2 2 2" xfId="167"/>
    <cellStyle name="Normal 4 2 2 2 2 2" xfId="168"/>
    <cellStyle name="Normal 4 2 2 2 3" xfId="169"/>
    <cellStyle name="Normal 4 2 2 2 3 2" xfId="170"/>
    <cellStyle name="Normal 4 2 2 2 4" xfId="171"/>
    <cellStyle name="Normal 4 2 2 3" xfId="172"/>
    <cellStyle name="Normal 4 2 2 3 2" xfId="173"/>
    <cellStyle name="Normal 4 2 2 4" xfId="174"/>
    <cellStyle name="Normal 4 2 2 4 2" xfId="175"/>
    <cellStyle name="Normal 4 2 2 5" xfId="176"/>
    <cellStyle name="Normal 4 2 3" xfId="177"/>
    <cellStyle name="Normal 4 2 3 2" xfId="178"/>
    <cellStyle name="Normal 4 2 3 2 2" xfId="179"/>
    <cellStyle name="Normal 4 2 3 2 2 2" xfId="180"/>
    <cellStyle name="Normal 4 2 3 2 3" xfId="181"/>
    <cellStyle name="Normal 4 2 3 2 3 2" xfId="182"/>
    <cellStyle name="Normal 4 2 3 2 4" xfId="183"/>
    <cellStyle name="Normal 4 2 3 3" xfId="184"/>
    <cellStyle name="Normal 4 2 3 3 2" xfId="185"/>
    <cellStyle name="Normal 4 2 3 4" xfId="186"/>
    <cellStyle name="Normal 4 2 3 4 2" xfId="187"/>
    <cellStyle name="Normal 4 2 3 5" xfId="188"/>
    <cellStyle name="Normal 4 3" xfId="189"/>
    <cellStyle name="Normal 4 3 2" xfId="190"/>
    <cellStyle name="Normal 4 3 2 2" xfId="191"/>
    <cellStyle name="Normal 4 3 2 2 2" xfId="192"/>
    <cellStyle name="Normal 4 3 2 2 2 2" xfId="193"/>
    <cellStyle name="Normal 4 3 2 2 3" xfId="194"/>
    <cellStyle name="Normal 4 3 2 2 3 2" xfId="195"/>
    <cellStyle name="Normal 4 3 2 2 4" xfId="196"/>
    <cellStyle name="Normal 4 3 2 3" xfId="197"/>
    <cellStyle name="Normal 4 3 2 3 2" xfId="198"/>
    <cellStyle name="Normal 4 3 2 4" xfId="199"/>
    <cellStyle name="Normal 4 3 2 4 2" xfId="200"/>
    <cellStyle name="Normal 4 3 2 5" xfId="201"/>
    <cellStyle name="Normal 4 3 3" xfId="202"/>
    <cellStyle name="Normal 4 3 3 2" xfId="203"/>
    <cellStyle name="Normal 4 3 3 2 2" xfId="204"/>
    <cellStyle name="Normal 4 3 3 3" xfId="205"/>
    <cellStyle name="Normal 4 3 3 3 2" xfId="206"/>
    <cellStyle name="Normal 4 3 3 4" xfId="207"/>
    <cellStyle name="Normal 4 3 4" xfId="208"/>
    <cellStyle name="Normal 4 3 4 2" xfId="209"/>
    <cellStyle name="Normal 4 3 5" xfId="210"/>
    <cellStyle name="Normal 4 3 5 2" xfId="211"/>
    <cellStyle name="Normal 4 3 6" xfId="212"/>
    <cellStyle name="Normal 4 4" xfId="213"/>
    <cellStyle name="Normal 4 4 2" xfId="214"/>
    <cellStyle name="Normal 4 4 2 2" xfId="215"/>
    <cellStyle name="Normal 4 4 2 2 2" xfId="216"/>
    <cellStyle name="Normal 4 4 2 2 2 2" xfId="217"/>
    <cellStyle name="Normal 4 4 2 2 3" xfId="218"/>
    <cellStyle name="Normal 4 4 2 2 3 2" xfId="219"/>
    <cellStyle name="Normal 4 4 2 2 4" xfId="220"/>
    <cellStyle name="Normal 4 4 2 3" xfId="221"/>
    <cellStyle name="Normal 4 4 2 3 2" xfId="222"/>
    <cellStyle name="Normal 4 4 2 4" xfId="223"/>
    <cellStyle name="Normal 4 4 2 4 2" xfId="224"/>
    <cellStyle name="Normal 4 4 2 5" xfId="225"/>
    <cellStyle name="Normal 4 4 3" xfId="226"/>
    <cellStyle name="Normal 4 4 3 2" xfId="227"/>
    <cellStyle name="Normal 4 4 3 2 2" xfId="228"/>
    <cellStyle name="Normal 4 4 3 3" xfId="229"/>
    <cellStyle name="Normal 4 4 3 3 2" xfId="230"/>
    <cellStyle name="Normal 4 4 3 4" xfId="231"/>
    <cellStyle name="Normal 4 4 4" xfId="232"/>
    <cellStyle name="Normal 4 4 4 2" xfId="233"/>
    <cellStyle name="Normal 4 4 5" xfId="234"/>
    <cellStyle name="Normal 4 4 5 2" xfId="235"/>
    <cellStyle name="Normal 4 4 6" xfId="236"/>
    <cellStyle name="Normal 4 5" xfId="237"/>
    <cellStyle name="Normal 4 5 2" xfId="238"/>
    <cellStyle name="Normal 4 5 2 2" xfId="239"/>
    <cellStyle name="Normal 4 5 2 2 2" xfId="240"/>
    <cellStyle name="Normal 4 5 2 3" xfId="241"/>
    <cellStyle name="Normal 4 5 2 3 2" xfId="242"/>
    <cellStyle name="Normal 4 5 2 4" xfId="243"/>
    <cellStyle name="Normal 4 5 3" xfId="244"/>
    <cellStyle name="Normal 4 5 3 2" xfId="245"/>
    <cellStyle name="Normal 4 5 4" xfId="246"/>
    <cellStyle name="Normal 4 5 4 2" xfId="247"/>
    <cellStyle name="Normal 4 5 5" xfId="248"/>
    <cellStyle name="Normal 4 6" xfId="249"/>
    <cellStyle name="Normal 4 6 2" xfId="250"/>
    <cellStyle name="Normal 4 6 2 2" xfId="251"/>
    <cellStyle name="Normal 4 6 2 2 2" xfId="252"/>
    <cellStyle name="Normal 4 6 2 3" xfId="253"/>
    <cellStyle name="Normal 4 6 2 3 2" xfId="254"/>
    <cellStyle name="Normal 4 6 2 4" xfId="255"/>
    <cellStyle name="Normal 4 6 3" xfId="256"/>
    <cellStyle name="Normal 4 6 3 2" xfId="257"/>
    <cellStyle name="Normal 4 6 4" xfId="258"/>
    <cellStyle name="Normal 4 6 4 2" xfId="259"/>
    <cellStyle name="Normal 4 6 5" xfId="260"/>
    <cellStyle name="Normal 40" xfId="261"/>
    <cellStyle name="Normal 5" xfId="262"/>
    <cellStyle name="Normal 5 2" xfId="263"/>
    <cellStyle name="Normal 5 2 2" xfId="264"/>
    <cellStyle name="Normal 5 2 2 2" xfId="265"/>
    <cellStyle name="Normal 5 2 2 2 2" xfId="266"/>
    <cellStyle name="Normal 5 2 2 2 2 2" xfId="267"/>
    <cellStyle name="Normal 5 2 2 2 2 2 2" xfId="268"/>
    <cellStyle name="Normal 5 2 2 2 2 3" xfId="269"/>
    <cellStyle name="Normal 5 2 2 2 2 3 2" xfId="270"/>
    <cellStyle name="Normal 5 2 2 2 2 4" xfId="271"/>
    <cellStyle name="Normal 5 2 2 2 3" xfId="272"/>
    <cellStyle name="Normal 5 2 2 2 3 2" xfId="273"/>
    <cellStyle name="Normal 5 2 2 2 4" xfId="274"/>
    <cellStyle name="Normal 5 2 2 2 4 2" xfId="275"/>
    <cellStyle name="Normal 5 2 2 2 5" xfId="276"/>
    <cellStyle name="Normal 5 2 2 3" xfId="277"/>
    <cellStyle name="Normal 5 2 2 3 2" xfId="278"/>
    <cellStyle name="Normal 5 2 2 3 2 2" xfId="279"/>
    <cellStyle name="Normal 5 2 2 3 3" xfId="280"/>
    <cellStyle name="Normal 5 2 2 3 3 2" xfId="281"/>
    <cellStyle name="Normal 5 2 2 3 4" xfId="282"/>
    <cellStyle name="Normal 5 2 2 4" xfId="283"/>
    <cellStyle name="Normal 5 2 2 4 2" xfId="284"/>
    <cellStyle name="Normal 5 2 2 5" xfId="285"/>
    <cellStyle name="Normal 5 2 2 5 2" xfId="286"/>
    <cellStyle name="Normal 5 2 2 6" xfId="287"/>
    <cellStyle name="Normal 5 2 3" xfId="288"/>
    <cellStyle name="Normal 5 2 3 2" xfId="289"/>
    <cellStyle name="Normal 5 2 3 2 2" xfId="290"/>
    <cellStyle name="Normal 5 2 3 2 2 2" xfId="291"/>
    <cellStyle name="Normal 5 2 3 2 2 2 2" xfId="292"/>
    <cellStyle name="Normal 5 2 3 2 2 3" xfId="293"/>
    <cellStyle name="Normal 5 2 3 2 2 3 2" xfId="294"/>
    <cellStyle name="Normal 5 2 3 2 2 4" xfId="295"/>
    <cellStyle name="Normal 5 2 3 2 3" xfId="296"/>
    <cellStyle name="Normal 5 2 3 2 3 2" xfId="297"/>
    <cellStyle name="Normal 5 2 3 2 4" xfId="298"/>
    <cellStyle name="Normal 5 2 3 2 4 2" xfId="299"/>
    <cellStyle name="Normal 5 2 3 2 5" xfId="300"/>
    <cellStyle name="Normal 5 2 3 3" xfId="301"/>
    <cellStyle name="Normal 5 2 3 3 2" xfId="302"/>
    <cellStyle name="Normal 5 2 3 3 2 2" xfId="303"/>
    <cellStyle name="Normal 5 2 3 3 3" xfId="304"/>
    <cellStyle name="Normal 5 2 3 3 3 2" xfId="305"/>
    <cellStyle name="Normal 5 2 3 3 4" xfId="306"/>
    <cellStyle name="Normal 5 2 3 4" xfId="307"/>
    <cellStyle name="Normal 5 2 3 4 2" xfId="308"/>
    <cellStyle name="Normal 5 2 3 5" xfId="309"/>
    <cellStyle name="Normal 5 2 3 5 2" xfId="310"/>
    <cellStyle name="Normal 5 2 3 6" xfId="311"/>
    <cellStyle name="Normal 5 2 4" xfId="312"/>
    <cellStyle name="Normal 5 2 4 2" xfId="313"/>
    <cellStyle name="Normal 5 2 4 2 2" xfId="314"/>
    <cellStyle name="Normal 5 2 4 2 2 2" xfId="315"/>
    <cellStyle name="Normal 5 2 4 2 2 2 2" xfId="316"/>
    <cellStyle name="Normal 5 2 4 2 2 3" xfId="317"/>
    <cellStyle name="Normal 5 2 4 2 2 3 2" xfId="318"/>
    <cellStyle name="Normal 5 2 4 2 2 4" xfId="319"/>
    <cellStyle name="Normal 5 2 4 2 3" xfId="320"/>
    <cellStyle name="Normal 5 2 4 2 3 2" xfId="321"/>
    <cellStyle name="Normal 5 2 4 2 4" xfId="322"/>
    <cellStyle name="Normal 5 2 4 2 4 2" xfId="323"/>
    <cellStyle name="Normal 5 2 4 2 5" xfId="324"/>
    <cellStyle name="Normal 5 2 4 3" xfId="325"/>
    <cellStyle name="Normal 5 2 4 3 2" xfId="326"/>
    <cellStyle name="Normal 5 2 4 3 2 2" xfId="327"/>
    <cellStyle name="Normal 5 2 4 3 3" xfId="328"/>
    <cellStyle name="Normal 5 2 4 3 3 2" xfId="329"/>
    <cellStyle name="Normal 5 2 4 3 4" xfId="330"/>
    <cellStyle name="Normal 5 2 4 4" xfId="331"/>
    <cellStyle name="Normal 5 2 4 4 2" xfId="332"/>
    <cellStyle name="Normal 5 2 4 5" xfId="333"/>
    <cellStyle name="Normal 5 2 4 5 2" xfId="334"/>
    <cellStyle name="Normal 5 2 4 6" xfId="335"/>
    <cellStyle name="Normal 5 2 5" xfId="336"/>
    <cellStyle name="Normal 5 2 5 2" xfId="337"/>
    <cellStyle name="Normal 5 2 5 2 2" xfId="338"/>
    <cellStyle name="Normal 5 2 5 2 2 2" xfId="339"/>
    <cellStyle name="Normal 5 2 5 2 3" xfId="340"/>
    <cellStyle name="Normal 5 2 5 2 3 2" xfId="341"/>
    <cellStyle name="Normal 5 2 5 2 4" xfId="342"/>
    <cellStyle name="Normal 5 2 5 3" xfId="343"/>
    <cellStyle name="Normal 5 2 5 3 2" xfId="344"/>
    <cellStyle name="Normal 5 2 5 4" xfId="345"/>
    <cellStyle name="Normal 5 2 5 4 2" xfId="346"/>
    <cellStyle name="Normal 5 2 5 5" xfId="347"/>
    <cellStyle name="Normal 5 2 6" xfId="348"/>
    <cellStyle name="Normal 5 2 6 2" xfId="349"/>
    <cellStyle name="Normal 5 2 6 2 2" xfId="350"/>
    <cellStyle name="Normal 5 2 6 2 2 2" xfId="351"/>
    <cellStyle name="Normal 5 2 6 2 3" xfId="352"/>
    <cellStyle name="Normal 5 2 6 2 3 2" xfId="353"/>
    <cellStyle name="Normal 5 2 6 2 4" xfId="354"/>
    <cellStyle name="Normal 5 2 6 3" xfId="355"/>
    <cellStyle name="Normal 5 2 6 3 2" xfId="356"/>
    <cellStyle name="Normal 5 2 6 4" xfId="357"/>
    <cellStyle name="Normal 5 2 6 4 2" xfId="358"/>
    <cellStyle name="Normal 5 2 6 5" xfId="359"/>
    <cellStyle name="Normal 5 3" xfId="360"/>
    <cellStyle name="Normal 5 3 2" xfId="361"/>
    <cellStyle name="Normal 5 3 2 2" xfId="362"/>
    <cellStyle name="Normal 5 3 3" xfId="363"/>
    <cellStyle name="Normal 5 3 3 2" xfId="364"/>
    <cellStyle name="Normal 5 3 4" xfId="365"/>
    <cellStyle name="Normal 5 4" xfId="366"/>
    <cellStyle name="Normal 5 4 2" xfId="367"/>
    <cellStyle name="Normal 5 5" xfId="368"/>
    <cellStyle name="Normal 5 5 2" xfId="369"/>
    <cellStyle name="Normal 5 6" xfId="370"/>
    <cellStyle name="Normal 6" xfId="371"/>
    <cellStyle name="Normal 6 2" xfId="372"/>
    <cellStyle name="Normal 7" xfId="373"/>
    <cellStyle name="Normal 70 2" xfId="374"/>
    <cellStyle name="Normal 70 2 2" xfId="375"/>
    <cellStyle name="Normal 70 2 2 2" xfId="376"/>
    <cellStyle name="Normal 70 2 2 2 2" xfId="377"/>
    <cellStyle name="Normal 70 2 2 3" xfId="378"/>
    <cellStyle name="Normal 70 2 2 3 2" xfId="379"/>
    <cellStyle name="Normal 70 2 2 4" xfId="380"/>
    <cellStyle name="Normal 70 2 3" xfId="381"/>
    <cellStyle name="Normal 70 2 3 2" xfId="382"/>
    <cellStyle name="Normal 70 2 4" xfId="383"/>
    <cellStyle name="Normal 70 2 4 2" xfId="384"/>
    <cellStyle name="Normal 70 2 5" xfId="385"/>
    <cellStyle name="Normal 72 2" xfId="386"/>
    <cellStyle name="Normal 72 2 2" xfId="387"/>
    <cellStyle name="Normal 72 2 2 2" xfId="388"/>
    <cellStyle name="Normal 72 2 2 2 2" xfId="389"/>
    <cellStyle name="Normal 72 2 2 3" xfId="390"/>
    <cellStyle name="Normal 72 2 2 3 2" xfId="391"/>
    <cellStyle name="Normal 72 2 2 4" xfId="392"/>
    <cellStyle name="Normal 72 2 3" xfId="393"/>
    <cellStyle name="Normal 72 2 3 2" xfId="394"/>
    <cellStyle name="Normal 72 2 4" xfId="395"/>
    <cellStyle name="Normal 72 2 4 2" xfId="396"/>
    <cellStyle name="Normal 72 2 5" xfId="397"/>
    <cellStyle name="Normal 8" xfId="398"/>
    <cellStyle name="Normal 8 2" xfId="399"/>
    <cellStyle name="Normal 8 3" xfId="620"/>
    <cellStyle name="Normal 8 3 2" xfId="694"/>
    <cellStyle name="Normal 8 3 3" xfId="704"/>
    <cellStyle name="Normal 8 3 4" xfId="705"/>
    <cellStyle name="Normal 8 4" xfId="691"/>
    <cellStyle name="Normal 8 5" xfId="706"/>
    <cellStyle name="Normal 8 6" xfId="707"/>
    <cellStyle name="Normal 80 2" xfId="400"/>
    <cellStyle name="Normal 9" xfId="401"/>
    <cellStyle name="Normal 9 2" xfId="402"/>
    <cellStyle name="Normal 9 3" xfId="403"/>
    <cellStyle name="Normal 9 3 2" xfId="404"/>
    <cellStyle name="Normal 9 4" xfId="405"/>
    <cellStyle name="Normal 9 4 2" xfId="406"/>
    <cellStyle name="Normal 9 5" xfId="407"/>
    <cellStyle name="Note 2" xfId="408"/>
    <cellStyle name="Note 2 2" xfId="689"/>
    <cellStyle name="Note 2 3" xfId="675"/>
    <cellStyle name="Note 2 4" xfId="661"/>
    <cellStyle name="OK Heading" xfId="409"/>
    <cellStyle name="OK Heading 10" xfId="410"/>
    <cellStyle name="OK Heading 100" xfId="411"/>
    <cellStyle name="OK Heading 11" xfId="412"/>
    <cellStyle name="OK Heading 12" xfId="413"/>
    <cellStyle name="OK Heading 13" xfId="414"/>
    <cellStyle name="OK Heading 14" xfId="415"/>
    <cellStyle name="OK Heading 15" xfId="416"/>
    <cellStyle name="OK Heading 16" xfId="417"/>
    <cellStyle name="OK Heading 17" xfId="418"/>
    <cellStyle name="OK Heading 18" xfId="419"/>
    <cellStyle name="OK Heading 19" xfId="420"/>
    <cellStyle name="OK Heading 2" xfId="421"/>
    <cellStyle name="OK Heading 2 2" xfId="422"/>
    <cellStyle name="OK Heading 20" xfId="423"/>
    <cellStyle name="OK Heading 21" xfId="424"/>
    <cellStyle name="OK Heading 22" xfId="425"/>
    <cellStyle name="OK Heading 23" xfId="426"/>
    <cellStyle name="OK Heading 24" xfId="427"/>
    <cellStyle name="OK Heading 25" xfId="428"/>
    <cellStyle name="OK Heading 26" xfId="429"/>
    <cellStyle name="OK Heading 27" xfId="430"/>
    <cellStyle name="OK Heading 28" xfId="431"/>
    <cellStyle name="OK Heading 29" xfId="432"/>
    <cellStyle name="OK Heading 3" xfId="433"/>
    <cellStyle name="OK Heading 30" xfId="434"/>
    <cellStyle name="OK Heading 31" xfId="435"/>
    <cellStyle name="OK Heading 32" xfId="436"/>
    <cellStyle name="OK Heading 33" xfId="437"/>
    <cellStyle name="OK Heading 34" xfId="438"/>
    <cellStyle name="OK Heading 35" xfId="439"/>
    <cellStyle name="OK Heading 36" xfId="440"/>
    <cellStyle name="OK Heading 37" xfId="441"/>
    <cellStyle name="OK Heading 38" xfId="442"/>
    <cellStyle name="OK Heading 39" xfId="443"/>
    <cellStyle name="OK Heading 4" xfId="444"/>
    <cellStyle name="OK Heading 40" xfId="445"/>
    <cellStyle name="OK Heading 41" xfId="446"/>
    <cellStyle name="OK Heading 42" xfId="447"/>
    <cellStyle name="OK Heading 43" xfId="448"/>
    <cellStyle name="OK Heading 44" xfId="449"/>
    <cellStyle name="OK Heading 45" xfId="450"/>
    <cellStyle name="OK Heading 46" xfId="451"/>
    <cellStyle name="OK Heading 47" xfId="452"/>
    <cellStyle name="OK Heading 48" xfId="453"/>
    <cellStyle name="OK Heading 49" xfId="454"/>
    <cellStyle name="OK Heading 5" xfId="455"/>
    <cellStyle name="OK Heading 50" xfId="456"/>
    <cellStyle name="OK Heading 51" xfId="457"/>
    <cellStyle name="OK Heading 52" xfId="458"/>
    <cellStyle name="OK Heading 53" xfId="459"/>
    <cellStyle name="OK Heading 54" xfId="460"/>
    <cellStyle name="OK Heading 55" xfId="461"/>
    <cellStyle name="OK Heading 56" xfId="462"/>
    <cellStyle name="OK Heading 57" xfId="463"/>
    <cellStyle name="OK Heading 58" xfId="464"/>
    <cellStyle name="OK Heading 59" xfId="465"/>
    <cellStyle name="OK Heading 6" xfId="466"/>
    <cellStyle name="OK Heading 60" xfId="467"/>
    <cellStyle name="OK Heading 61" xfId="468"/>
    <cellStyle name="OK Heading 62" xfId="469"/>
    <cellStyle name="OK Heading 63" xfId="470"/>
    <cellStyle name="OK Heading 64" xfId="471"/>
    <cellStyle name="OK Heading 65" xfId="472"/>
    <cellStyle name="OK Heading 66" xfId="473"/>
    <cellStyle name="OK Heading 67" xfId="474"/>
    <cellStyle name="OK Heading 68" xfId="475"/>
    <cellStyle name="OK Heading 69" xfId="476"/>
    <cellStyle name="OK Heading 7" xfId="477"/>
    <cellStyle name="OK Heading 70" xfId="478"/>
    <cellStyle name="OK Heading 71" xfId="479"/>
    <cellStyle name="OK Heading 72" xfId="480"/>
    <cellStyle name="OK Heading 73" xfId="481"/>
    <cellStyle name="OK Heading 74" xfId="482"/>
    <cellStyle name="OK Heading 75" xfId="483"/>
    <cellStyle name="OK Heading 76" xfId="484"/>
    <cellStyle name="OK Heading 77" xfId="485"/>
    <cellStyle name="OK Heading 78" xfId="486"/>
    <cellStyle name="OK Heading 79" xfId="487"/>
    <cellStyle name="OK Heading 8" xfId="488"/>
    <cellStyle name="OK Heading 80" xfId="489"/>
    <cellStyle name="OK Heading 81" xfId="490"/>
    <cellStyle name="OK Heading 82" xfId="491"/>
    <cellStyle name="OK Heading 83" xfId="492"/>
    <cellStyle name="OK Heading 84" xfId="493"/>
    <cellStyle name="OK Heading 85" xfId="494"/>
    <cellStyle name="OK Heading 86" xfId="495"/>
    <cellStyle name="OK Heading 87" xfId="496"/>
    <cellStyle name="OK Heading 88" xfId="497"/>
    <cellStyle name="OK Heading 89" xfId="498"/>
    <cellStyle name="OK Heading 9" xfId="499"/>
    <cellStyle name="OK Heading 90" xfId="500"/>
    <cellStyle name="OK Heading 91" xfId="501"/>
    <cellStyle name="OK Heading 92" xfId="502"/>
    <cellStyle name="OK Heading 93" xfId="503"/>
    <cellStyle name="OK Heading 94" xfId="504"/>
    <cellStyle name="OK Heading 95" xfId="505"/>
    <cellStyle name="OK Heading 96" xfId="506"/>
    <cellStyle name="OK Heading 97" xfId="507"/>
    <cellStyle name="OK Heading 98" xfId="508"/>
    <cellStyle name="OK Heading 99" xfId="509"/>
    <cellStyle name="Output" xfId="630" builtinId="21" customBuiltin="1"/>
    <cellStyle name="Percent 5" xfId="510"/>
    <cellStyle name="Percent 5 2" xfId="511"/>
    <cellStyle name="Report Body" xfId="512"/>
    <cellStyle name="Report Heading" xfId="513"/>
    <cellStyle name="SOO Table Footnote" xfId="514"/>
    <cellStyle name="SOO Table Footnote 2" xfId="515"/>
    <cellStyle name="Sub Heading" xfId="516"/>
    <cellStyle name="Sub Heading 10" xfId="517"/>
    <cellStyle name="Sub Heading 100" xfId="518"/>
    <cellStyle name="Sub Heading 11" xfId="519"/>
    <cellStyle name="Sub Heading 12" xfId="520"/>
    <cellStyle name="Sub Heading 13" xfId="521"/>
    <cellStyle name="Sub Heading 14" xfId="522"/>
    <cellStyle name="Sub Heading 15" xfId="523"/>
    <cellStyle name="Sub Heading 16" xfId="524"/>
    <cellStyle name="Sub Heading 17" xfId="525"/>
    <cellStyle name="Sub Heading 18" xfId="526"/>
    <cellStyle name="Sub Heading 19" xfId="527"/>
    <cellStyle name="Sub Heading 2" xfId="528"/>
    <cellStyle name="Sub Heading 2 2" xfId="529"/>
    <cellStyle name="Sub Heading 20" xfId="530"/>
    <cellStyle name="Sub Heading 21" xfId="531"/>
    <cellStyle name="Sub Heading 22" xfId="532"/>
    <cellStyle name="Sub Heading 23" xfId="533"/>
    <cellStyle name="Sub Heading 24" xfId="534"/>
    <cellStyle name="Sub Heading 25" xfId="535"/>
    <cellStyle name="Sub Heading 26" xfId="536"/>
    <cellStyle name="Sub Heading 27" xfId="537"/>
    <cellStyle name="Sub Heading 28" xfId="538"/>
    <cellStyle name="Sub Heading 29" xfId="539"/>
    <cellStyle name="Sub Heading 3" xfId="540"/>
    <cellStyle name="Sub Heading 30" xfId="541"/>
    <cellStyle name="Sub Heading 31" xfId="542"/>
    <cellStyle name="Sub Heading 32" xfId="543"/>
    <cellStyle name="Sub Heading 33" xfId="544"/>
    <cellStyle name="Sub Heading 34" xfId="545"/>
    <cellStyle name="Sub Heading 35" xfId="546"/>
    <cellStyle name="Sub Heading 36" xfId="547"/>
    <cellStyle name="Sub Heading 37" xfId="548"/>
    <cellStyle name="Sub Heading 38" xfId="549"/>
    <cellStyle name="Sub Heading 39" xfId="550"/>
    <cellStyle name="Sub Heading 4" xfId="551"/>
    <cellStyle name="Sub Heading 40" xfId="552"/>
    <cellStyle name="Sub Heading 41" xfId="553"/>
    <cellStyle name="Sub Heading 42" xfId="554"/>
    <cellStyle name="Sub Heading 43" xfId="555"/>
    <cellStyle name="Sub Heading 44" xfId="556"/>
    <cellStyle name="Sub Heading 45" xfId="557"/>
    <cellStyle name="Sub Heading 46" xfId="558"/>
    <cellStyle name="Sub Heading 47" xfId="559"/>
    <cellStyle name="Sub Heading 48" xfId="560"/>
    <cellStyle name="Sub Heading 49" xfId="561"/>
    <cellStyle name="Sub Heading 5" xfId="562"/>
    <cellStyle name="Sub Heading 50" xfId="563"/>
    <cellStyle name="Sub Heading 51" xfId="564"/>
    <cellStyle name="Sub Heading 52" xfId="565"/>
    <cellStyle name="Sub Heading 53" xfId="566"/>
    <cellStyle name="Sub Heading 54" xfId="567"/>
    <cellStyle name="Sub Heading 55" xfId="568"/>
    <cellStyle name="Sub Heading 56" xfId="569"/>
    <cellStyle name="Sub Heading 57" xfId="570"/>
    <cellStyle name="Sub Heading 58" xfId="571"/>
    <cellStyle name="Sub Heading 59" xfId="572"/>
    <cellStyle name="Sub Heading 6" xfId="573"/>
    <cellStyle name="Sub Heading 60" xfId="574"/>
    <cellStyle name="Sub Heading 61" xfId="575"/>
    <cellStyle name="Sub Heading 62" xfId="576"/>
    <cellStyle name="Sub Heading 63" xfId="577"/>
    <cellStyle name="Sub Heading 64" xfId="578"/>
    <cellStyle name="Sub Heading 65" xfId="579"/>
    <cellStyle name="Sub Heading 66" xfId="580"/>
    <cellStyle name="Sub Heading 67" xfId="581"/>
    <cellStyle name="Sub Heading 68" xfId="582"/>
    <cellStyle name="Sub Heading 69" xfId="583"/>
    <cellStyle name="Sub Heading 7" xfId="584"/>
    <cellStyle name="Sub Heading 70" xfId="585"/>
    <cellStyle name="Sub Heading 71" xfId="586"/>
    <cellStyle name="Sub Heading 72" xfId="587"/>
    <cellStyle name="Sub Heading 73" xfId="588"/>
    <cellStyle name="Sub Heading 74" xfId="589"/>
    <cellStyle name="Sub Heading 75" xfId="590"/>
    <cellStyle name="Sub Heading 76" xfId="591"/>
    <cellStyle name="Sub Heading 77" xfId="592"/>
    <cellStyle name="Sub Heading 78" xfId="593"/>
    <cellStyle name="Sub Heading 79" xfId="594"/>
    <cellStyle name="Sub Heading 8" xfId="595"/>
    <cellStyle name="Sub Heading 80" xfId="596"/>
    <cellStyle name="Sub Heading 81" xfId="597"/>
    <cellStyle name="Sub Heading 82" xfId="598"/>
    <cellStyle name="Sub Heading 83" xfId="599"/>
    <cellStyle name="Sub Heading 84" xfId="600"/>
    <cellStyle name="Sub Heading 85" xfId="601"/>
    <cellStyle name="Sub Heading 86" xfId="602"/>
    <cellStyle name="Sub Heading 87" xfId="603"/>
    <cellStyle name="Sub Heading 88" xfId="604"/>
    <cellStyle name="Sub Heading 89" xfId="605"/>
    <cellStyle name="Sub Heading 9" xfId="606"/>
    <cellStyle name="Sub Heading 90" xfId="607"/>
    <cellStyle name="Sub Heading 91" xfId="608"/>
    <cellStyle name="Sub Heading 92" xfId="609"/>
    <cellStyle name="Sub Heading 93" xfId="610"/>
    <cellStyle name="Sub Heading 94" xfId="611"/>
    <cellStyle name="Sub Heading 95" xfId="612"/>
    <cellStyle name="Sub Heading 96" xfId="613"/>
    <cellStyle name="Sub Heading 97" xfId="614"/>
    <cellStyle name="Sub Heading 98" xfId="615"/>
    <cellStyle name="Sub Heading 99" xfId="616"/>
    <cellStyle name="Title" xfId="621" builtinId="15" customBuiltin="1"/>
    <cellStyle name="Total" xfId="636" builtinId="25" customBuiltin="1"/>
    <cellStyle name="Warning Text" xfId="634" builtinId="11" customBuiltin="1"/>
  </cellStyles>
  <dxfs count="0"/>
  <tableStyles count="0" defaultTableStyle="TableStyleMedium2" defaultPivotStyle="PivotStyleLight16"/>
  <colors>
    <mruColors>
      <color rgb="FFC41230"/>
      <color rgb="FFADE0EE"/>
      <color rgb="FFC0AF2C"/>
      <color rgb="FFFBB483"/>
      <color rgb="FFCB7E80"/>
      <color rgb="FFA9C3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3.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5.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theme" Target="theme/theme1.xml"/><Relationship Id="rId5" Type="http://schemas.openxmlformats.org/officeDocument/2006/relationships/worksheet" Target="worksheets/sheet4.xml"/><Relationship Id="rId15" Type="http://schemas.openxmlformats.org/officeDocument/2006/relationships/customXml" Target="../customXml/item1.xml"/><Relationship Id="rId10" Type="http://schemas.openxmlformats.org/officeDocument/2006/relationships/worksheet" Target="worksheets/sheet7.xml"/><Relationship Id="rId4" Type="http://schemas.openxmlformats.org/officeDocument/2006/relationships/chartsheet" Target="chartsheets/sheet1.xml"/><Relationship Id="rId9" Type="http://schemas.openxmlformats.org/officeDocument/2006/relationships/worksheet" Target="worksheets/sheet6.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526772857308464"/>
          <c:y val="3.2648402413411041E-2"/>
          <c:w val="0.84059724936764346"/>
          <c:h val="0.66226524758683436"/>
        </c:manualLayout>
      </c:layout>
      <c:barChart>
        <c:barDir val="col"/>
        <c:grouping val="stacked"/>
        <c:varyColors val="0"/>
        <c:ser>
          <c:idx val="0"/>
          <c:order val="0"/>
          <c:tx>
            <c:strRef>
              <c:f>'NEMInstalledCapacity Data'!$B$3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15-93A3-4583-A5E2-F2A157AE9AE4}"/>
              </c:ext>
            </c:extLst>
          </c:dPt>
          <c:dPt>
            <c:idx val="1"/>
            <c:invertIfNegative val="0"/>
            <c:bubble3D val="0"/>
            <c:extLst>
              <c:ext xmlns:c16="http://schemas.microsoft.com/office/drawing/2014/chart" uri="{C3380CC4-5D6E-409C-BE32-E72D297353CC}">
                <c16:uniqueId val="{00000117-93A3-4583-A5E2-F2A157AE9AE4}"/>
              </c:ext>
            </c:extLst>
          </c:dPt>
          <c:dPt>
            <c:idx val="2"/>
            <c:invertIfNegative val="0"/>
            <c:bubble3D val="0"/>
            <c:extLst>
              <c:ext xmlns:c16="http://schemas.microsoft.com/office/drawing/2014/chart" uri="{C3380CC4-5D6E-409C-BE32-E72D297353CC}">
                <c16:uniqueId val="{00000119-93A3-4583-A5E2-F2A157AE9AE4}"/>
              </c:ext>
            </c:extLst>
          </c:dPt>
          <c:dPt>
            <c:idx val="3"/>
            <c:invertIfNegative val="0"/>
            <c:bubble3D val="0"/>
            <c:extLst>
              <c:ext xmlns:c16="http://schemas.microsoft.com/office/drawing/2014/chart" uri="{C3380CC4-5D6E-409C-BE32-E72D297353CC}">
                <c16:uniqueId val="{0000011B-93A3-4583-A5E2-F2A157AE9AE4}"/>
              </c:ext>
            </c:extLst>
          </c:dPt>
          <c:dPt>
            <c:idx val="4"/>
            <c:invertIfNegative val="0"/>
            <c:bubble3D val="0"/>
            <c:extLst>
              <c:ext xmlns:c16="http://schemas.microsoft.com/office/drawing/2014/chart" uri="{C3380CC4-5D6E-409C-BE32-E72D297353CC}">
                <c16:uniqueId val="{0000011D-93A3-4583-A5E2-F2A157AE9AE4}"/>
              </c:ext>
            </c:extLst>
          </c:dPt>
          <c:dPt>
            <c:idx val="5"/>
            <c:invertIfNegative val="0"/>
            <c:bubble3D val="0"/>
            <c:extLst>
              <c:ext xmlns:c16="http://schemas.microsoft.com/office/drawing/2014/chart" uri="{C3380CC4-5D6E-409C-BE32-E72D297353CC}">
                <c16:uniqueId val="{0000011F-93A3-4583-A5E2-F2A157AE9AE4}"/>
              </c:ext>
            </c:extLst>
          </c:dPt>
          <c:dPt>
            <c:idx val="6"/>
            <c:invertIfNegative val="0"/>
            <c:bubble3D val="0"/>
            <c:extLst>
              <c:ext xmlns:c16="http://schemas.microsoft.com/office/drawing/2014/chart" uri="{C3380CC4-5D6E-409C-BE32-E72D297353CC}">
                <c16:uniqueId val="{00000121-93A3-4583-A5E2-F2A157AE9AE4}"/>
              </c:ext>
            </c:extLst>
          </c:dPt>
          <c:dPt>
            <c:idx val="7"/>
            <c:invertIfNegative val="0"/>
            <c:bubble3D val="0"/>
            <c:extLst>
              <c:ext xmlns:c16="http://schemas.microsoft.com/office/drawing/2014/chart" uri="{C3380CC4-5D6E-409C-BE32-E72D297353CC}">
                <c16:uniqueId val="{00000123-93A3-4583-A5E2-F2A157AE9AE4}"/>
              </c:ext>
            </c:extLst>
          </c:dPt>
          <c:dPt>
            <c:idx val="8"/>
            <c:invertIfNegative val="0"/>
            <c:bubble3D val="0"/>
            <c:extLst>
              <c:ext xmlns:c16="http://schemas.microsoft.com/office/drawing/2014/chart" uri="{C3380CC4-5D6E-409C-BE32-E72D297353CC}">
                <c16:uniqueId val="{00000125-93A3-4583-A5E2-F2A157AE9AE4}"/>
              </c:ext>
            </c:extLst>
          </c:dPt>
          <c:dPt>
            <c:idx val="9"/>
            <c:invertIfNegative val="0"/>
            <c:bubble3D val="0"/>
            <c:extLst>
              <c:ext xmlns:c16="http://schemas.microsoft.com/office/drawing/2014/chart" uri="{C3380CC4-5D6E-409C-BE32-E72D297353CC}">
                <c16:uniqueId val="{00000127-93A3-4583-A5E2-F2A157AE9AE4}"/>
              </c:ext>
            </c:extLst>
          </c:dPt>
          <c:dPt>
            <c:idx val="10"/>
            <c:invertIfNegative val="0"/>
            <c:bubble3D val="0"/>
            <c:extLst>
              <c:ext xmlns:c16="http://schemas.microsoft.com/office/drawing/2014/chart" uri="{C3380CC4-5D6E-409C-BE32-E72D297353CC}">
                <c16:uniqueId val="{00000129-93A3-4583-A5E2-F2A157AE9AE4}"/>
              </c:ext>
            </c:extLst>
          </c:dPt>
          <c:dPt>
            <c:idx val="11"/>
            <c:invertIfNegative val="0"/>
            <c:bubble3D val="0"/>
            <c:extLst>
              <c:ext xmlns:c16="http://schemas.microsoft.com/office/drawing/2014/chart" uri="{C3380CC4-5D6E-409C-BE32-E72D297353CC}">
                <c16:uniqueId val="{0000012B-93A3-4583-A5E2-F2A157AE9AE4}"/>
              </c:ext>
            </c:extLst>
          </c:dPt>
          <c:dPt>
            <c:idx val="12"/>
            <c:invertIfNegative val="0"/>
            <c:bubble3D val="0"/>
            <c:extLst>
              <c:ext xmlns:c16="http://schemas.microsoft.com/office/drawing/2014/chart" uri="{C3380CC4-5D6E-409C-BE32-E72D297353CC}">
                <c16:uniqueId val="{0000012D-93A3-4583-A5E2-F2A157AE9AE4}"/>
              </c:ext>
            </c:extLst>
          </c:dPt>
          <c:dPt>
            <c:idx val="13"/>
            <c:invertIfNegative val="0"/>
            <c:bubble3D val="0"/>
            <c:extLst>
              <c:ext xmlns:c16="http://schemas.microsoft.com/office/drawing/2014/chart" uri="{C3380CC4-5D6E-409C-BE32-E72D297353CC}">
                <c16:uniqueId val="{0000012F-93A3-4583-A5E2-F2A157AE9AE4}"/>
              </c:ext>
            </c:extLst>
          </c:dPt>
          <c:dPt>
            <c:idx val="14"/>
            <c:invertIfNegative val="0"/>
            <c:bubble3D val="0"/>
            <c:extLst>
              <c:ext xmlns:c16="http://schemas.microsoft.com/office/drawing/2014/chart" uri="{C3380CC4-5D6E-409C-BE32-E72D297353CC}">
                <c16:uniqueId val="{00000131-93A3-4583-A5E2-F2A157AE9AE4}"/>
              </c:ext>
            </c:extLst>
          </c:dPt>
          <c:dPt>
            <c:idx val="15"/>
            <c:invertIfNegative val="0"/>
            <c:bubble3D val="0"/>
            <c:extLst>
              <c:ext xmlns:c16="http://schemas.microsoft.com/office/drawing/2014/chart" uri="{C3380CC4-5D6E-409C-BE32-E72D297353CC}">
                <c16:uniqueId val="{00000133-93A3-4583-A5E2-F2A157AE9AE4}"/>
              </c:ext>
            </c:extLst>
          </c:dPt>
          <c:dPt>
            <c:idx val="16"/>
            <c:invertIfNegative val="0"/>
            <c:bubble3D val="0"/>
            <c:extLst>
              <c:ext xmlns:c16="http://schemas.microsoft.com/office/drawing/2014/chart" uri="{C3380CC4-5D6E-409C-BE32-E72D297353CC}">
                <c16:uniqueId val="{00000135-93A3-4583-A5E2-F2A157AE9AE4}"/>
              </c:ext>
            </c:extLst>
          </c:dPt>
          <c:dPt>
            <c:idx val="17"/>
            <c:invertIfNegative val="0"/>
            <c:bubble3D val="0"/>
            <c:extLst>
              <c:ext xmlns:c16="http://schemas.microsoft.com/office/drawing/2014/chart" uri="{C3380CC4-5D6E-409C-BE32-E72D297353CC}">
                <c16:uniqueId val="{00000137-93A3-4583-A5E2-F2A157AE9AE4}"/>
              </c:ext>
            </c:extLst>
          </c:dPt>
          <c:dPt>
            <c:idx val="18"/>
            <c:invertIfNegative val="0"/>
            <c:bubble3D val="0"/>
            <c:extLst>
              <c:ext xmlns:c16="http://schemas.microsoft.com/office/drawing/2014/chart" uri="{C3380CC4-5D6E-409C-BE32-E72D297353CC}">
                <c16:uniqueId val="{00000139-93A3-4583-A5E2-F2A157AE9AE4}"/>
              </c:ext>
            </c:extLst>
          </c:dPt>
          <c:dPt>
            <c:idx val="19"/>
            <c:invertIfNegative val="0"/>
            <c:bubble3D val="0"/>
            <c:extLst>
              <c:ext xmlns:c16="http://schemas.microsoft.com/office/drawing/2014/chart" uri="{C3380CC4-5D6E-409C-BE32-E72D297353CC}">
                <c16:uniqueId val="{0000013B-93A3-4583-A5E2-F2A157AE9AE4}"/>
              </c:ext>
            </c:extLst>
          </c:dPt>
          <c:dPt>
            <c:idx val="20"/>
            <c:invertIfNegative val="0"/>
            <c:bubble3D val="0"/>
            <c:extLst>
              <c:ext xmlns:c16="http://schemas.microsoft.com/office/drawing/2014/chart" uri="{C3380CC4-5D6E-409C-BE32-E72D297353CC}">
                <c16:uniqueId val="{0000013D-93A3-4583-A5E2-F2A157AE9AE4}"/>
              </c:ext>
            </c:extLst>
          </c:dPt>
          <c:dPt>
            <c:idx val="21"/>
            <c:invertIfNegative val="0"/>
            <c:bubble3D val="0"/>
            <c:extLst>
              <c:ext xmlns:c16="http://schemas.microsoft.com/office/drawing/2014/chart" uri="{C3380CC4-5D6E-409C-BE32-E72D297353CC}">
                <c16:uniqueId val="{0000013F-93A3-4583-A5E2-F2A157AE9AE4}"/>
              </c:ext>
            </c:extLst>
          </c:dPt>
          <c:dPt>
            <c:idx val="22"/>
            <c:invertIfNegative val="0"/>
            <c:bubble3D val="0"/>
            <c:extLst>
              <c:ext xmlns:c16="http://schemas.microsoft.com/office/drawing/2014/chart" uri="{C3380CC4-5D6E-409C-BE32-E72D297353CC}">
                <c16:uniqueId val="{00000141-93A3-4583-A5E2-F2A157AE9AE4}"/>
              </c:ext>
            </c:extLst>
          </c:dPt>
          <c:dPt>
            <c:idx val="23"/>
            <c:invertIfNegative val="0"/>
            <c:bubble3D val="0"/>
            <c:extLst>
              <c:ext xmlns:c16="http://schemas.microsoft.com/office/drawing/2014/chart" uri="{C3380CC4-5D6E-409C-BE32-E72D297353CC}">
                <c16:uniqueId val="{00000143-93A3-4583-A5E2-F2A157AE9AE4}"/>
              </c:ext>
            </c:extLst>
          </c:dPt>
          <c:dPt>
            <c:idx val="24"/>
            <c:invertIfNegative val="0"/>
            <c:bubble3D val="0"/>
            <c:extLst>
              <c:ext xmlns:c16="http://schemas.microsoft.com/office/drawing/2014/chart" uri="{C3380CC4-5D6E-409C-BE32-E72D297353CC}">
                <c16:uniqueId val="{00000145-93A3-4583-A5E2-F2A157AE9AE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Data'!$C$3:$X$3</c:f>
              <c:numCache>
                <c:formatCode>#,##0_ ;\-#,##0\ </c:formatCode>
                <c:ptCount val="22"/>
                <c:pt idx="0">
                  <c:v>18219</c:v>
                </c:pt>
                <c:pt idx="1">
                  <c:v>18219</c:v>
                </c:pt>
                <c:pt idx="2">
                  <c:v>18219</c:v>
                </c:pt>
                <c:pt idx="3">
                  <c:v>18219</c:v>
                </c:pt>
                <c:pt idx="4">
                  <c:v>16419</c:v>
                </c:pt>
                <c:pt idx="5">
                  <c:v>16419</c:v>
                </c:pt>
                <c:pt idx="6">
                  <c:v>16419</c:v>
                </c:pt>
                <c:pt idx="7">
                  <c:v>16419</c:v>
                </c:pt>
                <c:pt idx="8">
                  <c:v>16054</c:v>
                </c:pt>
                <c:pt idx="9">
                  <c:v>16054</c:v>
                </c:pt>
                <c:pt idx="10">
                  <c:v>14734</c:v>
                </c:pt>
                <c:pt idx="11">
                  <c:v>13054</c:v>
                </c:pt>
                <c:pt idx="12">
                  <c:v>13054</c:v>
                </c:pt>
                <c:pt idx="13">
                  <c:v>13054</c:v>
                </c:pt>
                <c:pt idx="14">
                  <c:v>13054</c:v>
                </c:pt>
                <c:pt idx="15">
                  <c:v>13054</c:v>
                </c:pt>
                <c:pt idx="16">
                  <c:v>10174</c:v>
                </c:pt>
                <c:pt idx="17">
                  <c:v>7534</c:v>
                </c:pt>
                <c:pt idx="18">
                  <c:v>6134</c:v>
                </c:pt>
                <c:pt idx="19">
                  <c:v>6134</c:v>
                </c:pt>
                <c:pt idx="20">
                  <c:v>5434</c:v>
                </c:pt>
                <c:pt idx="21">
                  <c:v>5434</c:v>
                </c:pt>
              </c:numCache>
            </c:numRef>
          </c:val>
          <c:extLst>
            <c:ext xmlns:c16="http://schemas.microsoft.com/office/drawing/2014/chart" uri="{C3380CC4-5D6E-409C-BE32-E72D297353CC}">
              <c16:uniqueId val="{00000146-93A3-4583-A5E2-F2A157AE9AE4}"/>
            </c:ext>
          </c:extLst>
        </c:ser>
        <c:ser>
          <c:idx val="1"/>
          <c:order val="1"/>
          <c:tx>
            <c:strRef>
              <c:f>'NEMInstalledCapacity Data'!$B$4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149-93A3-4583-A5E2-F2A157AE9AE4}"/>
              </c:ext>
            </c:extLst>
          </c:dPt>
          <c:dPt>
            <c:idx val="1"/>
            <c:invertIfNegative val="0"/>
            <c:bubble3D val="0"/>
            <c:extLst>
              <c:ext xmlns:c16="http://schemas.microsoft.com/office/drawing/2014/chart" uri="{C3380CC4-5D6E-409C-BE32-E72D297353CC}">
                <c16:uniqueId val="{0000014B-93A3-4583-A5E2-F2A157AE9AE4}"/>
              </c:ext>
            </c:extLst>
          </c:dPt>
          <c:dPt>
            <c:idx val="2"/>
            <c:invertIfNegative val="0"/>
            <c:bubble3D val="0"/>
            <c:extLst>
              <c:ext xmlns:c16="http://schemas.microsoft.com/office/drawing/2014/chart" uri="{C3380CC4-5D6E-409C-BE32-E72D297353CC}">
                <c16:uniqueId val="{0000014D-93A3-4583-A5E2-F2A157AE9AE4}"/>
              </c:ext>
            </c:extLst>
          </c:dPt>
          <c:dPt>
            <c:idx val="3"/>
            <c:invertIfNegative val="0"/>
            <c:bubble3D val="0"/>
            <c:extLst>
              <c:ext xmlns:c16="http://schemas.microsoft.com/office/drawing/2014/chart" uri="{C3380CC4-5D6E-409C-BE32-E72D297353CC}">
                <c16:uniqueId val="{0000014F-93A3-4583-A5E2-F2A157AE9AE4}"/>
              </c:ext>
            </c:extLst>
          </c:dPt>
          <c:dPt>
            <c:idx val="4"/>
            <c:invertIfNegative val="0"/>
            <c:bubble3D val="0"/>
            <c:extLst>
              <c:ext xmlns:c16="http://schemas.microsoft.com/office/drawing/2014/chart" uri="{C3380CC4-5D6E-409C-BE32-E72D297353CC}">
                <c16:uniqueId val="{00000151-93A3-4583-A5E2-F2A157AE9AE4}"/>
              </c:ext>
            </c:extLst>
          </c:dPt>
          <c:dPt>
            <c:idx val="5"/>
            <c:invertIfNegative val="0"/>
            <c:bubble3D val="0"/>
            <c:extLst>
              <c:ext xmlns:c16="http://schemas.microsoft.com/office/drawing/2014/chart" uri="{C3380CC4-5D6E-409C-BE32-E72D297353CC}">
                <c16:uniqueId val="{00000153-93A3-4583-A5E2-F2A157AE9AE4}"/>
              </c:ext>
            </c:extLst>
          </c:dPt>
          <c:dPt>
            <c:idx val="6"/>
            <c:invertIfNegative val="0"/>
            <c:bubble3D val="0"/>
            <c:extLst>
              <c:ext xmlns:c16="http://schemas.microsoft.com/office/drawing/2014/chart" uri="{C3380CC4-5D6E-409C-BE32-E72D297353CC}">
                <c16:uniqueId val="{00000155-93A3-4583-A5E2-F2A157AE9AE4}"/>
              </c:ext>
            </c:extLst>
          </c:dPt>
          <c:dPt>
            <c:idx val="7"/>
            <c:invertIfNegative val="0"/>
            <c:bubble3D val="0"/>
            <c:extLst>
              <c:ext xmlns:c16="http://schemas.microsoft.com/office/drawing/2014/chart" uri="{C3380CC4-5D6E-409C-BE32-E72D297353CC}">
                <c16:uniqueId val="{00000157-93A3-4583-A5E2-F2A157AE9AE4}"/>
              </c:ext>
            </c:extLst>
          </c:dPt>
          <c:dPt>
            <c:idx val="8"/>
            <c:invertIfNegative val="0"/>
            <c:bubble3D val="0"/>
            <c:extLst>
              <c:ext xmlns:c16="http://schemas.microsoft.com/office/drawing/2014/chart" uri="{C3380CC4-5D6E-409C-BE32-E72D297353CC}">
                <c16:uniqueId val="{00000159-93A3-4583-A5E2-F2A157AE9AE4}"/>
              </c:ext>
            </c:extLst>
          </c:dPt>
          <c:dPt>
            <c:idx val="9"/>
            <c:invertIfNegative val="0"/>
            <c:bubble3D val="0"/>
            <c:extLst>
              <c:ext xmlns:c16="http://schemas.microsoft.com/office/drawing/2014/chart" uri="{C3380CC4-5D6E-409C-BE32-E72D297353CC}">
                <c16:uniqueId val="{0000015B-93A3-4583-A5E2-F2A157AE9AE4}"/>
              </c:ext>
            </c:extLst>
          </c:dPt>
          <c:dPt>
            <c:idx val="10"/>
            <c:invertIfNegative val="0"/>
            <c:bubble3D val="0"/>
            <c:extLst>
              <c:ext xmlns:c16="http://schemas.microsoft.com/office/drawing/2014/chart" uri="{C3380CC4-5D6E-409C-BE32-E72D297353CC}">
                <c16:uniqueId val="{0000015D-93A3-4583-A5E2-F2A157AE9AE4}"/>
              </c:ext>
            </c:extLst>
          </c:dPt>
          <c:dPt>
            <c:idx val="11"/>
            <c:invertIfNegative val="0"/>
            <c:bubble3D val="0"/>
            <c:extLst>
              <c:ext xmlns:c16="http://schemas.microsoft.com/office/drawing/2014/chart" uri="{C3380CC4-5D6E-409C-BE32-E72D297353CC}">
                <c16:uniqueId val="{0000015F-93A3-4583-A5E2-F2A157AE9AE4}"/>
              </c:ext>
            </c:extLst>
          </c:dPt>
          <c:dPt>
            <c:idx val="12"/>
            <c:invertIfNegative val="0"/>
            <c:bubble3D val="0"/>
            <c:extLst>
              <c:ext xmlns:c16="http://schemas.microsoft.com/office/drawing/2014/chart" uri="{C3380CC4-5D6E-409C-BE32-E72D297353CC}">
                <c16:uniqueId val="{00000161-93A3-4583-A5E2-F2A157AE9AE4}"/>
              </c:ext>
            </c:extLst>
          </c:dPt>
          <c:dPt>
            <c:idx val="13"/>
            <c:invertIfNegative val="0"/>
            <c:bubble3D val="0"/>
            <c:extLst>
              <c:ext xmlns:c16="http://schemas.microsoft.com/office/drawing/2014/chart" uri="{C3380CC4-5D6E-409C-BE32-E72D297353CC}">
                <c16:uniqueId val="{00000163-93A3-4583-A5E2-F2A157AE9AE4}"/>
              </c:ext>
            </c:extLst>
          </c:dPt>
          <c:dPt>
            <c:idx val="14"/>
            <c:invertIfNegative val="0"/>
            <c:bubble3D val="0"/>
            <c:extLst>
              <c:ext xmlns:c16="http://schemas.microsoft.com/office/drawing/2014/chart" uri="{C3380CC4-5D6E-409C-BE32-E72D297353CC}">
                <c16:uniqueId val="{00000165-93A3-4583-A5E2-F2A157AE9AE4}"/>
              </c:ext>
            </c:extLst>
          </c:dPt>
          <c:dPt>
            <c:idx val="15"/>
            <c:invertIfNegative val="0"/>
            <c:bubble3D val="0"/>
            <c:extLst>
              <c:ext xmlns:c16="http://schemas.microsoft.com/office/drawing/2014/chart" uri="{C3380CC4-5D6E-409C-BE32-E72D297353CC}">
                <c16:uniqueId val="{00000167-93A3-4583-A5E2-F2A157AE9AE4}"/>
              </c:ext>
            </c:extLst>
          </c:dPt>
          <c:dPt>
            <c:idx val="16"/>
            <c:invertIfNegative val="0"/>
            <c:bubble3D val="0"/>
            <c:extLst>
              <c:ext xmlns:c16="http://schemas.microsoft.com/office/drawing/2014/chart" uri="{C3380CC4-5D6E-409C-BE32-E72D297353CC}">
                <c16:uniqueId val="{00000169-93A3-4583-A5E2-F2A157AE9AE4}"/>
              </c:ext>
            </c:extLst>
          </c:dPt>
          <c:dPt>
            <c:idx val="17"/>
            <c:invertIfNegative val="0"/>
            <c:bubble3D val="0"/>
            <c:extLst>
              <c:ext xmlns:c16="http://schemas.microsoft.com/office/drawing/2014/chart" uri="{C3380CC4-5D6E-409C-BE32-E72D297353CC}">
                <c16:uniqueId val="{0000016B-93A3-4583-A5E2-F2A157AE9AE4}"/>
              </c:ext>
            </c:extLst>
          </c:dPt>
          <c:dPt>
            <c:idx val="18"/>
            <c:invertIfNegative val="0"/>
            <c:bubble3D val="0"/>
            <c:extLst>
              <c:ext xmlns:c16="http://schemas.microsoft.com/office/drawing/2014/chart" uri="{C3380CC4-5D6E-409C-BE32-E72D297353CC}">
                <c16:uniqueId val="{0000016D-93A3-4583-A5E2-F2A157AE9AE4}"/>
              </c:ext>
            </c:extLst>
          </c:dPt>
          <c:dPt>
            <c:idx val="19"/>
            <c:invertIfNegative val="0"/>
            <c:bubble3D val="0"/>
            <c:extLst>
              <c:ext xmlns:c16="http://schemas.microsoft.com/office/drawing/2014/chart" uri="{C3380CC4-5D6E-409C-BE32-E72D297353CC}">
                <c16:uniqueId val="{0000016F-93A3-4583-A5E2-F2A157AE9AE4}"/>
              </c:ext>
            </c:extLst>
          </c:dPt>
          <c:dPt>
            <c:idx val="20"/>
            <c:invertIfNegative val="0"/>
            <c:bubble3D val="0"/>
            <c:extLst>
              <c:ext xmlns:c16="http://schemas.microsoft.com/office/drawing/2014/chart" uri="{C3380CC4-5D6E-409C-BE32-E72D297353CC}">
                <c16:uniqueId val="{00000171-93A3-4583-A5E2-F2A157AE9AE4}"/>
              </c:ext>
            </c:extLst>
          </c:dPt>
          <c:dPt>
            <c:idx val="21"/>
            <c:invertIfNegative val="0"/>
            <c:bubble3D val="0"/>
            <c:extLst>
              <c:ext xmlns:c16="http://schemas.microsoft.com/office/drawing/2014/chart" uri="{C3380CC4-5D6E-409C-BE32-E72D297353CC}">
                <c16:uniqueId val="{00000173-93A3-4583-A5E2-F2A157AE9AE4}"/>
              </c:ext>
            </c:extLst>
          </c:dPt>
          <c:dPt>
            <c:idx val="22"/>
            <c:invertIfNegative val="0"/>
            <c:bubble3D val="0"/>
            <c:extLst>
              <c:ext xmlns:c16="http://schemas.microsoft.com/office/drawing/2014/chart" uri="{C3380CC4-5D6E-409C-BE32-E72D297353CC}">
                <c16:uniqueId val="{00000175-93A3-4583-A5E2-F2A157AE9AE4}"/>
              </c:ext>
            </c:extLst>
          </c:dPt>
          <c:dPt>
            <c:idx val="23"/>
            <c:invertIfNegative val="0"/>
            <c:bubble3D val="0"/>
            <c:extLst>
              <c:ext xmlns:c16="http://schemas.microsoft.com/office/drawing/2014/chart" uri="{C3380CC4-5D6E-409C-BE32-E72D297353CC}">
                <c16:uniqueId val="{00000177-93A3-4583-A5E2-F2A157AE9AE4}"/>
              </c:ext>
            </c:extLst>
          </c:dPt>
          <c:dPt>
            <c:idx val="24"/>
            <c:invertIfNegative val="0"/>
            <c:bubble3D val="0"/>
            <c:extLst>
              <c:ext xmlns:c16="http://schemas.microsoft.com/office/drawing/2014/chart" uri="{C3380CC4-5D6E-409C-BE32-E72D297353CC}">
                <c16:uniqueId val="{00000179-93A3-4583-A5E2-F2A157AE9AE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Data'!$C$4:$X$4</c:f>
              <c:numCache>
                <c:formatCode>#,##0_ ;\-#,##0\ </c:formatCode>
                <c:ptCount val="22"/>
                <c:pt idx="0">
                  <c:v>4808</c:v>
                </c:pt>
                <c:pt idx="1">
                  <c:v>4808</c:v>
                </c:pt>
                <c:pt idx="2">
                  <c:v>4808</c:v>
                </c:pt>
                <c:pt idx="3">
                  <c:v>4808</c:v>
                </c:pt>
                <c:pt idx="4">
                  <c:v>4808</c:v>
                </c:pt>
                <c:pt idx="5">
                  <c:v>4808</c:v>
                </c:pt>
                <c:pt idx="6">
                  <c:v>4808</c:v>
                </c:pt>
                <c:pt idx="7">
                  <c:v>4808</c:v>
                </c:pt>
                <c:pt idx="8">
                  <c:v>4808</c:v>
                </c:pt>
                <c:pt idx="9">
                  <c:v>4808</c:v>
                </c:pt>
                <c:pt idx="10">
                  <c:v>4808</c:v>
                </c:pt>
                <c:pt idx="11">
                  <c:v>4808</c:v>
                </c:pt>
                <c:pt idx="12">
                  <c:v>4808</c:v>
                </c:pt>
                <c:pt idx="13">
                  <c:v>4808</c:v>
                </c:pt>
                <c:pt idx="14">
                  <c:v>3280</c:v>
                </c:pt>
                <c:pt idx="15">
                  <c:v>3280</c:v>
                </c:pt>
                <c:pt idx="16">
                  <c:v>3280</c:v>
                </c:pt>
                <c:pt idx="17">
                  <c:v>3280</c:v>
                </c:pt>
                <c:pt idx="18">
                  <c:v>3280</c:v>
                </c:pt>
                <c:pt idx="19">
                  <c:v>3280</c:v>
                </c:pt>
                <c:pt idx="20">
                  <c:v>3280</c:v>
                </c:pt>
                <c:pt idx="21">
                  <c:v>3280</c:v>
                </c:pt>
              </c:numCache>
            </c:numRef>
          </c:val>
          <c:extLst>
            <c:ext xmlns:c16="http://schemas.microsoft.com/office/drawing/2014/chart" uri="{C3380CC4-5D6E-409C-BE32-E72D297353CC}">
              <c16:uniqueId val="{0000017A-93A3-4583-A5E2-F2A157AE9AE4}"/>
            </c:ext>
          </c:extLst>
        </c:ser>
        <c:ser>
          <c:idx val="2"/>
          <c:order val="2"/>
          <c:tx>
            <c:strRef>
              <c:f>'NEMInstalledCapacity Data'!$B$5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17D-93A3-4583-A5E2-F2A157AE9AE4}"/>
              </c:ext>
            </c:extLst>
          </c:dPt>
          <c:dPt>
            <c:idx val="1"/>
            <c:invertIfNegative val="0"/>
            <c:bubble3D val="0"/>
            <c:extLst>
              <c:ext xmlns:c16="http://schemas.microsoft.com/office/drawing/2014/chart" uri="{C3380CC4-5D6E-409C-BE32-E72D297353CC}">
                <c16:uniqueId val="{0000017F-93A3-4583-A5E2-F2A157AE9AE4}"/>
              </c:ext>
            </c:extLst>
          </c:dPt>
          <c:dPt>
            <c:idx val="2"/>
            <c:invertIfNegative val="0"/>
            <c:bubble3D val="0"/>
            <c:extLst>
              <c:ext xmlns:c16="http://schemas.microsoft.com/office/drawing/2014/chart" uri="{C3380CC4-5D6E-409C-BE32-E72D297353CC}">
                <c16:uniqueId val="{00000181-93A3-4583-A5E2-F2A157AE9AE4}"/>
              </c:ext>
            </c:extLst>
          </c:dPt>
          <c:dPt>
            <c:idx val="3"/>
            <c:invertIfNegative val="0"/>
            <c:bubble3D val="0"/>
            <c:extLst>
              <c:ext xmlns:c16="http://schemas.microsoft.com/office/drawing/2014/chart" uri="{C3380CC4-5D6E-409C-BE32-E72D297353CC}">
                <c16:uniqueId val="{00000183-93A3-4583-A5E2-F2A157AE9AE4}"/>
              </c:ext>
            </c:extLst>
          </c:dPt>
          <c:dPt>
            <c:idx val="4"/>
            <c:invertIfNegative val="0"/>
            <c:bubble3D val="0"/>
            <c:extLst>
              <c:ext xmlns:c16="http://schemas.microsoft.com/office/drawing/2014/chart" uri="{C3380CC4-5D6E-409C-BE32-E72D297353CC}">
                <c16:uniqueId val="{00000185-93A3-4583-A5E2-F2A157AE9AE4}"/>
              </c:ext>
            </c:extLst>
          </c:dPt>
          <c:dPt>
            <c:idx val="5"/>
            <c:invertIfNegative val="0"/>
            <c:bubble3D val="0"/>
            <c:extLst>
              <c:ext xmlns:c16="http://schemas.microsoft.com/office/drawing/2014/chart" uri="{C3380CC4-5D6E-409C-BE32-E72D297353CC}">
                <c16:uniqueId val="{00000187-93A3-4583-A5E2-F2A157AE9AE4}"/>
              </c:ext>
            </c:extLst>
          </c:dPt>
          <c:dPt>
            <c:idx val="6"/>
            <c:invertIfNegative val="0"/>
            <c:bubble3D val="0"/>
            <c:extLst>
              <c:ext xmlns:c16="http://schemas.microsoft.com/office/drawing/2014/chart" uri="{C3380CC4-5D6E-409C-BE32-E72D297353CC}">
                <c16:uniqueId val="{00000189-93A3-4583-A5E2-F2A157AE9AE4}"/>
              </c:ext>
            </c:extLst>
          </c:dPt>
          <c:dPt>
            <c:idx val="7"/>
            <c:invertIfNegative val="0"/>
            <c:bubble3D val="0"/>
            <c:extLst>
              <c:ext xmlns:c16="http://schemas.microsoft.com/office/drawing/2014/chart" uri="{C3380CC4-5D6E-409C-BE32-E72D297353CC}">
                <c16:uniqueId val="{0000018B-93A3-4583-A5E2-F2A157AE9AE4}"/>
              </c:ext>
            </c:extLst>
          </c:dPt>
          <c:dPt>
            <c:idx val="8"/>
            <c:invertIfNegative val="0"/>
            <c:bubble3D val="0"/>
            <c:extLst>
              <c:ext xmlns:c16="http://schemas.microsoft.com/office/drawing/2014/chart" uri="{C3380CC4-5D6E-409C-BE32-E72D297353CC}">
                <c16:uniqueId val="{0000018D-93A3-4583-A5E2-F2A157AE9AE4}"/>
              </c:ext>
            </c:extLst>
          </c:dPt>
          <c:dPt>
            <c:idx val="9"/>
            <c:invertIfNegative val="0"/>
            <c:bubble3D val="0"/>
            <c:extLst>
              <c:ext xmlns:c16="http://schemas.microsoft.com/office/drawing/2014/chart" uri="{C3380CC4-5D6E-409C-BE32-E72D297353CC}">
                <c16:uniqueId val="{0000018F-93A3-4583-A5E2-F2A157AE9AE4}"/>
              </c:ext>
            </c:extLst>
          </c:dPt>
          <c:dPt>
            <c:idx val="10"/>
            <c:invertIfNegative val="0"/>
            <c:bubble3D val="0"/>
            <c:extLst>
              <c:ext xmlns:c16="http://schemas.microsoft.com/office/drawing/2014/chart" uri="{C3380CC4-5D6E-409C-BE32-E72D297353CC}">
                <c16:uniqueId val="{00000191-93A3-4583-A5E2-F2A157AE9AE4}"/>
              </c:ext>
            </c:extLst>
          </c:dPt>
          <c:dPt>
            <c:idx val="11"/>
            <c:invertIfNegative val="0"/>
            <c:bubble3D val="0"/>
            <c:extLst>
              <c:ext xmlns:c16="http://schemas.microsoft.com/office/drawing/2014/chart" uri="{C3380CC4-5D6E-409C-BE32-E72D297353CC}">
                <c16:uniqueId val="{00000193-93A3-4583-A5E2-F2A157AE9AE4}"/>
              </c:ext>
            </c:extLst>
          </c:dPt>
          <c:dPt>
            <c:idx val="12"/>
            <c:invertIfNegative val="0"/>
            <c:bubble3D val="0"/>
            <c:extLst>
              <c:ext xmlns:c16="http://schemas.microsoft.com/office/drawing/2014/chart" uri="{C3380CC4-5D6E-409C-BE32-E72D297353CC}">
                <c16:uniqueId val="{00000195-93A3-4583-A5E2-F2A157AE9AE4}"/>
              </c:ext>
            </c:extLst>
          </c:dPt>
          <c:dPt>
            <c:idx val="13"/>
            <c:invertIfNegative val="0"/>
            <c:bubble3D val="0"/>
            <c:extLst>
              <c:ext xmlns:c16="http://schemas.microsoft.com/office/drawing/2014/chart" uri="{C3380CC4-5D6E-409C-BE32-E72D297353CC}">
                <c16:uniqueId val="{00000197-93A3-4583-A5E2-F2A157AE9AE4}"/>
              </c:ext>
            </c:extLst>
          </c:dPt>
          <c:dPt>
            <c:idx val="14"/>
            <c:invertIfNegative val="0"/>
            <c:bubble3D val="0"/>
            <c:extLst>
              <c:ext xmlns:c16="http://schemas.microsoft.com/office/drawing/2014/chart" uri="{C3380CC4-5D6E-409C-BE32-E72D297353CC}">
                <c16:uniqueId val="{00000199-93A3-4583-A5E2-F2A157AE9AE4}"/>
              </c:ext>
            </c:extLst>
          </c:dPt>
          <c:dPt>
            <c:idx val="15"/>
            <c:invertIfNegative val="0"/>
            <c:bubble3D val="0"/>
            <c:extLst>
              <c:ext xmlns:c16="http://schemas.microsoft.com/office/drawing/2014/chart" uri="{C3380CC4-5D6E-409C-BE32-E72D297353CC}">
                <c16:uniqueId val="{0000019B-93A3-4583-A5E2-F2A157AE9AE4}"/>
              </c:ext>
            </c:extLst>
          </c:dPt>
          <c:dPt>
            <c:idx val="16"/>
            <c:invertIfNegative val="0"/>
            <c:bubble3D val="0"/>
            <c:extLst>
              <c:ext xmlns:c16="http://schemas.microsoft.com/office/drawing/2014/chart" uri="{C3380CC4-5D6E-409C-BE32-E72D297353CC}">
                <c16:uniqueId val="{0000019D-93A3-4583-A5E2-F2A157AE9AE4}"/>
              </c:ext>
            </c:extLst>
          </c:dPt>
          <c:dPt>
            <c:idx val="17"/>
            <c:invertIfNegative val="0"/>
            <c:bubble3D val="0"/>
            <c:extLst>
              <c:ext xmlns:c16="http://schemas.microsoft.com/office/drawing/2014/chart" uri="{C3380CC4-5D6E-409C-BE32-E72D297353CC}">
                <c16:uniqueId val="{0000019F-93A3-4583-A5E2-F2A157AE9AE4}"/>
              </c:ext>
            </c:extLst>
          </c:dPt>
          <c:dPt>
            <c:idx val="18"/>
            <c:invertIfNegative val="0"/>
            <c:bubble3D val="0"/>
            <c:extLst>
              <c:ext xmlns:c16="http://schemas.microsoft.com/office/drawing/2014/chart" uri="{C3380CC4-5D6E-409C-BE32-E72D297353CC}">
                <c16:uniqueId val="{000001A1-93A3-4583-A5E2-F2A157AE9AE4}"/>
              </c:ext>
            </c:extLst>
          </c:dPt>
          <c:dPt>
            <c:idx val="19"/>
            <c:invertIfNegative val="0"/>
            <c:bubble3D val="0"/>
            <c:extLst>
              <c:ext xmlns:c16="http://schemas.microsoft.com/office/drawing/2014/chart" uri="{C3380CC4-5D6E-409C-BE32-E72D297353CC}">
                <c16:uniqueId val="{000001A3-93A3-4583-A5E2-F2A157AE9AE4}"/>
              </c:ext>
            </c:extLst>
          </c:dPt>
          <c:dPt>
            <c:idx val="20"/>
            <c:invertIfNegative val="0"/>
            <c:bubble3D val="0"/>
            <c:extLst>
              <c:ext xmlns:c16="http://schemas.microsoft.com/office/drawing/2014/chart" uri="{C3380CC4-5D6E-409C-BE32-E72D297353CC}">
                <c16:uniqueId val="{000001A5-93A3-4583-A5E2-F2A157AE9AE4}"/>
              </c:ext>
            </c:extLst>
          </c:dPt>
          <c:dPt>
            <c:idx val="21"/>
            <c:invertIfNegative val="0"/>
            <c:bubble3D val="0"/>
            <c:extLst>
              <c:ext xmlns:c16="http://schemas.microsoft.com/office/drawing/2014/chart" uri="{C3380CC4-5D6E-409C-BE32-E72D297353CC}">
                <c16:uniqueId val="{000001A7-93A3-4583-A5E2-F2A157AE9AE4}"/>
              </c:ext>
            </c:extLst>
          </c:dPt>
          <c:dPt>
            <c:idx val="22"/>
            <c:invertIfNegative val="0"/>
            <c:bubble3D val="0"/>
            <c:extLst>
              <c:ext xmlns:c16="http://schemas.microsoft.com/office/drawing/2014/chart" uri="{C3380CC4-5D6E-409C-BE32-E72D297353CC}">
                <c16:uniqueId val="{000001A9-93A3-4583-A5E2-F2A157AE9AE4}"/>
              </c:ext>
            </c:extLst>
          </c:dPt>
          <c:dPt>
            <c:idx val="23"/>
            <c:invertIfNegative val="0"/>
            <c:bubble3D val="0"/>
            <c:extLst>
              <c:ext xmlns:c16="http://schemas.microsoft.com/office/drawing/2014/chart" uri="{C3380CC4-5D6E-409C-BE32-E72D297353CC}">
                <c16:uniqueId val="{000001AB-93A3-4583-A5E2-F2A157AE9AE4}"/>
              </c:ext>
            </c:extLst>
          </c:dPt>
          <c:dPt>
            <c:idx val="24"/>
            <c:invertIfNegative val="0"/>
            <c:bubble3D val="0"/>
            <c:extLst>
              <c:ext xmlns:c16="http://schemas.microsoft.com/office/drawing/2014/chart" uri="{C3380CC4-5D6E-409C-BE32-E72D297353CC}">
                <c16:uniqueId val="{000001AD-93A3-4583-A5E2-F2A157AE9AE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Data'!$C$5:$X$5</c:f>
              <c:numCache>
                <c:formatCode>#,##0_ ;\-#,##0\ </c:formatCode>
                <c:ptCount val="22"/>
                <c:pt idx="0">
                  <c:v>5363.5</c:v>
                </c:pt>
                <c:pt idx="1">
                  <c:v>5363.5</c:v>
                </c:pt>
                <c:pt idx="2">
                  <c:v>5363.5</c:v>
                </c:pt>
                <c:pt idx="3">
                  <c:v>5363.5</c:v>
                </c:pt>
                <c:pt idx="4">
                  <c:v>5363.5</c:v>
                </c:pt>
                <c:pt idx="5">
                  <c:v>5363.5</c:v>
                </c:pt>
                <c:pt idx="6">
                  <c:v>5363.5</c:v>
                </c:pt>
                <c:pt idx="7">
                  <c:v>5363.5</c:v>
                </c:pt>
                <c:pt idx="8">
                  <c:v>5363.5</c:v>
                </c:pt>
                <c:pt idx="9">
                  <c:v>5363.5</c:v>
                </c:pt>
                <c:pt idx="10">
                  <c:v>5363.5</c:v>
                </c:pt>
                <c:pt idx="11">
                  <c:v>5363.5</c:v>
                </c:pt>
                <c:pt idx="12">
                  <c:v>5363.5</c:v>
                </c:pt>
                <c:pt idx="13">
                  <c:v>5363.5</c:v>
                </c:pt>
                <c:pt idx="14">
                  <c:v>5363.5</c:v>
                </c:pt>
                <c:pt idx="15">
                  <c:v>5363.5</c:v>
                </c:pt>
                <c:pt idx="16">
                  <c:v>5363.5</c:v>
                </c:pt>
                <c:pt idx="17">
                  <c:v>5363.5</c:v>
                </c:pt>
                <c:pt idx="18">
                  <c:v>5363.5</c:v>
                </c:pt>
                <c:pt idx="19">
                  <c:v>5363.5</c:v>
                </c:pt>
                <c:pt idx="20">
                  <c:v>5363.5</c:v>
                </c:pt>
                <c:pt idx="21">
                  <c:v>5363.5</c:v>
                </c:pt>
              </c:numCache>
            </c:numRef>
          </c:val>
          <c:extLst>
            <c:ext xmlns:c16="http://schemas.microsoft.com/office/drawing/2014/chart" uri="{C3380CC4-5D6E-409C-BE32-E72D297353CC}">
              <c16:uniqueId val="{000001AE-93A3-4583-A5E2-F2A157AE9AE4}"/>
            </c:ext>
          </c:extLst>
        </c:ser>
        <c:ser>
          <c:idx val="3"/>
          <c:order val="3"/>
          <c:tx>
            <c:strRef>
              <c:f>'NEMInstalledCapacity Data'!$B$6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1B0-93A3-4583-A5E2-F2A157AE9AE4}"/>
              </c:ext>
            </c:extLst>
          </c:dPt>
          <c:dPt>
            <c:idx val="1"/>
            <c:invertIfNegative val="0"/>
            <c:bubble3D val="0"/>
            <c:extLst>
              <c:ext xmlns:c16="http://schemas.microsoft.com/office/drawing/2014/chart" uri="{C3380CC4-5D6E-409C-BE32-E72D297353CC}">
                <c16:uniqueId val="{000001B1-93A3-4583-A5E2-F2A157AE9AE4}"/>
              </c:ext>
            </c:extLst>
          </c:dPt>
          <c:dPt>
            <c:idx val="2"/>
            <c:invertIfNegative val="0"/>
            <c:bubble3D val="0"/>
            <c:extLst>
              <c:ext xmlns:c16="http://schemas.microsoft.com/office/drawing/2014/chart" uri="{C3380CC4-5D6E-409C-BE32-E72D297353CC}">
                <c16:uniqueId val="{000001B2-93A3-4583-A5E2-F2A157AE9AE4}"/>
              </c:ext>
            </c:extLst>
          </c:dPt>
          <c:dPt>
            <c:idx val="3"/>
            <c:invertIfNegative val="0"/>
            <c:bubble3D val="0"/>
            <c:extLst>
              <c:ext xmlns:c16="http://schemas.microsoft.com/office/drawing/2014/chart" uri="{C3380CC4-5D6E-409C-BE32-E72D297353CC}">
                <c16:uniqueId val="{000001B3-93A3-4583-A5E2-F2A157AE9AE4}"/>
              </c:ext>
            </c:extLst>
          </c:dPt>
          <c:dPt>
            <c:idx val="4"/>
            <c:invertIfNegative val="0"/>
            <c:bubble3D val="0"/>
            <c:extLst>
              <c:ext xmlns:c16="http://schemas.microsoft.com/office/drawing/2014/chart" uri="{C3380CC4-5D6E-409C-BE32-E72D297353CC}">
                <c16:uniqueId val="{000001B4-93A3-4583-A5E2-F2A157AE9AE4}"/>
              </c:ext>
            </c:extLst>
          </c:dPt>
          <c:dPt>
            <c:idx val="5"/>
            <c:invertIfNegative val="0"/>
            <c:bubble3D val="0"/>
            <c:extLst>
              <c:ext xmlns:c16="http://schemas.microsoft.com/office/drawing/2014/chart" uri="{C3380CC4-5D6E-409C-BE32-E72D297353CC}">
                <c16:uniqueId val="{000001B5-93A3-4583-A5E2-F2A157AE9AE4}"/>
              </c:ext>
            </c:extLst>
          </c:dPt>
          <c:dPt>
            <c:idx val="6"/>
            <c:invertIfNegative val="0"/>
            <c:bubble3D val="0"/>
            <c:extLst>
              <c:ext xmlns:c16="http://schemas.microsoft.com/office/drawing/2014/chart" uri="{C3380CC4-5D6E-409C-BE32-E72D297353CC}">
                <c16:uniqueId val="{000001B6-93A3-4583-A5E2-F2A157AE9AE4}"/>
              </c:ext>
            </c:extLst>
          </c:dPt>
          <c:dPt>
            <c:idx val="7"/>
            <c:invertIfNegative val="0"/>
            <c:bubble3D val="0"/>
            <c:extLst>
              <c:ext xmlns:c16="http://schemas.microsoft.com/office/drawing/2014/chart" uri="{C3380CC4-5D6E-409C-BE32-E72D297353CC}">
                <c16:uniqueId val="{000001B7-93A3-4583-A5E2-F2A157AE9AE4}"/>
              </c:ext>
            </c:extLst>
          </c:dPt>
          <c:dPt>
            <c:idx val="8"/>
            <c:invertIfNegative val="0"/>
            <c:bubble3D val="0"/>
            <c:extLst>
              <c:ext xmlns:c16="http://schemas.microsoft.com/office/drawing/2014/chart" uri="{C3380CC4-5D6E-409C-BE32-E72D297353CC}">
                <c16:uniqueId val="{000001B8-93A3-4583-A5E2-F2A157AE9AE4}"/>
              </c:ext>
            </c:extLst>
          </c:dPt>
          <c:dPt>
            <c:idx val="9"/>
            <c:invertIfNegative val="0"/>
            <c:bubble3D val="0"/>
            <c:extLst>
              <c:ext xmlns:c16="http://schemas.microsoft.com/office/drawing/2014/chart" uri="{C3380CC4-5D6E-409C-BE32-E72D297353CC}">
                <c16:uniqueId val="{000001B9-93A3-4583-A5E2-F2A157AE9AE4}"/>
              </c:ext>
            </c:extLst>
          </c:dPt>
          <c:dPt>
            <c:idx val="10"/>
            <c:invertIfNegative val="0"/>
            <c:bubble3D val="0"/>
            <c:extLst>
              <c:ext xmlns:c16="http://schemas.microsoft.com/office/drawing/2014/chart" uri="{C3380CC4-5D6E-409C-BE32-E72D297353CC}">
                <c16:uniqueId val="{000001BA-93A3-4583-A5E2-F2A157AE9AE4}"/>
              </c:ext>
            </c:extLst>
          </c:dPt>
          <c:dPt>
            <c:idx val="11"/>
            <c:invertIfNegative val="0"/>
            <c:bubble3D val="0"/>
            <c:extLst>
              <c:ext xmlns:c16="http://schemas.microsoft.com/office/drawing/2014/chart" uri="{C3380CC4-5D6E-409C-BE32-E72D297353CC}">
                <c16:uniqueId val="{000001BB-93A3-4583-A5E2-F2A157AE9AE4}"/>
              </c:ext>
            </c:extLst>
          </c:dPt>
          <c:dPt>
            <c:idx val="12"/>
            <c:invertIfNegative val="0"/>
            <c:bubble3D val="0"/>
            <c:extLst>
              <c:ext xmlns:c16="http://schemas.microsoft.com/office/drawing/2014/chart" uri="{C3380CC4-5D6E-409C-BE32-E72D297353CC}">
                <c16:uniqueId val="{000001BC-93A3-4583-A5E2-F2A157AE9AE4}"/>
              </c:ext>
            </c:extLst>
          </c:dPt>
          <c:dPt>
            <c:idx val="13"/>
            <c:invertIfNegative val="0"/>
            <c:bubble3D val="0"/>
            <c:extLst>
              <c:ext xmlns:c16="http://schemas.microsoft.com/office/drawing/2014/chart" uri="{C3380CC4-5D6E-409C-BE32-E72D297353CC}">
                <c16:uniqueId val="{000001BD-93A3-4583-A5E2-F2A157AE9AE4}"/>
              </c:ext>
            </c:extLst>
          </c:dPt>
          <c:dPt>
            <c:idx val="14"/>
            <c:invertIfNegative val="0"/>
            <c:bubble3D val="0"/>
            <c:extLst>
              <c:ext xmlns:c16="http://schemas.microsoft.com/office/drawing/2014/chart" uri="{C3380CC4-5D6E-409C-BE32-E72D297353CC}">
                <c16:uniqueId val="{000001BE-93A3-4583-A5E2-F2A157AE9AE4}"/>
              </c:ext>
            </c:extLst>
          </c:dPt>
          <c:dPt>
            <c:idx val="15"/>
            <c:invertIfNegative val="0"/>
            <c:bubble3D val="0"/>
            <c:extLst>
              <c:ext xmlns:c16="http://schemas.microsoft.com/office/drawing/2014/chart" uri="{C3380CC4-5D6E-409C-BE32-E72D297353CC}">
                <c16:uniqueId val="{000001BF-93A3-4583-A5E2-F2A157AE9AE4}"/>
              </c:ext>
            </c:extLst>
          </c:dPt>
          <c:dPt>
            <c:idx val="16"/>
            <c:invertIfNegative val="0"/>
            <c:bubble3D val="0"/>
            <c:extLst>
              <c:ext xmlns:c16="http://schemas.microsoft.com/office/drawing/2014/chart" uri="{C3380CC4-5D6E-409C-BE32-E72D297353CC}">
                <c16:uniqueId val="{000001C0-93A3-4583-A5E2-F2A157AE9AE4}"/>
              </c:ext>
            </c:extLst>
          </c:dPt>
          <c:dPt>
            <c:idx val="17"/>
            <c:invertIfNegative val="0"/>
            <c:bubble3D val="0"/>
            <c:extLst>
              <c:ext xmlns:c16="http://schemas.microsoft.com/office/drawing/2014/chart" uri="{C3380CC4-5D6E-409C-BE32-E72D297353CC}">
                <c16:uniqueId val="{000001C1-93A3-4583-A5E2-F2A157AE9AE4}"/>
              </c:ext>
            </c:extLst>
          </c:dPt>
          <c:dPt>
            <c:idx val="18"/>
            <c:invertIfNegative val="0"/>
            <c:bubble3D val="0"/>
            <c:extLst>
              <c:ext xmlns:c16="http://schemas.microsoft.com/office/drawing/2014/chart" uri="{C3380CC4-5D6E-409C-BE32-E72D297353CC}">
                <c16:uniqueId val="{000001C2-93A3-4583-A5E2-F2A157AE9AE4}"/>
              </c:ext>
            </c:extLst>
          </c:dPt>
          <c:dPt>
            <c:idx val="19"/>
            <c:invertIfNegative val="0"/>
            <c:bubble3D val="0"/>
            <c:extLst>
              <c:ext xmlns:c16="http://schemas.microsoft.com/office/drawing/2014/chart" uri="{C3380CC4-5D6E-409C-BE32-E72D297353CC}">
                <c16:uniqueId val="{000001C3-93A3-4583-A5E2-F2A157AE9AE4}"/>
              </c:ext>
            </c:extLst>
          </c:dPt>
          <c:dPt>
            <c:idx val="20"/>
            <c:invertIfNegative val="0"/>
            <c:bubble3D val="0"/>
            <c:extLst>
              <c:ext xmlns:c16="http://schemas.microsoft.com/office/drawing/2014/chart" uri="{C3380CC4-5D6E-409C-BE32-E72D297353CC}">
                <c16:uniqueId val="{000001C4-93A3-4583-A5E2-F2A157AE9AE4}"/>
              </c:ext>
            </c:extLst>
          </c:dPt>
          <c:dPt>
            <c:idx val="21"/>
            <c:invertIfNegative val="0"/>
            <c:bubble3D val="0"/>
            <c:extLst>
              <c:ext xmlns:c16="http://schemas.microsoft.com/office/drawing/2014/chart" uri="{C3380CC4-5D6E-409C-BE32-E72D297353CC}">
                <c16:uniqueId val="{000001C5-93A3-4583-A5E2-F2A157AE9AE4}"/>
              </c:ext>
            </c:extLst>
          </c:dPt>
          <c:dPt>
            <c:idx val="22"/>
            <c:invertIfNegative val="0"/>
            <c:bubble3D val="0"/>
            <c:extLst>
              <c:ext xmlns:c16="http://schemas.microsoft.com/office/drawing/2014/chart" uri="{C3380CC4-5D6E-409C-BE32-E72D297353CC}">
                <c16:uniqueId val="{000001C6-93A3-4583-A5E2-F2A157AE9AE4}"/>
              </c:ext>
            </c:extLst>
          </c:dPt>
          <c:dPt>
            <c:idx val="23"/>
            <c:invertIfNegative val="0"/>
            <c:bubble3D val="0"/>
            <c:extLst>
              <c:ext xmlns:c16="http://schemas.microsoft.com/office/drawing/2014/chart" uri="{C3380CC4-5D6E-409C-BE32-E72D297353CC}">
                <c16:uniqueId val="{000001C7-93A3-4583-A5E2-F2A157AE9AE4}"/>
              </c:ext>
            </c:extLst>
          </c:dPt>
          <c:dPt>
            <c:idx val="24"/>
            <c:invertIfNegative val="0"/>
            <c:bubble3D val="0"/>
            <c:extLst>
              <c:ext xmlns:c16="http://schemas.microsoft.com/office/drawing/2014/chart" uri="{C3380CC4-5D6E-409C-BE32-E72D297353CC}">
                <c16:uniqueId val="{000001C8-93A3-4583-A5E2-F2A157AE9AE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Data'!$C$6:$X$6</c:f>
              <c:numCache>
                <c:formatCode>#,##0_ ;\-#,##0\ </c:formatCode>
                <c:ptCount val="22"/>
                <c:pt idx="0">
                  <c:v>4111</c:v>
                </c:pt>
                <c:pt idx="1">
                  <c:v>4111</c:v>
                </c:pt>
                <c:pt idx="2">
                  <c:v>4111</c:v>
                </c:pt>
                <c:pt idx="3">
                  <c:v>4111</c:v>
                </c:pt>
                <c:pt idx="4">
                  <c:v>4111</c:v>
                </c:pt>
                <c:pt idx="5">
                  <c:v>4111</c:v>
                </c:pt>
                <c:pt idx="6">
                  <c:v>2649</c:v>
                </c:pt>
                <c:pt idx="7">
                  <c:v>2649</c:v>
                </c:pt>
                <c:pt idx="8">
                  <c:v>2649</c:v>
                </c:pt>
                <c:pt idx="9">
                  <c:v>2649</c:v>
                </c:pt>
                <c:pt idx="10">
                  <c:v>2649</c:v>
                </c:pt>
                <c:pt idx="11">
                  <c:v>2649</c:v>
                </c:pt>
                <c:pt idx="12">
                  <c:v>2649</c:v>
                </c:pt>
                <c:pt idx="13">
                  <c:v>2539</c:v>
                </c:pt>
                <c:pt idx="14">
                  <c:v>3339</c:v>
                </c:pt>
                <c:pt idx="15">
                  <c:v>3339</c:v>
                </c:pt>
                <c:pt idx="16">
                  <c:v>5339</c:v>
                </c:pt>
                <c:pt idx="17">
                  <c:v>8539</c:v>
                </c:pt>
                <c:pt idx="18">
                  <c:v>8539</c:v>
                </c:pt>
                <c:pt idx="19">
                  <c:v>8539</c:v>
                </c:pt>
                <c:pt idx="20">
                  <c:v>8539</c:v>
                </c:pt>
                <c:pt idx="21">
                  <c:v>8539</c:v>
                </c:pt>
              </c:numCache>
            </c:numRef>
          </c:val>
          <c:extLst>
            <c:ext xmlns:c16="http://schemas.microsoft.com/office/drawing/2014/chart" uri="{C3380CC4-5D6E-409C-BE32-E72D297353CC}">
              <c16:uniqueId val="{000001C9-93A3-4583-A5E2-F2A157AE9AE4}"/>
            </c:ext>
          </c:extLst>
        </c:ser>
        <c:ser>
          <c:idx val="4"/>
          <c:order val="4"/>
          <c:tx>
            <c:strRef>
              <c:f>'NEMInstalledCapacity Data'!$B$7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1CC-93A3-4583-A5E2-F2A157AE9AE4}"/>
              </c:ext>
            </c:extLst>
          </c:dPt>
          <c:dPt>
            <c:idx val="1"/>
            <c:invertIfNegative val="0"/>
            <c:bubble3D val="0"/>
            <c:extLst>
              <c:ext xmlns:c16="http://schemas.microsoft.com/office/drawing/2014/chart" uri="{C3380CC4-5D6E-409C-BE32-E72D297353CC}">
                <c16:uniqueId val="{000001CE-93A3-4583-A5E2-F2A157AE9AE4}"/>
              </c:ext>
            </c:extLst>
          </c:dPt>
          <c:dPt>
            <c:idx val="2"/>
            <c:invertIfNegative val="0"/>
            <c:bubble3D val="0"/>
            <c:extLst>
              <c:ext xmlns:c16="http://schemas.microsoft.com/office/drawing/2014/chart" uri="{C3380CC4-5D6E-409C-BE32-E72D297353CC}">
                <c16:uniqueId val="{000001D0-93A3-4583-A5E2-F2A157AE9AE4}"/>
              </c:ext>
            </c:extLst>
          </c:dPt>
          <c:dPt>
            <c:idx val="3"/>
            <c:invertIfNegative val="0"/>
            <c:bubble3D val="0"/>
            <c:extLst>
              <c:ext xmlns:c16="http://schemas.microsoft.com/office/drawing/2014/chart" uri="{C3380CC4-5D6E-409C-BE32-E72D297353CC}">
                <c16:uniqueId val="{000001D2-93A3-4583-A5E2-F2A157AE9AE4}"/>
              </c:ext>
            </c:extLst>
          </c:dPt>
          <c:dPt>
            <c:idx val="4"/>
            <c:invertIfNegative val="0"/>
            <c:bubble3D val="0"/>
            <c:extLst>
              <c:ext xmlns:c16="http://schemas.microsoft.com/office/drawing/2014/chart" uri="{C3380CC4-5D6E-409C-BE32-E72D297353CC}">
                <c16:uniqueId val="{000001D4-93A3-4583-A5E2-F2A157AE9AE4}"/>
              </c:ext>
            </c:extLst>
          </c:dPt>
          <c:dPt>
            <c:idx val="5"/>
            <c:invertIfNegative val="0"/>
            <c:bubble3D val="0"/>
            <c:extLst>
              <c:ext xmlns:c16="http://schemas.microsoft.com/office/drawing/2014/chart" uri="{C3380CC4-5D6E-409C-BE32-E72D297353CC}">
                <c16:uniqueId val="{000001D6-93A3-4583-A5E2-F2A157AE9AE4}"/>
              </c:ext>
            </c:extLst>
          </c:dPt>
          <c:dPt>
            <c:idx val="6"/>
            <c:invertIfNegative val="0"/>
            <c:bubble3D val="0"/>
            <c:extLst>
              <c:ext xmlns:c16="http://schemas.microsoft.com/office/drawing/2014/chart" uri="{C3380CC4-5D6E-409C-BE32-E72D297353CC}">
                <c16:uniqueId val="{000001D8-93A3-4583-A5E2-F2A157AE9AE4}"/>
              </c:ext>
            </c:extLst>
          </c:dPt>
          <c:dPt>
            <c:idx val="7"/>
            <c:invertIfNegative val="0"/>
            <c:bubble3D val="0"/>
            <c:extLst>
              <c:ext xmlns:c16="http://schemas.microsoft.com/office/drawing/2014/chart" uri="{C3380CC4-5D6E-409C-BE32-E72D297353CC}">
                <c16:uniqueId val="{000001DA-93A3-4583-A5E2-F2A157AE9AE4}"/>
              </c:ext>
            </c:extLst>
          </c:dPt>
          <c:dPt>
            <c:idx val="8"/>
            <c:invertIfNegative val="0"/>
            <c:bubble3D val="0"/>
            <c:extLst>
              <c:ext xmlns:c16="http://schemas.microsoft.com/office/drawing/2014/chart" uri="{C3380CC4-5D6E-409C-BE32-E72D297353CC}">
                <c16:uniqueId val="{000001DC-93A3-4583-A5E2-F2A157AE9AE4}"/>
              </c:ext>
            </c:extLst>
          </c:dPt>
          <c:dPt>
            <c:idx val="9"/>
            <c:invertIfNegative val="0"/>
            <c:bubble3D val="0"/>
            <c:extLst>
              <c:ext xmlns:c16="http://schemas.microsoft.com/office/drawing/2014/chart" uri="{C3380CC4-5D6E-409C-BE32-E72D297353CC}">
                <c16:uniqueId val="{000001DE-93A3-4583-A5E2-F2A157AE9AE4}"/>
              </c:ext>
            </c:extLst>
          </c:dPt>
          <c:dPt>
            <c:idx val="10"/>
            <c:invertIfNegative val="0"/>
            <c:bubble3D val="0"/>
            <c:extLst>
              <c:ext xmlns:c16="http://schemas.microsoft.com/office/drawing/2014/chart" uri="{C3380CC4-5D6E-409C-BE32-E72D297353CC}">
                <c16:uniqueId val="{000001E0-93A3-4583-A5E2-F2A157AE9AE4}"/>
              </c:ext>
            </c:extLst>
          </c:dPt>
          <c:dPt>
            <c:idx val="11"/>
            <c:invertIfNegative val="0"/>
            <c:bubble3D val="0"/>
            <c:extLst>
              <c:ext xmlns:c16="http://schemas.microsoft.com/office/drawing/2014/chart" uri="{C3380CC4-5D6E-409C-BE32-E72D297353CC}">
                <c16:uniqueId val="{000001E2-93A3-4583-A5E2-F2A157AE9AE4}"/>
              </c:ext>
            </c:extLst>
          </c:dPt>
          <c:dPt>
            <c:idx val="12"/>
            <c:invertIfNegative val="0"/>
            <c:bubble3D val="0"/>
            <c:extLst>
              <c:ext xmlns:c16="http://schemas.microsoft.com/office/drawing/2014/chart" uri="{C3380CC4-5D6E-409C-BE32-E72D297353CC}">
                <c16:uniqueId val="{000001E4-93A3-4583-A5E2-F2A157AE9AE4}"/>
              </c:ext>
            </c:extLst>
          </c:dPt>
          <c:dPt>
            <c:idx val="13"/>
            <c:invertIfNegative val="0"/>
            <c:bubble3D val="0"/>
            <c:extLst>
              <c:ext xmlns:c16="http://schemas.microsoft.com/office/drawing/2014/chart" uri="{C3380CC4-5D6E-409C-BE32-E72D297353CC}">
                <c16:uniqueId val="{000001E6-93A3-4583-A5E2-F2A157AE9AE4}"/>
              </c:ext>
            </c:extLst>
          </c:dPt>
          <c:dPt>
            <c:idx val="14"/>
            <c:invertIfNegative val="0"/>
            <c:bubble3D val="0"/>
            <c:extLst>
              <c:ext xmlns:c16="http://schemas.microsoft.com/office/drawing/2014/chart" uri="{C3380CC4-5D6E-409C-BE32-E72D297353CC}">
                <c16:uniqueId val="{000001E8-93A3-4583-A5E2-F2A157AE9AE4}"/>
              </c:ext>
            </c:extLst>
          </c:dPt>
          <c:dPt>
            <c:idx val="15"/>
            <c:invertIfNegative val="0"/>
            <c:bubble3D val="0"/>
            <c:extLst>
              <c:ext xmlns:c16="http://schemas.microsoft.com/office/drawing/2014/chart" uri="{C3380CC4-5D6E-409C-BE32-E72D297353CC}">
                <c16:uniqueId val="{000001EA-93A3-4583-A5E2-F2A157AE9AE4}"/>
              </c:ext>
            </c:extLst>
          </c:dPt>
          <c:dPt>
            <c:idx val="16"/>
            <c:invertIfNegative val="0"/>
            <c:bubble3D val="0"/>
            <c:extLst>
              <c:ext xmlns:c16="http://schemas.microsoft.com/office/drawing/2014/chart" uri="{C3380CC4-5D6E-409C-BE32-E72D297353CC}">
                <c16:uniqueId val="{000001EC-93A3-4583-A5E2-F2A157AE9AE4}"/>
              </c:ext>
            </c:extLst>
          </c:dPt>
          <c:dPt>
            <c:idx val="17"/>
            <c:invertIfNegative val="0"/>
            <c:bubble3D val="0"/>
            <c:extLst>
              <c:ext xmlns:c16="http://schemas.microsoft.com/office/drawing/2014/chart" uri="{C3380CC4-5D6E-409C-BE32-E72D297353CC}">
                <c16:uniqueId val="{000001EE-93A3-4583-A5E2-F2A157AE9AE4}"/>
              </c:ext>
            </c:extLst>
          </c:dPt>
          <c:dPt>
            <c:idx val="18"/>
            <c:invertIfNegative val="0"/>
            <c:bubble3D val="0"/>
            <c:extLst>
              <c:ext xmlns:c16="http://schemas.microsoft.com/office/drawing/2014/chart" uri="{C3380CC4-5D6E-409C-BE32-E72D297353CC}">
                <c16:uniqueId val="{000001F0-93A3-4583-A5E2-F2A157AE9AE4}"/>
              </c:ext>
            </c:extLst>
          </c:dPt>
          <c:dPt>
            <c:idx val="19"/>
            <c:invertIfNegative val="0"/>
            <c:bubble3D val="0"/>
            <c:extLst>
              <c:ext xmlns:c16="http://schemas.microsoft.com/office/drawing/2014/chart" uri="{C3380CC4-5D6E-409C-BE32-E72D297353CC}">
                <c16:uniqueId val="{000001F2-93A3-4583-A5E2-F2A157AE9AE4}"/>
              </c:ext>
            </c:extLst>
          </c:dPt>
          <c:dPt>
            <c:idx val="20"/>
            <c:invertIfNegative val="0"/>
            <c:bubble3D val="0"/>
            <c:extLst>
              <c:ext xmlns:c16="http://schemas.microsoft.com/office/drawing/2014/chart" uri="{C3380CC4-5D6E-409C-BE32-E72D297353CC}">
                <c16:uniqueId val="{000001F4-93A3-4583-A5E2-F2A157AE9AE4}"/>
              </c:ext>
            </c:extLst>
          </c:dPt>
          <c:dPt>
            <c:idx val="21"/>
            <c:invertIfNegative val="0"/>
            <c:bubble3D val="0"/>
            <c:extLst>
              <c:ext xmlns:c16="http://schemas.microsoft.com/office/drawing/2014/chart" uri="{C3380CC4-5D6E-409C-BE32-E72D297353CC}">
                <c16:uniqueId val="{000001F6-93A3-4583-A5E2-F2A157AE9AE4}"/>
              </c:ext>
            </c:extLst>
          </c:dPt>
          <c:dPt>
            <c:idx val="22"/>
            <c:invertIfNegative val="0"/>
            <c:bubble3D val="0"/>
            <c:extLst>
              <c:ext xmlns:c16="http://schemas.microsoft.com/office/drawing/2014/chart" uri="{C3380CC4-5D6E-409C-BE32-E72D297353CC}">
                <c16:uniqueId val="{000001F8-93A3-4583-A5E2-F2A157AE9AE4}"/>
              </c:ext>
            </c:extLst>
          </c:dPt>
          <c:dPt>
            <c:idx val="23"/>
            <c:invertIfNegative val="0"/>
            <c:bubble3D val="0"/>
            <c:extLst>
              <c:ext xmlns:c16="http://schemas.microsoft.com/office/drawing/2014/chart" uri="{C3380CC4-5D6E-409C-BE32-E72D297353CC}">
                <c16:uniqueId val="{000001FA-93A3-4583-A5E2-F2A157AE9AE4}"/>
              </c:ext>
            </c:extLst>
          </c:dPt>
          <c:dPt>
            <c:idx val="24"/>
            <c:invertIfNegative val="0"/>
            <c:bubble3D val="0"/>
            <c:extLst>
              <c:ext xmlns:c16="http://schemas.microsoft.com/office/drawing/2014/chart" uri="{C3380CC4-5D6E-409C-BE32-E72D297353CC}">
                <c16:uniqueId val="{000001FC-93A3-4583-A5E2-F2A157AE9AE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Data'!$C$7:$X$7</c:f>
              <c:numCache>
                <c:formatCode>#,##0_ ;\-#,##0\ </c:formatCode>
                <c:ptCount val="22"/>
                <c:pt idx="0">
                  <c:v>6967</c:v>
                </c:pt>
                <c:pt idx="1">
                  <c:v>6943</c:v>
                </c:pt>
                <c:pt idx="2">
                  <c:v>6943</c:v>
                </c:pt>
                <c:pt idx="3">
                  <c:v>6669</c:v>
                </c:pt>
                <c:pt idx="4">
                  <c:v>7122</c:v>
                </c:pt>
                <c:pt idx="5">
                  <c:v>7122</c:v>
                </c:pt>
                <c:pt idx="6">
                  <c:v>7787</c:v>
                </c:pt>
                <c:pt idx="7">
                  <c:v>7787</c:v>
                </c:pt>
                <c:pt idx="8">
                  <c:v>7787</c:v>
                </c:pt>
                <c:pt idx="9">
                  <c:v>7787</c:v>
                </c:pt>
                <c:pt idx="10">
                  <c:v>7787</c:v>
                </c:pt>
                <c:pt idx="11">
                  <c:v>7787</c:v>
                </c:pt>
                <c:pt idx="12">
                  <c:v>7787</c:v>
                </c:pt>
                <c:pt idx="13">
                  <c:v>7787</c:v>
                </c:pt>
                <c:pt idx="14">
                  <c:v>7943</c:v>
                </c:pt>
                <c:pt idx="15">
                  <c:v>7943</c:v>
                </c:pt>
                <c:pt idx="16">
                  <c:v>8416</c:v>
                </c:pt>
                <c:pt idx="17">
                  <c:v>8416</c:v>
                </c:pt>
                <c:pt idx="18">
                  <c:v>8590</c:v>
                </c:pt>
                <c:pt idx="19">
                  <c:v>8912</c:v>
                </c:pt>
                <c:pt idx="20">
                  <c:v>9264</c:v>
                </c:pt>
                <c:pt idx="21">
                  <c:v>9354</c:v>
                </c:pt>
              </c:numCache>
            </c:numRef>
          </c:val>
          <c:extLst>
            <c:ext xmlns:c16="http://schemas.microsoft.com/office/drawing/2014/chart" uri="{C3380CC4-5D6E-409C-BE32-E72D297353CC}">
              <c16:uniqueId val="{000001FD-93A3-4583-A5E2-F2A157AE9AE4}"/>
            </c:ext>
          </c:extLst>
        </c:ser>
        <c:ser>
          <c:idx val="5"/>
          <c:order val="5"/>
          <c:tx>
            <c:strRef>
              <c:f>'NEMInstalledCapacity Data'!$B$8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1FF-93A3-4583-A5E2-F2A157AE9AE4}"/>
              </c:ext>
            </c:extLst>
          </c:dPt>
          <c:dPt>
            <c:idx val="1"/>
            <c:invertIfNegative val="0"/>
            <c:bubble3D val="0"/>
            <c:extLst>
              <c:ext xmlns:c16="http://schemas.microsoft.com/office/drawing/2014/chart" uri="{C3380CC4-5D6E-409C-BE32-E72D297353CC}">
                <c16:uniqueId val="{00000200-93A3-4583-A5E2-F2A157AE9AE4}"/>
              </c:ext>
            </c:extLst>
          </c:dPt>
          <c:dPt>
            <c:idx val="2"/>
            <c:invertIfNegative val="0"/>
            <c:bubble3D val="0"/>
            <c:extLst>
              <c:ext xmlns:c16="http://schemas.microsoft.com/office/drawing/2014/chart" uri="{C3380CC4-5D6E-409C-BE32-E72D297353CC}">
                <c16:uniqueId val="{00000201-93A3-4583-A5E2-F2A157AE9AE4}"/>
              </c:ext>
            </c:extLst>
          </c:dPt>
          <c:dPt>
            <c:idx val="3"/>
            <c:invertIfNegative val="0"/>
            <c:bubble3D val="0"/>
            <c:extLst>
              <c:ext xmlns:c16="http://schemas.microsoft.com/office/drawing/2014/chart" uri="{C3380CC4-5D6E-409C-BE32-E72D297353CC}">
                <c16:uniqueId val="{00000202-93A3-4583-A5E2-F2A157AE9AE4}"/>
              </c:ext>
            </c:extLst>
          </c:dPt>
          <c:dPt>
            <c:idx val="4"/>
            <c:invertIfNegative val="0"/>
            <c:bubble3D val="0"/>
            <c:extLst>
              <c:ext xmlns:c16="http://schemas.microsoft.com/office/drawing/2014/chart" uri="{C3380CC4-5D6E-409C-BE32-E72D297353CC}">
                <c16:uniqueId val="{00000203-93A3-4583-A5E2-F2A157AE9AE4}"/>
              </c:ext>
            </c:extLst>
          </c:dPt>
          <c:dPt>
            <c:idx val="5"/>
            <c:invertIfNegative val="0"/>
            <c:bubble3D val="0"/>
            <c:extLst>
              <c:ext xmlns:c16="http://schemas.microsoft.com/office/drawing/2014/chart" uri="{C3380CC4-5D6E-409C-BE32-E72D297353CC}">
                <c16:uniqueId val="{00000204-93A3-4583-A5E2-F2A157AE9AE4}"/>
              </c:ext>
            </c:extLst>
          </c:dPt>
          <c:dPt>
            <c:idx val="6"/>
            <c:invertIfNegative val="0"/>
            <c:bubble3D val="0"/>
            <c:extLst>
              <c:ext xmlns:c16="http://schemas.microsoft.com/office/drawing/2014/chart" uri="{C3380CC4-5D6E-409C-BE32-E72D297353CC}">
                <c16:uniqueId val="{00000205-93A3-4583-A5E2-F2A157AE9AE4}"/>
              </c:ext>
            </c:extLst>
          </c:dPt>
          <c:dPt>
            <c:idx val="7"/>
            <c:invertIfNegative val="0"/>
            <c:bubble3D val="0"/>
            <c:extLst>
              <c:ext xmlns:c16="http://schemas.microsoft.com/office/drawing/2014/chart" uri="{C3380CC4-5D6E-409C-BE32-E72D297353CC}">
                <c16:uniqueId val="{00000206-93A3-4583-A5E2-F2A157AE9AE4}"/>
              </c:ext>
            </c:extLst>
          </c:dPt>
          <c:dPt>
            <c:idx val="8"/>
            <c:invertIfNegative val="0"/>
            <c:bubble3D val="0"/>
            <c:extLst>
              <c:ext xmlns:c16="http://schemas.microsoft.com/office/drawing/2014/chart" uri="{C3380CC4-5D6E-409C-BE32-E72D297353CC}">
                <c16:uniqueId val="{00000207-93A3-4583-A5E2-F2A157AE9AE4}"/>
              </c:ext>
            </c:extLst>
          </c:dPt>
          <c:dPt>
            <c:idx val="9"/>
            <c:invertIfNegative val="0"/>
            <c:bubble3D val="0"/>
            <c:extLst>
              <c:ext xmlns:c16="http://schemas.microsoft.com/office/drawing/2014/chart" uri="{C3380CC4-5D6E-409C-BE32-E72D297353CC}">
                <c16:uniqueId val="{00000208-93A3-4583-A5E2-F2A157AE9AE4}"/>
              </c:ext>
            </c:extLst>
          </c:dPt>
          <c:dPt>
            <c:idx val="10"/>
            <c:invertIfNegative val="0"/>
            <c:bubble3D val="0"/>
            <c:extLst>
              <c:ext xmlns:c16="http://schemas.microsoft.com/office/drawing/2014/chart" uri="{C3380CC4-5D6E-409C-BE32-E72D297353CC}">
                <c16:uniqueId val="{00000209-93A3-4583-A5E2-F2A157AE9AE4}"/>
              </c:ext>
            </c:extLst>
          </c:dPt>
          <c:dPt>
            <c:idx val="11"/>
            <c:invertIfNegative val="0"/>
            <c:bubble3D val="0"/>
            <c:extLst>
              <c:ext xmlns:c16="http://schemas.microsoft.com/office/drawing/2014/chart" uri="{C3380CC4-5D6E-409C-BE32-E72D297353CC}">
                <c16:uniqueId val="{0000020A-93A3-4583-A5E2-F2A157AE9AE4}"/>
              </c:ext>
            </c:extLst>
          </c:dPt>
          <c:dPt>
            <c:idx val="12"/>
            <c:invertIfNegative val="0"/>
            <c:bubble3D val="0"/>
            <c:extLst>
              <c:ext xmlns:c16="http://schemas.microsoft.com/office/drawing/2014/chart" uri="{C3380CC4-5D6E-409C-BE32-E72D297353CC}">
                <c16:uniqueId val="{0000020B-93A3-4583-A5E2-F2A157AE9AE4}"/>
              </c:ext>
            </c:extLst>
          </c:dPt>
          <c:dPt>
            <c:idx val="13"/>
            <c:invertIfNegative val="0"/>
            <c:bubble3D val="0"/>
            <c:extLst>
              <c:ext xmlns:c16="http://schemas.microsoft.com/office/drawing/2014/chart" uri="{C3380CC4-5D6E-409C-BE32-E72D297353CC}">
                <c16:uniqueId val="{0000020C-93A3-4583-A5E2-F2A157AE9AE4}"/>
              </c:ext>
            </c:extLst>
          </c:dPt>
          <c:dPt>
            <c:idx val="14"/>
            <c:invertIfNegative val="0"/>
            <c:bubble3D val="0"/>
            <c:extLst>
              <c:ext xmlns:c16="http://schemas.microsoft.com/office/drawing/2014/chart" uri="{C3380CC4-5D6E-409C-BE32-E72D297353CC}">
                <c16:uniqueId val="{0000020D-93A3-4583-A5E2-F2A157AE9AE4}"/>
              </c:ext>
            </c:extLst>
          </c:dPt>
          <c:dPt>
            <c:idx val="15"/>
            <c:invertIfNegative val="0"/>
            <c:bubble3D val="0"/>
            <c:extLst>
              <c:ext xmlns:c16="http://schemas.microsoft.com/office/drawing/2014/chart" uri="{C3380CC4-5D6E-409C-BE32-E72D297353CC}">
                <c16:uniqueId val="{0000020E-93A3-4583-A5E2-F2A157AE9AE4}"/>
              </c:ext>
            </c:extLst>
          </c:dPt>
          <c:dPt>
            <c:idx val="16"/>
            <c:invertIfNegative val="0"/>
            <c:bubble3D val="0"/>
            <c:extLst>
              <c:ext xmlns:c16="http://schemas.microsoft.com/office/drawing/2014/chart" uri="{C3380CC4-5D6E-409C-BE32-E72D297353CC}">
                <c16:uniqueId val="{0000020F-93A3-4583-A5E2-F2A157AE9AE4}"/>
              </c:ext>
            </c:extLst>
          </c:dPt>
          <c:dPt>
            <c:idx val="17"/>
            <c:invertIfNegative val="0"/>
            <c:bubble3D val="0"/>
            <c:extLst>
              <c:ext xmlns:c16="http://schemas.microsoft.com/office/drawing/2014/chart" uri="{C3380CC4-5D6E-409C-BE32-E72D297353CC}">
                <c16:uniqueId val="{00000210-93A3-4583-A5E2-F2A157AE9AE4}"/>
              </c:ext>
            </c:extLst>
          </c:dPt>
          <c:dPt>
            <c:idx val="18"/>
            <c:invertIfNegative val="0"/>
            <c:bubble3D val="0"/>
            <c:extLst>
              <c:ext xmlns:c16="http://schemas.microsoft.com/office/drawing/2014/chart" uri="{C3380CC4-5D6E-409C-BE32-E72D297353CC}">
                <c16:uniqueId val="{00000211-93A3-4583-A5E2-F2A157AE9AE4}"/>
              </c:ext>
            </c:extLst>
          </c:dPt>
          <c:dPt>
            <c:idx val="19"/>
            <c:invertIfNegative val="0"/>
            <c:bubble3D val="0"/>
            <c:extLst>
              <c:ext xmlns:c16="http://schemas.microsoft.com/office/drawing/2014/chart" uri="{C3380CC4-5D6E-409C-BE32-E72D297353CC}">
                <c16:uniqueId val="{00000212-93A3-4583-A5E2-F2A157AE9AE4}"/>
              </c:ext>
            </c:extLst>
          </c:dPt>
          <c:dPt>
            <c:idx val="20"/>
            <c:invertIfNegative val="0"/>
            <c:bubble3D val="0"/>
            <c:extLst>
              <c:ext xmlns:c16="http://schemas.microsoft.com/office/drawing/2014/chart" uri="{C3380CC4-5D6E-409C-BE32-E72D297353CC}">
                <c16:uniqueId val="{00000213-93A3-4583-A5E2-F2A157AE9AE4}"/>
              </c:ext>
            </c:extLst>
          </c:dPt>
          <c:dPt>
            <c:idx val="21"/>
            <c:invertIfNegative val="0"/>
            <c:bubble3D val="0"/>
            <c:extLst>
              <c:ext xmlns:c16="http://schemas.microsoft.com/office/drawing/2014/chart" uri="{C3380CC4-5D6E-409C-BE32-E72D297353CC}">
                <c16:uniqueId val="{00000214-93A3-4583-A5E2-F2A157AE9AE4}"/>
              </c:ext>
            </c:extLst>
          </c:dPt>
          <c:dPt>
            <c:idx val="22"/>
            <c:invertIfNegative val="0"/>
            <c:bubble3D val="0"/>
            <c:extLst>
              <c:ext xmlns:c16="http://schemas.microsoft.com/office/drawing/2014/chart" uri="{C3380CC4-5D6E-409C-BE32-E72D297353CC}">
                <c16:uniqueId val="{00000215-93A3-4583-A5E2-F2A157AE9AE4}"/>
              </c:ext>
            </c:extLst>
          </c:dPt>
          <c:dPt>
            <c:idx val="23"/>
            <c:invertIfNegative val="0"/>
            <c:bubble3D val="0"/>
            <c:extLst>
              <c:ext xmlns:c16="http://schemas.microsoft.com/office/drawing/2014/chart" uri="{C3380CC4-5D6E-409C-BE32-E72D297353CC}">
                <c16:uniqueId val="{00000216-93A3-4583-A5E2-F2A157AE9AE4}"/>
              </c:ext>
            </c:extLst>
          </c:dPt>
          <c:dPt>
            <c:idx val="24"/>
            <c:invertIfNegative val="0"/>
            <c:bubble3D val="0"/>
            <c:extLst>
              <c:ext xmlns:c16="http://schemas.microsoft.com/office/drawing/2014/chart" uri="{C3380CC4-5D6E-409C-BE32-E72D297353CC}">
                <c16:uniqueId val="{00000217-93A3-4583-A5E2-F2A157AE9AE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Data'!$C$8:$X$8</c:f>
              <c:numCache>
                <c:formatCode>#,##0_ ;\-#,##0\ </c:formatCode>
                <c:ptCount val="22"/>
                <c:pt idx="0">
                  <c:v>5824.2999999999993</c:v>
                </c:pt>
                <c:pt idx="1">
                  <c:v>7718.3</c:v>
                </c:pt>
                <c:pt idx="2">
                  <c:v>8118.3</c:v>
                </c:pt>
                <c:pt idx="3">
                  <c:v>8518.2999999999993</c:v>
                </c:pt>
                <c:pt idx="4">
                  <c:v>8918.2999999999993</c:v>
                </c:pt>
                <c:pt idx="5">
                  <c:v>9811.2999999999993</c:v>
                </c:pt>
                <c:pt idx="6">
                  <c:v>10211.299999999999</c:v>
                </c:pt>
                <c:pt idx="7">
                  <c:v>10211.299999999999</c:v>
                </c:pt>
                <c:pt idx="8">
                  <c:v>10301.787195910001</c:v>
                </c:pt>
                <c:pt idx="9">
                  <c:v>10464.448918329999</c:v>
                </c:pt>
                <c:pt idx="10">
                  <c:v>10951.675510960002</c:v>
                </c:pt>
                <c:pt idx="11">
                  <c:v>11437.43588669</c:v>
                </c:pt>
                <c:pt idx="12">
                  <c:v>11437.43588669</c:v>
                </c:pt>
                <c:pt idx="13">
                  <c:v>11437.43588669</c:v>
                </c:pt>
                <c:pt idx="14">
                  <c:v>11592.52544053</c:v>
                </c:pt>
                <c:pt idx="15">
                  <c:v>11603.68447086</c:v>
                </c:pt>
                <c:pt idx="16">
                  <c:v>11603.68447086</c:v>
                </c:pt>
                <c:pt idx="17">
                  <c:v>11603.68447086</c:v>
                </c:pt>
                <c:pt idx="18">
                  <c:v>11666.52059108</c:v>
                </c:pt>
                <c:pt idx="19">
                  <c:v>11666.52059108</c:v>
                </c:pt>
                <c:pt idx="20">
                  <c:v>11749.06708599</c:v>
                </c:pt>
                <c:pt idx="21">
                  <c:v>11749.297966600001</c:v>
                </c:pt>
              </c:numCache>
            </c:numRef>
          </c:val>
          <c:extLst>
            <c:ext xmlns:c16="http://schemas.microsoft.com/office/drawing/2014/chart" uri="{C3380CC4-5D6E-409C-BE32-E72D297353CC}">
              <c16:uniqueId val="{00000218-93A3-4583-A5E2-F2A157AE9AE4}"/>
            </c:ext>
          </c:extLst>
        </c:ser>
        <c:ser>
          <c:idx val="9"/>
          <c:order val="6"/>
          <c:tx>
            <c:strRef>
              <c:f>'NEMInstalledCapacity Data'!$B$11</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21B-93A3-4583-A5E2-F2A157AE9AE4}"/>
              </c:ext>
            </c:extLst>
          </c:dPt>
          <c:dPt>
            <c:idx val="1"/>
            <c:invertIfNegative val="0"/>
            <c:bubble3D val="0"/>
            <c:extLst>
              <c:ext xmlns:c16="http://schemas.microsoft.com/office/drawing/2014/chart" uri="{C3380CC4-5D6E-409C-BE32-E72D297353CC}">
                <c16:uniqueId val="{0000021D-93A3-4583-A5E2-F2A157AE9AE4}"/>
              </c:ext>
            </c:extLst>
          </c:dPt>
          <c:dPt>
            <c:idx val="2"/>
            <c:invertIfNegative val="0"/>
            <c:bubble3D val="0"/>
            <c:extLst>
              <c:ext xmlns:c16="http://schemas.microsoft.com/office/drawing/2014/chart" uri="{C3380CC4-5D6E-409C-BE32-E72D297353CC}">
                <c16:uniqueId val="{0000021F-93A3-4583-A5E2-F2A157AE9AE4}"/>
              </c:ext>
            </c:extLst>
          </c:dPt>
          <c:dPt>
            <c:idx val="3"/>
            <c:invertIfNegative val="0"/>
            <c:bubble3D val="0"/>
            <c:extLst>
              <c:ext xmlns:c16="http://schemas.microsoft.com/office/drawing/2014/chart" uri="{C3380CC4-5D6E-409C-BE32-E72D297353CC}">
                <c16:uniqueId val="{00000221-93A3-4583-A5E2-F2A157AE9AE4}"/>
              </c:ext>
            </c:extLst>
          </c:dPt>
          <c:dPt>
            <c:idx val="4"/>
            <c:invertIfNegative val="0"/>
            <c:bubble3D val="0"/>
            <c:extLst>
              <c:ext xmlns:c16="http://schemas.microsoft.com/office/drawing/2014/chart" uri="{C3380CC4-5D6E-409C-BE32-E72D297353CC}">
                <c16:uniqueId val="{00000223-93A3-4583-A5E2-F2A157AE9AE4}"/>
              </c:ext>
            </c:extLst>
          </c:dPt>
          <c:dPt>
            <c:idx val="5"/>
            <c:invertIfNegative val="0"/>
            <c:bubble3D val="0"/>
            <c:extLst>
              <c:ext xmlns:c16="http://schemas.microsoft.com/office/drawing/2014/chart" uri="{C3380CC4-5D6E-409C-BE32-E72D297353CC}">
                <c16:uniqueId val="{00000225-93A3-4583-A5E2-F2A157AE9AE4}"/>
              </c:ext>
            </c:extLst>
          </c:dPt>
          <c:dPt>
            <c:idx val="6"/>
            <c:invertIfNegative val="0"/>
            <c:bubble3D val="0"/>
            <c:extLst>
              <c:ext xmlns:c16="http://schemas.microsoft.com/office/drawing/2014/chart" uri="{C3380CC4-5D6E-409C-BE32-E72D297353CC}">
                <c16:uniqueId val="{00000227-93A3-4583-A5E2-F2A157AE9AE4}"/>
              </c:ext>
            </c:extLst>
          </c:dPt>
          <c:dPt>
            <c:idx val="7"/>
            <c:invertIfNegative val="0"/>
            <c:bubble3D val="0"/>
            <c:extLst>
              <c:ext xmlns:c16="http://schemas.microsoft.com/office/drawing/2014/chart" uri="{C3380CC4-5D6E-409C-BE32-E72D297353CC}">
                <c16:uniqueId val="{00000229-93A3-4583-A5E2-F2A157AE9AE4}"/>
              </c:ext>
            </c:extLst>
          </c:dPt>
          <c:dPt>
            <c:idx val="8"/>
            <c:invertIfNegative val="0"/>
            <c:bubble3D val="0"/>
            <c:extLst>
              <c:ext xmlns:c16="http://schemas.microsoft.com/office/drawing/2014/chart" uri="{C3380CC4-5D6E-409C-BE32-E72D297353CC}">
                <c16:uniqueId val="{0000022B-93A3-4583-A5E2-F2A157AE9AE4}"/>
              </c:ext>
            </c:extLst>
          </c:dPt>
          <c:dPt>
            <c:idx val="9"/>
            <c:invertIfNegative val="0"/>
            <c:bubble3D val="0"/>
            <c:extLst>
              <c:ext xmlns:c16="http://schemas.microsoft.com/office/drawing/2014/chart" uri="{C3380CC4-5D6E-409C-BE32-E72D297353CC}">
                <c16:uniqueId val="{0000022D-93A3-4583-A5E2-F2A157AE9AE4}"/>
              </c:ext>
            </c:extLst>
          </c:dPt>
          <c:dPt>
            <c:idx val="10"/>
            <c:invertIfNegative val="0"/>
            <c:bubble3D val="0"/>
            <c:extLst>
              <c:ext xmlns:c16="http://schemas.microsoft.com/office/drawing/2014/chart" uri="{C3380CC4-5D6E-409C-BE32-E72D297353CC}">
                <c16:uniqueId val="{0000022F-93A3-4583-A5E2-F2A157AE9AE4}"/>
              </c:ext>
            </c:extLst>
          </c:dPt>
          <c:dPt>
            <c:idx val="11"/>
            <c:invertIfNegative val="0"/>
            <c:bubble3D val="0"/>
            <c:extLst>
              <c:ext xmlns:c16="http://schemas.microsoft.com/office/drawing/2014/chart" uri="{C3380CC4-5D6E-409C-BE32-E72D297353CC}">
                <c16:uniqueId val="{00000231-93A3-4583-A5E2-F2A157AE9AE4}"/>
              </c:ext>
            </c:extLst>
          </c:dPt>
          <c:dPt>
            <c:idx val="12"/>
            <c:invertIfNegative val="0"/>
            <c:bubble3D val="0"/>
            <c:extLst>
              <c:ext xmlns:c16="http://schemas.microsoft.com/office/drawing/2014/chart" uri="{C3380CC4-5D6E-409C-BE32-E72D297353CC}">
                <c16:uniqueId val="{00000233-93A3-4583-A5E2-F2A157AE9AE4}"/>
              </c:ext>
            </c:extLst>
          </c:dPt>
          <c:dPt>
            <c:idx val="13"/>
            <c:invertIfNegative val="0"/>
            <c:bubble3D val="0"/>
            <c:extLst>
              <c:ext xmlns:c16="http://schemas.microsoft.com/office/drawing/2014/chart" uri="{C3380CC4-5D6E-409C-BE32-E72D297353CC}">
                <c16:uniqueId val="{00000235-93A3-4583-A5E2-F2A157AE9AE4}"/>
              </c:ext>
            </c:extLst>
          </c:dPt>
          <c:dPt>
            <c:idx val="14"/>
            <c:invertIfNegative val="0"/>
            <c:bubble3D val="0"/>
            <c:extLst>
              <c:ext xmlns:c16="http://schemas.microsoft.com/office/drawing/2014/chart" uri="{C3380CC4-5D6E-409C-BE32-E72D297353CC}">
                <c16:uniqueId val="{00000237-93A3-4583-A5E2-F2A157AE9AE4}"/>
              </c:ext>
            </c:extLst>
          </c:dPt>
          <c:dPt>
            <c:idx val="15"/>
            <c:invertIfNegative val="0"/>
            <c:bubble3D val="0"/>
            <c:extLst>
              <c:ext xmlns:c16="http://schemas.microsoft.com/office/drawing/2014/chart" uri="{C3380CC4-5D6E-409C-BE32-E72D297353CC}">
                <c16:uniqueId val="{00000239-93A3-4583-A5E2-F2A157AE9AE4}"/>
              </c:ext>
            </c:extLst>
          </c:dPt>
          <c:dPt>
            <c:idx val="16"/>
            <c:invertIfNegative val="0"/>
            <c:bubble3D val="0"/>
            <c:extLst>
              <c:ext xmlns:c16="http://schemas.microsoft.com/office/drawing/2014/chart" uri="{C3380CC4-5D6E-409C-BE32-E72D297353CC}">
                <c16:uniqueId val="{0000023B-93A3-4583-A5E2-F2A157AE9AE4}"/>
              </c:ext>
            </c:extLst>
          </c:dPt>
          <c:dPt>
            <c:idx val="17"/>
            <c:invertIfNegative val="0"/>
            <c:bubble3D val="0"/>
            <c:extLst>
              <c:ext xmlns:c16="http://schemas.microsoft.com/office/drawing/2014/chart" uri="{C3380CC4-5D6E-409C-BE32-E72D297353CC}">
                <c16:uniqueId val="{0000023D-93A3-4583-A5E2-F2A157AE9AE4}"/>
              </c:ext>
            </c:extLst>
          </c:dPt>
          <c:dPt>
            <c:idx val="18"/>
            <c:invertIfNegative val="0"/>
            <c:bubble3D val="0"/>
            <c:extLst>
              <c:ext xmlns:c16="http://schemas.microsoft.com/office/drawing/2014/chart" uri="{C3380CC4-5D6E-409C-BE32-E72D297353CC}">
                <c16:uniqueId val="{0000023F-93A3-4583-A5E2-F2A157AE9AE4}"/>
              </c:ext>
            </c:extLst>
          </c:dPt>
          <c:dPt>
            <c:idx val="19"/>
            <c:invertIfNegative val="0"/>
            <c:bubble3D val="0"/>
            <c:extLst>
              <c:ext xmlns:c16="http://schemas.microsoft.com/office/drawing/2014/chart" uri="{C3380CC4-5D6E-409C-BE32-E72D297353CC}">
                <c16:uniqueId val="{00000241-93A3-4583-A5E2-F2A157AE9AE4}"/>
              </c:ext>
            </c:extLst>
          </c:dPt>
          <c:dPt>
            <c:idx val="20"/>
            <c:invertIfNegative val="0"/>
            <c:bubble3D val="0"/>
            <c:extLst>
              <c:ext xmlns:c16="http://schemas.microsoft.com/office/drawing/2014/chart" uri="{C3380CC4-5D6E-409C-BE32-E72D297353CC}">
                <c16:uniqueId val="{00000243-93A3-4583-A5E2-F2A157AE9AE4}"/>
              </c:ext>
            </c:extLst>
          </c:dPt>
          <c:dPt>
            <c:idx val="21"/>
            <c:invertIfNegative val="0"/>
            <c:bubble3D val="0"/>
            <c:extLst>
              <c:ext xmlns:c16="http://schemas.microsoft.com/office/drawing/2014/chart" uri="{C3380CC4-5D6E-409C-BE32-E72D297353CC}">
                <c16:uniqueId val="{00000245-93A3-4583-A5E2-F2A157AE9AE4}"/>
              </c:ext>
            </c:extLst>
          </c:dPt>
          <c:dPt>
            <c:idx val="22"/>
            <c:invertIfNegative val="0"/>
            <c:bubble3D val="0"/>
            <c:extLst>
              <c:ext xmlns:c16="http://schemas.microsoft.com/office/drawing/2014/chart" uri="{C3380CC4-5D6E-409C-BE32-E72D297353CC}">
                <c16:uniqueId val="{00000247-93A3-4583-A5E2-F2A157AE9AE4}"/>
              </c:ext>
            </c:extLst>
          </c:dPt>
          <c:dPt>
            <c:idx val="23"/>
            <c:invertIfNegative val="0"/>
            <c:bubble3D val="0"/>
            <c:extLst>
              <c:ext xmlns:c16="http://schemas.microsoft.com/office/drawing/2014/chart" uri="{C3380CC4-5D6E-409C-BE32-E72D297353CC}">
                <c16:uniqueId val="{00000249-93A3-4583-A5E2-F2A157AE9AE4}"/>
              </c:ext>
            </c:extLst>
          </c:dPt>
          <c:dPt>
            <c:idx val="24"/>
            <c:invertIfNegative val="0"/>
            <c:bubble3D val="0"/>
            <c:extLst>
              <c:ext xmlns:c16="http://schemas.microsoft.com/office/drawing/2014/chart" uri="{C3380CC4-5D6E-409C-BE32-E72D297353CC}">
                <c16:uniqueId val="{0000024B-93A3-4583-A5E2-F2A157AE9AE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Data'!$C$11:$X$11</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24C-93A3-4583-A5E2-F2A157AE9AE4}"/>
            </c:ext>
          </c:extLst>
        </c:ser>
        <c:ser>
          <c:idx val="6"/>
          <c:order val="7"/>
          <c:tx>
            <c:strRef>
              <c:f>'NEMInstalledCapacity Data'!$B$9</c:f>
              <c:strCache>
                <c:ptCount val="1"/>
                <c:pt idx="0">
                  <c:v>Utility Solar</c:v>
                </c:pt>
              </c:strCache>
            </c:strRef>
          </c:tx>
          <c:spPr>
            <a:solidFill>
              <a:srgbClr val="FFC222"/>
            </a:solidFill>
            <a:ln>
              <a:noFill/>
            </a:ln>
            <a:effectLst/>
          </c:spPr>
          <c:invertIfNegative val="0"/>
          <c:dPt>
            <c:idx val="0"/>
            <c:invertIfNegative val="0"/>
            <c:bubble3D val="0"/>
            <c:extLst>
              <c:ext xmlns:c16="http://schemas.microsoft.com/office/drawing/2014/chart" uri="{C3380CC4-5D6E-409C-BE32-E72D297353CC}">
                <c16:uniqueId val="{0000024F-93A3-4583-A5E2-F2A157AE9AE4}"/>
              </c:ext>
            </c:extLst>
          </c:dPt>
          <c:dPt>
            <c:idx val="1"/>
            <c:invertIfNegative val="0"/>
            <c:bubble3D val="0"/>
            <c:extLst>
              <c:ext xmlns:c16="http://schemas.microsoft.com/office/drawing/2014/chart" uri="{C3380CC4-5D6E-409C-BE32-E72D297353CC}">
                <c16:uniqueId val="{00000251-93A3-4583-A5E2-F2A157AE9AE4}"/>
              </c:ext>
            </c:extLst>
          </c:dPt>
          <c:dPt>
            <c:idx val="2"/>
            <c:invertIfNegative val="0"/>
            <c:bubble3D val="0"/>
            <c:extLst>
              <c:ext xmlns:c16="http://schemas.microsoft.com/office/drawing/2014/chart" uri="{C3380CC4-5D6E-409C-BE32-E72D297353CC}">
                <c16:uniqueId val="{00000253-93A3-4583-A5E2-F2A157AE9AE4}"/>
              </c:ext>
            </c:extLst>
          </c:dPt>
          <c:dPt>
            <c:idx val="3"/>
            <c:invertIfNegative val="0"/>
            <c:bubble3D val="0"/>
            <c:extLst>
              <c:ext xmlns:c16="http://schemas.microsoft.com/office/drawing/2014/chart" uri="{C3380CC4-5D6E-409C-BE32-E72D297353CC}">
                <c16:uniqueId val="{00000255-93A3-4583-A5E2-F2A157AE9AE4}"/>
              </c:ext>
            </c:extLst>
          </c:dPt>
          <c:dPt>
            <c:idx val="4"/>
            <c:invertIfNegative val="0"/>
            <c:bubble3D val="0"/>
            <c:extLst>
              <c:ext xmlns:c16="http://schemas.microsoft.com/office/drawing/2014/chart" uri="{C3380CC4-5D6E-409C-BE32-E72D297353CC}">
                <c16:uniqueId val="{00000257-93A3-4583-A5E2-F2A157AE9AE4}"/>
              </c:ext>
            </c:extLst>
          </c:dPt>
          <c:dPt>
            <c:idx val="5"/>
            <c:invertIfNegative val="0"/>
            <c:bubble3D val="0"/>
            <c:extLst>
              <c:ext xmlns:c16="http://schemas.microsoft.com/office/drawing/2014/chart" uri="{C3380CC4-5D6E-409C-BE32-E72D297353CC}">
                <c16:uniqueId val="{00000259-93A3-4583-A5E2-F2A157AE9AE4}"/>
              </c:ext>
            </c:extLst>
          </c:dPt>
          <c:dPt>
            <c:idx val="6"/>
            <c:invertIfNegative val="0"/>
            <c:bubble3D val="0"/>
            <c:extLst>
              <c:ext xmlns:c16="http://schemas.microsoft.com/office/drawing/2014/chart" uri="{C3380CC4-5D6E-409C-BE32-E72D297353CC}">
                <c16:uniqueId val="{0000025B-93A3-4583-A5E2-F2A157AE9AE4}"/>
              </c:ext>
            </c:extLst>
          </c:dPt>
          <c:dPt>
            <c:idx val="7"/>
            <c:invertIfNegative val="0"/>
            <c:bubble3D val="0"/>
            <c:extLst>
              <c:ext xmlns:c16="http://schemas.microsoft.com/office/drawing/2014/chart" uri="{C3380CC4-5D6E-409C-BE32-E72D297353CC}">
                <c16:uniqueId val="{0000025D-93A3-4583-A5E2-F2A157AE9AE4}"/>
              </c:ext>
            </c:extLst>
          </c:dPt>
          <c:dPt>
            <c:idx val="8"/>
            <c:invertIfNegative val="0"/>
            <c:bubble3D val="0"/>
            <c:extLst>
              <c:ext xmlns:c16="http://schemas.microsoft.com/office/drawing/2014/chart" uri="{C3380CC4-5D6E-409C-BE32-E72D297353CC}">
                <c16:uniqueId val="{0000025F-93A3-4583-A5E2-F2A157AE9AE4}"/>
              </c:ext>
            </c:extLst>
          </c:dPt>
          <c:dPt>
            <c:idx val="9"/>
            <c:invertIfNegative val="0"/>
            <c:bubble3D val="0"/>
            <c:extLst>
              <c:ext xmlns:c16="http://schemas.microsoft.com/office/drawing/2014/chart" uri="{C3380CC4-5D6E-409C-BE32-E72D297353CC}">
                <c16:uniqueId val="{00000261-93A3-4583-A5E2-F2A157AE9AE4}"/>
              </c:ext>
            </c:extLst>
          </c:dPt>
          <c:dPt>
            <c:idx val="10"/>
            <c:invertIfNegative val="0"/>
            <c:bubble3D val="0"/>
            <c:extLst>
              <c:ext xmlns:c16="http://schemas.microsoft.com/office/drawing/2014/chart" uri="{C3380CC4-5D6E-409C-BE32-E72D297353CC}">
                <c16:uniqueId val="{00000263-93A3-4583-A5E2-F2A157AE9AE4}"/>
              </c:ext>
            </c:extLst>
          </c:dPt>
          <c:dPt>
            <c:idx val="11"/>
            <c:invertIfNegative val="0"/>
            <c:bubble3D val="0"/>
            <c:extLst>
              <c:ext xmlns:c16="http://schemas.microsoft.com/office/drawing/2014/chart" uri="{C3380CC4-5D6E-409C-BE32-E72D297353CC}">
                <c16:uniqueId val="{00000265-93A3-4583-A5E2-F2A157AE9AE4}"/>
              </c:ext>
            </c:extLst>
          </c:dPt>
          <c:dPt>
            <c:idx val="12"/>
            <c:invertIfNegative val="0"/>
            <c:bubble3D val="0"/>
            <c:extLst>
              <c:ext xmlns:c16="http://schemas.microsoft.com/office/drawing/2014/chart" uri="{C3380CC4-5D6E-409C-BE32-E72D297353CC}">
                <c16:uniqueId val="{00000267-93A3-4583-A5E2-F2A157AE9AE4}"/>
              </c:ext>
            </c:extLst>
          </c:dPt>
          <c:dPt>
            <c:idx val="13"/>
            <c:invertIfNegative val="0"/>
            <c:bubble3D val="0"/>
            <c:extLst>
              <c:ext xmlns:c16="http://schemas.microsoft.com/office/drawing/2014/chart" uri="{C3380CC4-5D6E-409C-BE32-E72D297353CC}">
                <c16:uniqueId val="{00000269-93A3-4583-A5E2-F2A157AE9AE4}"/>
              </c:ext>
            </c:extLst>
          </c:dPt>
          <c:dPt>
            <c:idx val="14"/>
            <c:invertIfNegative val="0"/>
            <c:bubble3D val="0"/>
            <c:extLst>
              <c:ext xmlns:c16="http://schemas.microsoft.com/office/drawing/2014/chart" uri="{C3380CC4-5D6E-409C-BE32-E72D297353CC}">
                <c16:uniqueId val="{0000026B-93A3-4583-A5E2-F2A157AE9AE4}"/>
              </c:ext>
            </c:extLst>
          </c:dPt>
          <c:dPt>
            <c:idx val="15"/>
            <c:invertIfNegative val="0"/>
            <c:bubble3D val="0"/>
            <c:extLst>
              <c:ext xmlns:c16="http://schemas.microsoft.com/office/drawing/2014/chart" uri="{C3380CC4-5D6E-409C-BE32-E72D297353CC}">
                <c16:uniqueId val="{0000026D-93A3-4583-A5E2-F2A157AE9AE4}"/>
              </c:ext>
            </c:extLst>
          </c:dPt>
          <c:dPt>
            <c:idx val="16"/>
            <c:invertIfNegative val="0"/>
            <c:bubble3D val="0"/>
            <c:extLst>
              <c:ext xmlns:c16="http://schemas.microsoft.com/office/drawing/2014/chart" uri="{C3380CC4-5D6E-409C-BE32-E72D297353CC}">
                <c16:uniqueId val="{0000026F-93A3-4583-A5E2-F2A157AE9AE4}"/>
              </c:ext>
            </c:extLst>
          </c:dPt>
          <c:dPt>
            <c:idx val="17"/>
            <c:invertIfNegative val="0"/>
            <c:bubble3D val="0"/>
            <c:extLst>
              <c:ext xmlns:c16="http://schemas.microsoft.com/office/drawing/2014/chart" uri="{C3380CC4-5D6E-409C-BE32-E72D297353CC}">
                <c16:uniqueId val="{00000271-93A3-4583-A5E2-F2A157AE9AE4}"/>
              </c:ext>
            </c:extLst>
          </c:dPt>
          <c:dPt>
            <c:idx val="18"/>
            <c:invertIfNegative val="0"/>
            <c:bubble3D val="0"/>
            <c:extLst>
              <c:ext xmlns:c16="http://schemas.microsoft.com/office/drawing/2014/chart" uri="{C3380CC4-5D6E-409C-BE32-E72D297353CC}">
                <c16:uniqueId val="{00000273-93A3-4583-A5E2-F2A157AE9AE4}"/>
              </c:ext>
            </c:extLst>
          </c:dPt>
          <c:dPt>
            <c:idx val="19"/>
            <c:invertIfNegative val="0"/>
            <c:bubble3D val="0"/>
            <c:extLst>
              <c:ext xmlns:c16="http://schemas.microsoft.com/office/drawing/2014/chart" uri="{C3380CC4-5D6E-409C-BE32-E72D297353CC}">
                <c16:uniqueId val="{00000275-93A3-4583-A5E2-F2A157AE9AE4}"/>
              </c:ext>
            </c:extLst>
          </c:dPt>
          <c:dPt>
            <c:idx val="20"/>
            <c:invertIfNegative val="0"/>
            <c:bubble3D val="0"/>
            <c:extLst>
              <c:ext xmlns:c16="http://schemas.microsoft.com/office/drawing/2014/chart" uri="{C3380CC4-5D6E-409C-BE32-E72D297353CC}">
                <c16:uniqueId val="{00000277-93A3-4583-A5E2-F2A157AE9AE4}"/>
              </c:ext>
            </c:extLst>
          </c:dPt>
          <c:dPt>
            <c:idx val="21"/>
            <c:invertIfNegative val="0"/>
            <c:bubble3D val="0"/>
            <c:extLst>
              <c:ext xmlns:c16="http://schemas.microsoft.com/office/drawing/2014/chart" uri="{C3380CC4-5D6E-409C-BE32-E72D297353CC}">
                <c16:uniqueId val="{00000279-93A3-4583-A5E2-F2A157AE9AE4}"/>
              </c:ext>
            </c:extLst>
          </c:dPt>
          <c:dPt>
            <c:idx val="22"/>
            <c:invertIfNegative val="0"/>
            <c:bubble3D val="0"/>
            <c:extLst>
              <c:ext xmlns:c16="http://schemas.microsoft.com/office/drawing/2014/chart" uri="{C3380CC4-5D6E-409C-BE32-E72D297353CC}">
                <c16:uniqueId val="{0000027B-93A3-4583-A5E2-F2A157AE9AE4}"/>
              </c:ext>
            </c:extLst>
          </c:dPt>
          <c:dPt>
            <c:idx val="23"/>
            <c:invertIfNegative val="0"/>
            <c:bubble3D val="0"/>
            <c:extLst>
              <c:ext xmlns:c16="http://schemas.microsoft.com/office/drawing/2014/chart" uri="{C3380CC4-5D6E-409C-BE32-E72D297353CC}">
                <c16:uniqueId val="{0000027D-93A3-4583-A5E2-F2A157AE9AE4}"/>
              </c:ext>
            </c:extLst>
          </c:dPt>
          <c:dPt>
            <c:idx val="24"/>
            <c:invertIfNegative val="0"/>
            <c:bubble3D val="0"/>
            <c:extLst>
              <c:ext xmlns:c16="http://schemas.microsoft.com/office/drawing/2014/chart" uri="{C3380CC4-5D6E-409C-BE32-E72D297353CC}">
                <c16:uniqueId val="{0000027F-93A3-4583-A5E2-F2A157AE9AE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Data'!$C$9:$X$9</c:f>
              <c:numCache>
                <c:formatCode>#,##0_ ;\-#,##0\ </c:formatCode>
                <c:ptCount val="22"/>
                <c:pt idx="0">
                  <c:v>2211.9</c:v>
                </c:pt>
                <c:pt idx="1">
                  <c:v>2843.0275108999999</c:v>
                </c:pt>
                <c:pt idx="2">
                  <c:v>2843.0275108999999</c:v>
                </c:pt>
                <c:pt idx="3">
                  <c:v>2843.0275108999999</c:v>
                </c:pt>
                <c:pt idx="4">
                  <c:v>3271.4812381900001</c:v>
                </c:pt>
                <c:pt idx="5">
                  <c:v>3855.4812381900001</c:v>
                </c:pt>
                <c:pt idx="6">
                  <c:v>4483.0890478099991</c:v>
                </c:pt>
                <c:pt idx="7">
                  <c:v>5575.7753757100008</c:v>
                </c:pt>
                <c:pt idx="8">
                  <c:v>6312.6695742399997</c:v>
                </c:pt>
                <c:pt idx="9">
                  <c:v>6980.4717211100005</c:v>
                </c:pt>
                <c:pt idx="10">
                  <c:v>7325.5088441700009</c:v>
                </c:pt>
                <c:pt idx="11">
                  <c:v>7535.6449301900002</c:v>
                </c:pt>
                <c:pt idx="12">
                  <c:v>7535.6449301900002</c:v>
                </c:pt>
                <c:pt idx="13">
                  <c:v>7535.6449301900002</c:v>
                </c:pt>
                <c:pt idx="14">
                  <c:v>7535.6449301900002</c:v>
                </c:pt>
                <c:pt idx="15">
                  <c:v>7535.6449301900002</c:v>
                </c:pt>
                <c:pt idx="16">
                  <c:v>7535.6449301900002</c:v>
                </c:pt>
                <c:pt idx="17">
                  <c:v>7535.6449301900002</c:v>
                </c:pt>
                <c:pt idx="18">
                  <c:v>8020.2437537899996</c:v>
                </c:pt>
                <c:pt idx="19">
                  <c:v>8020.2437537899996</c:v>
                </c:pt>
                <c:pt idx="20">
                  <c:v>8052.4856415699996</c:v>
                </c:pt>
                <c:pt idx="21">
                  <c:v>8052.4856415699996</c:v>
                </c:pt>
              </c:numCache>
            </c:numRef>
          </c:val>
          <c:extLst>
            <c:ext xmlns:c16="http://schemas.microsoft.com/office/drawing/2014/chart" uri="{C3380CC4-5D6E-409C-BE32-E72D297353CC}">
              <c16:uniqueId val="{00000280-93A3-4583-A5E2-F2A157AE9AE4}"/>
            </c:ext>
          </c:extLst>
        </c:ser>
        <c:ser>
          <c:idx val="7"/>
          <c:order val="8"/>
          <c:tx>
            <c:strRef>
              <c:f>'NEMInstalledCapacity Data'!$B$10</c:f>
              <c:strCache>
                <c:ptCount val="1"/>
                <c:pt idx="0">
                  <c:v>Utility storage</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83-93A3-4583-A5E2-F2A157AE9AE4}"/>
              </c:ext>
            </c:extLst>
          </c:dPt>
          <c:dPt>
            <c:idx val="1"/>
            <c:invertIfNegative val="0"/>
            <c:bubble3D val="0"/>
            <c:extLst>
              <c:ext xmlns:c16="http://schemas.microsoft.com/office/drawing/2014/chart" uri="{C3380CC4-5D6E-409C-BE32-E72D297353CC}">
                <c16:uniqueId val="{00000285-93A3-4583-A5E2-F2A157AE9AE4}"/>
              </c:ext>
            </c:extLst>
          </c:dPt>
          <c:dPt>
            <c:idx val="2"/>
            <c:invertIfNegative val="0"/>
            <c:bubble3D val="0"/>
            <c:extLst>
              <c:ext xmlns:c16="http://schemas.microsoft.com/office/drawing/2014/chart" uri="{C3380CC4-5D6E-409C-BE32-E72D297353CC}">
                <c16:uniqueId val="{00000287-93A3-4583-A5E2-F2A157AE9AE4}"/>
              </c:ext>
            </c:extLst>
          </c:dPt>
          <c:dPt>
            <c:idx val="3"/>
            <c:invertIfNegative val="0"/>
            <c:bubble3D val="0"/>
            <c:extLst>
              <c:ext xmlns:c16="http://schemas.microsoft.com/office/drawing/2014/chart" uri="{C3380CC4-5D6E-409C-BE32-E72D297353CC}">
                <c16:uniqueId val="{00000289-93A3-4583-A5E2-F2A157AE9AE4}"/>
              </c:ext>
            </c:extLst>
          </c:dPt>
          <c:dPt>
            <c:idx val="4"/>
            <c:invertIfNegative val="0"/>
            <c:bubble3D val="0"/>
            <c:extLst>
              <c:ext xmlns:c16="http://schemas.microsoft.com/office/drawing/2014/chart" uri="{C3380CC4-5D6E-409C-BE32-E72D297353CC}">
                <c16:uniqueId val="{0000028B-93A3-4583-A5E2-F2A157AE9AE4}"/>
              </c:ext>
            </c:extLst>
          </c:dPt>
          <c:dPt>
            <c:idx val="5"/>
            <c:invertIfNegative val="0"/>
            <c:bubble3D val="0"/>
            <c:extLst>
              <c:ext xmlns:c16="http://schemas.microsoft.com/office/drawing/2014/chart" uri="{C3380CC4-5D6E-409C-BE32-E72D297353CC}">
                <c16:uniqueId val="{0000028D-93A3-4583-A5E2-F2A157AE9AE4}"/>
              </c:ext>
            </c:extLst>
          </c:dPt>
          <c:dPt>
            <c:idx val="6"/>
            <c:invertIfNegative val="0"/>
            <c:bubble3D val="0"/>
            <c:extLst>
              <c:ext xmlns:c16="http://schemas.microsoft.com/office/drawing/2014/chart" uri="{C3380CC4-5D6E-409C-BE32-E72D297353CC}">
                <c16:uniqueId val="{0000028F-93A3-4583-A5E2-F2A157AE9AE4}"/>
              </c:ext>
            </c:extLst>
          </c:dPt>
          <c:dPt>
            <c:idx val="7"/>
            <c:invertIfNegative val="0"/>
            <c:bubble3D val="0"/>
            <c:extLst>
              <c:ext xmlns:c16="http://schemas.microsoft.com/office/drawing/2014/chart" uri="{C3380CC4-5D6E-409C-BE32-E72D297353CC}">
                <c16:uniqueId val="{00000291-93A3-4583-A5E2-F2A157AE9AE4}"/>
              </c:ext>
            </c:extLst>
          </c:dPt>
          <c:dPt>
            <c:idx val="8"/>
            <c:invertIfNegative val="0"/>
            <c:bubble3D val="0"/>
            <c:extLst>
              <c:ext xmlns:c16="http://schemas.microsoft.com/office/drawing/2014/chart" uri="{C3380CC4-5D6E-409C-BE32-E72D297353CC}">
                <c16:uniqueId val="{00000293-93A3-4583-A5E2-F2A157AE9AE4}"/>
              </c:ext>
            </c:extLst>
          </c:dPt>
          <c:dPt>
            <c:idx val="9"/>
            <c:invertIfNegative val="0"/>
            <c:bubble3D val="0"/>
            <c:extLst>
              <c:ext xmlns:c16="http://schemas.microsoft.com/office/drawing/2014/chart" uri="{C3380CC4-5D6E-409C-BE32-E72D297353CC}">
                <c16:uniqueId val="{00000295-93A3-4583-A5E2-F2A157AE9AE4}"/>
              </c:ext>
            </c:extLst>
          </c:dPt>
          <c:dPt>
            <c:idx val="10"/>
            <c:invertIfNegative val="0"/>
            <c:bubble3D val="0"/>
            <c:extLst>
              <c:ext xmlns:c16="http://schemas.microsoft.com/office/drawing/2014/chart" uri="{C3380CC4-5D6E-409C-BE32-E72D297353CC}">
                <c16:uniqueId val="{00000297-93A3-4583-A5E2-F2A157AE9AE4}"/>
              </c:ext>
            </c:extLst>
          </c:dPt>
          <c:dPt>
            <c:idx val="11"/>
            <c:invertIfNegative val="0"/>
            <c:bubble3D val="0"/>
            <c:extLst>
              <c:ext xmlns:c16="http://schemas.microsoft.com/office/drawing/2014/chart" uri="{C3380CC4-5D6E-409C-BE32-E72D297353CC}">
                <c16:uniqueId val="{00000299-93A3-4583-A5E2-F2A157AE9AE4}"/>
              </c:ext>
            </c:extLst>
          </c:dPt>
          <c:dPt>
            <c:idx val="12"/>
            <c:invertIfNegative val="0"/>
            <c:bubble3D val="0"/>
            <c:extLst>
              <c:ext xmlns:c16="http://schemas.microsoft.com/office/drawing/2014/chart" uri="{C3380CC4-5D6E-409C-BE32-E72D297353CC}">
                <c16:uniqueId val="{0000029B-93A3-4583-A5E2-F2A157AE9AE4}"/>
              </c:ext>
            </c:extLst>
          </c:dPt>
          <c:dPt>
            <c:idx val="13"/>
            <c:invertIfNegative val="0"/>
            <c:bubble3D val="0"/>
            <c:extLst>
              <c:ext xmlns:c16="http://schemas.microsoft.com/office/drawing/2014/chart" uri="{C3380CC4-5D6E-409C-BE32-E72D297353CC}">
                <c16:uniqueId val="{0000029D-93A3-4583-A5E2-F2A157AE9AE4}"/>
              </c:ext>
            </c:extLst>
          </c:dPt>
          <c:dPt>
            <c:idx val="14"/>
            <c:invertIfNegative val="0"/>
            <c:bubble3D val="0"/>
            <c:extLst>
              <c:ext xmlns:c16="http://schemas.microsoft.com/office/drawing/2014/chart" uri="{C3380CC4-5D6E-409C-BE32-E72D297353CC}">
                <c16:uniqueId val="{0000029F-93A3-4583-A5E2-F2A157AE9AE4}"/>
              </c:ext>
            </c:extLst>
          </c:dPt>
          <c:dPt>
            <c:idx val="15"/>
            <c:invertIfNegative val="0"/>
            <c:bubble3D val="0"/>
            <c:extLst>
              <c:ext xmlns:c16="http://schemas.microsoft.com/office/drawing/2014/chart" uri="{C3380CC4-5D6E-409C-BE32-E72D297353CC}">
                <c16:uniqueId val="{000002A1-93A3-4583-A5E2-F2A157AE9AE4}"/>
              </c:ext>
            </c:extLst>
          </c:dPt>
          <c:dPt>
            <c:idx val="16"/>
            <c:invertIfNegative val="0"/>
            <c:bubble3D val="0"/>
            <c:extLst>
              <c:ext xmlns:c16="http://schemas.microsoft.com/office/drawing/2014/chart" uri="{C3380CC4-5D6E-409C-BE32-E72D297353CC}">
                <c16:uniqueId val="{000002A3-93A3-4583-A5E2-F2A157AE9AE4}"/>
              </c:ext>
            </c:extLst>
          </c:dPt>
          <c:dPt>
            <c:idx val="17"/>
            <c:invertIfNegative val="0"/>
            <c:bubble3D val="0"/>
            <c:extLst>
              <c:ext xmlns:c16="http://schemas.microsoft.com/office/drawing/2014/chart" uri="{C3380CC4-5D6E-409C-BE32-E72D297353CC}">
                <c16:uniqueId val="{000002A5-93A3-4583-A5E2-F2A157AE9AE4}"/>
              </c:ext>
            </c:extLst>
          </c:dPt>
          <c:dPt>
            <c:idx val="18"/>
            <c:invertIfNegative val="0"/>
            <c:bubble3D val="0"/>
            <c:extLst>
              <c:ext xmlns:c16="http://schemas.microsoft.com/office/drawing/2014/chart" uri="{C3380CC4-5D6E-409C-BE32-E72D297353CC}">
                <c16:uniqueId val="{000002A7-93A3-4583-A5E2-F2A157AE9AE4}"/>
              </c:ext>
            </c:extLst>
          </c:dPt>
          <c:dPt>
            <c:idx val="19"/>
            <c:invertIfNegative val="0"/>
            <c:bubble3D val="0"/>
            <c:extLst>
              <c:ext xmlns:c16="http://schemas.microsoft.com/office/drawing/2014/chart" uri="{C3380CC4-5D6E-409C-BE32-E72D297353CC}">
                <c16:uniqueId val="{000002A9-93A3-4583-A5E2-F2A157AE9AE4}"/>
              </c:ext>
            </c:extLst>
          </c:dPt>
          <c:dPt>
            <c:idx val="20"/>
            <c:invertIfNegative val="0"/>
            <c:bubble3D val="0"/>
            <c:extLst>
              <c:ext xmlns:c16="http://schemas.microsoft.com/office/drawing/2014/chart" uri="{C3380CC4-5D6E-409C-BE32-E72D297353CC}">
                <c16:uniqueId val="{000002AB-93A3-4583-A5E2-F2A157AE9AE4}"/>
              </c:ext>
            </c:extLst>
          </c:dPt>
          <c:dPt>
            <c:idx val="21"/>
            <c:invertIfNegative val="0"/>
            <c:bubble3D val="0"/>
            <c:extLst>
              <c:ext xmlns:c16="http://schemas.microsoft.com/office/drawing/2014/chart" uri="{C3380CC4-5D6E-409C-BE32-E72D297353CC}">
                <c16:uniqueId val="{000002AD-93A3-4583-A5E2-F2A157AE9AE4}"/>
              </c:ext>
            </c:extLst>
          </c:dPt>
          <c:dPt>
            <c:idx val="22"/>
            <c:invertIfNegative val="0"/>
            <c:bubble3D val="0"/>
            <c:extLst>
              <c:ext xmlns:c16="http://schemas.microsoft.com/office/drawing/2014/chart" uri="{C3380CC4-5D6E-409C-BE32-E72D297353CC}">
                <c16:uniqueId val="{000002AF-93A3-4583-A5E2-F2A157AE9AE4}"/>
              </c:ext>
            </c:extLst>
          </c:dPt>
          <c:dPt>
            <c:idx val="23"/>
            <c:invertIfNegative val="0"/>
            <c:bubble3D val="0"/>
            <c:extLst>
              <c:ext xmlns:c16="http://schemas.microsoft.com/office/drawing/2014/chart" uri="{C3380CC4-5D6E-409C-BE32-E72D297353CC}">
                <c16:uniqueId val="{000002B1-93A3-4583-A5E2-F2A157AE9AE4}"/>
              </c:ext>
            </c:extLst>
          </c:dPt>
          <c:dPt>
            <c:idx val="24"/>
            <c:invertIfNegative val="0"/>
            <c:bubble3D val="0"/>
            <c:extLst>
              <c:ext xmlns:c16="http://schemas.microsoft.com/office/drawing/2014/chart" uri="{C3380CC4-5D6E-409C-BE32-E72D297353CC}">
                <c16:uniqueId val="{000002B3-93A3-4583-A5E2-F2A157AE9AE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Data'!$C$10:$X$10</c:f>
              <c:numCache>
                <c:formatCode>#,##0_ ;\-#,##0\ </c:formatCode>
                <c:ptCount val="22"/>
                <c:pt idx="0">
                  <c:v>2681.4</c:v>
                </c:pt>
                <c:pt idx="1">
                  <c:v>2701.4</c:v>
                </c:pt>
                <c:pt idx="2">
                  <c:v>2801.4</c:v>
                </c:pt>
                <c:pt idx="3">
                  <c:v>2801.4</c:v>
                </c:pt>
                <c:pt idx="4">
                  <c:v>2801.4</c:v>
                </c:pt>
                <c:pt idx="5">
                  <c:v>2801.4</c:v>
                </c:pt>
                <c:pt idx="6">
                  <c:v>2817.4440549999999</c:v>
                </c:pt>
                <c:pt idx="7">
                  <c:v>3076.64977</c:v>
                </c:pt>
                <c:pt idx="8">
                  <c:v>3076.64977</c:v>
                </c:pt>
                <c:pt idx="9">
                  <c:v>3076.64977</c:v>
                </c:pt>
                <c:pt idx="10">
                  <c:v>3084.9266010000001</c:v>
                </c:pt>
                <c:pt idx="11">
                  <c:v>3084.9266010000001</c:v>
                </c:pt>
                <c:pt idx="12">
                  <c:v>3084.9266010000001</c:v>
                </c:pt>
                <c:pt idx="13">
                  <c:v>3084.9266010000001</c:v>
                </c:pt>
                <c:pt idx="14">
                  <c:v>3687.6251229999998</c:v>
                </c:pt>
                <c:pt idx="15">
                  <c:v>3687.6251229999998</c:v>
                </c:pt>
                <c:pt idx="16">
                  <c:v>3687.6251229999998</c:v>
                </c:pt>
                <c:pt idx="17">
                  <c:v>3687.6251229999998</c:v>
                </c:pt>
                <c:pt idx="18">
                  <c:v>3903.1415189999998</c:v>
                </c:pt>
                <c:pt idx="19">
                  <c:v>3903.1415189999998</c:v>
                </c:pt>
                <c:pt idx="20">
                  <c:v>3903.1415189999998</c:v>
                </c:pt>
                <c:pt idx="21">
                  <c:v>3903.1415189999998</c:v>
                </c:pt>
              </c:numCache>
            </c:numRef>
          </c:val>
          <c:extLst>
            <c:ext xmlns:c16="http://schemas.microsoft.com/office/drawing/2014/chart" uri="{C3380CC4-5D6E-409C-BE32-E72D297353CC}">
              <c16:uniqueId val="{000002B4-93A3-4583-A5E2-F2A157AE9AE4}"/>
            </c:ext>
          </c:extLst>
        </c:ser>
        <c:ser>
          <c:idx val="10"/>
          <c:order val="9"/>
          <c:tx>
            <c:strRef>
              <c:f>'NEMInstalledCapacity Data'!$B$12</c:f>
              <c:strCache>
                <c:ptCount val="1"/>
                <c:pt idx="0">
                  <c:v>Distributed storage</c:v>
                </c:pt>
              </c:strCache>
            </c:strRef>
          </c:tx>
          <c:spPr>
            <a:solidFill>
              <a:srgbClr val="92D050"/>
            </a:solidFill>
            <a:ln>
              <a:noFill/>
            </a:ln>
            <a:effectLst/>
          </c:spPr>
          <c:invertIfNegative val="0"/>
          <c:val>
            <c:numRef>
              <c:f>'NEMInstalledCapacity Data'!$C$12:$X$12</c:f>
              <c:numCache>
                <c:formatCode>#,##0_ ;\-#,##0\ </c:formatCode>
                <c:ptCount val="22"/>
                <c:pt idx="0">
                  <c:v>312.26</c:v>
                </c:pt>
                <c:pt idx="1">
                  <c:v>601.14</c:v>
                </c:pt>
                <c:pt idx="2">
                  <c:v>977.37</c:v>
                </c:pt>
                <c:pt idx="3">
                  <c:v>1323.6</c:v>
                </c:pt>
                <c:pt idx="4">
                  <c:v>1656.16</c:v>
                </c:pt>
                <c:pt idx="5">
                  <c:v>1975.32</c:v>
                </c:pt>
                <c:pt idx="6">
                  <c:v>2288.36</c:v>
                </c:pt>
                <c:pt idx="7">
                  <c:v>2587.9499999999998</c:v>
                </c:pt>
                <c:pt idx="8">
                  <c:v>2881.12</c:v>
                </c:pt>
                <c:pt idx="9">
                  <c:v>3166.67</c:v>
                </c:pt>
                <c:pt idx="10">
                  <c:v>3446.18</c:v>
                </c:pt>
                <c:pt idx="11">
                  <c:v>3723.38</c:v>
                </c:pt>
                <c:pt idx="12">
                  <c:v>3980.08</c:v>
                </c:pt>
                <c:pt idx="13">
                  <c:v>4212.34</c:v>
                </c:pt>
                <c:pt idx="14">
                  <c:v>4435.8900000000003</c:v>
                </c:pt>
                <c:pt idx="15">
                  <c:v>4651.38</c:v>
                </c:pt>
                <c:pt idx="16">
                  <c:v>4860.53</c:v>
                </c:pt>
                <c:pt idx="17">
                  <c:v>5065.55</c:v>
                </c:pt>
                <c:pt idx="18">
                  <c:v>5261.95</c:v>
                </c:pt>
                <c:pt idx="19">
                  <c:v>5452.1</c:v>
                </c:pt>
                <c:pt idx="20">
                  <c:v>5592.66</c:v>
                </c:pt>
                <c:pt idx="21">
                  <c:v>5774.18</c:v>
                </c:pt>
              </c:numCache>
            </c:numRef>
          </c:val>
          <c:extLst>
            <c:ext xmlns:c16="http://schemas.microsoft.com/office/drawing/2014/chart" uri="{C3380CC4-5D6E-409C-BE32-E72D297353CC}">
              <c16:uniqueId val="{000002B6-93A3-4583-A5E2-F2A157AE9AE4}"/>
            </c:ext>
          </c:extLst>
        </c:ser>
        <c:ser>
          <c:idx val="8"/>
          <c:order val="10"/>
          <c:tx>
            <c:strRef>
              <c:f>'NEMInstalledCapacity Data'!$B$13</c:f>
              <c:strCache>
                <c:ptCount val="1"/>
                <c:pt idx="0">
                  <c:v>Rooftop PV</c:v>
                </c:pt>
              </c:strCache>
            </c:strRef>
          </c:tx>
          <c:spPr>
            <a:solidFill>
              <a:srgbClr val="FFE7A7"/>
            </a:solidFill>
            <a:ln>
              <a:noFill/>
            </a:ln>
            <a:effectLst/>
          </c:spPr>
          <c:invertIfNegative val="0"/>
          <c:dPt>
            <c:idx val="0"/>
            <c:invertIfNegative val="0"/>
            <c:bubble3D val="0"/>
            <c:extLst>
              <c:ext xmlns:c16="http://schemas.microsoft.com/office/drawing/2014/chart" uri="{C3380CC4-5D6E-409C-BE32-E72D297353CC}">
                <c16:uniqueId val="{000002B9-93A3-4583-A5E2-F2A157AE9AE4}"/>
              </c:ext>
            </c:extLst>
          </c:dPt>
          <c:dPt>
            <c:idx val="1"/>
            <c:invertIfNegative val="0"/>
            <c:bubble3D val="0"/>
            <c:extLst>
              <c:ext xmlns:c16="http://schemas.microsoft.com/office/drawing/2014/chart" uri="{C3380CC4-5D6E-409C-BE32-E72D297353CC}">
                <c16:uniqueId val="{000002BB-93A3-4583-A5E2-F2A157AE9AE4}"/>
              </c:ext>
            </c:extLst>
          </c:dPt>
          <c:dPt>
            <c:idx val="2"/>
            <c:invertIfNegative val="0"/>
            <c:bubble3D val="0"/>
            <c:extLst>
              <c:ext xmlns:c16="http://schemas.microsoft.com/office/drawing/2014/chart" uri="{C3380CC4-5D6E-409C-BE32-E72D297353CC}">
                <c16:uniqueId val="{000002BD-93A3-4583-A5E2-F2A157AE9AE4}"/>
              </c:ext>
            </c:extLst>
          </c:dPt>
          <c:dPt>
            <c:idx val="3"/>
            <c:invertIfNegative val="0"/>
            <c:bubble3D val="0"/>
            <c:extLst>
              <c:ext xmlns:c16="http://schemas.microsoft.com/office/drawing/2014/chart" uri="{C3380CC4-5D6E-409C-BE32-E72D297353CC}">
                <c16:uniqueId val="{000002BF-93A3-4583-A5E2-F2A157AE9AE4}"/>
              </c:ext>
            </c:extLst>
          </c:dPt>
          <c:dPt>
            <c:idx val="4"/>
            <c:invertIfNegative val="0"/>
            <c:bubble3D val="0"/>
            <c:extLst>
              <c:ext xmlns:c16="http://schemas.microsoft.com/office/drawing/2014/chart" uri="{C3380CC4-5D6E-409C-BE32-E72D297353CC}">
                <c16:uniqueId val="{000002C1-93A3-4583-A5E2-F2A157AE9AE4}"/>
              </c:ext>
            </c:extLst>
          </c:dPt>
          <c:dPt>
            <c:idx val="5"/>
            <c:invertIfNegative val="0"/>
            <c:bubble3D val="0"/>
            <c:extLst>
              <c:ext xmlns:c16="http://schemas.microsoft.com/office/drawing/2014/chart" uri="{C3380CC4-5D6E-409C-BE32-E72D297353CC}">
                <c16:uniqueId val="{000002C3-93A3-4583-A5E2-F2A157AE9AE4}"/>
              </c:ext>
            </c:extLst>
          </c:dPt>
          <c:dPt>
            <c:idx val="6"/>
            <c:invertIfNegative val="0"/>
            <c:bubble3D val="0"/>
            <c:extLst>
              <c:ext xmlns:c16="http://schemas.microsoft.com/office/drawing/2014/chart" uri="{C3380CC4-5D6E-409C-BE32-E72D297353CC}">
                <c16:uniqueId val="{000002C5-93A3-4583-A5E2-F2A157AE9AE4}"/>
              </c:ext>
            </c:extLst>
          </c:dPt>
          <c:dPt>
            <c:idx val="7"/>
            <c:invertIfNegative val="0"/>
            <c:bubble3D val="0"/>
            <c:extLst>
              <c:ext xmlns:c16="http://schemas.microsoft.com/office/drawing/2014/chart" uri="{C3380CC4-5D6E-409C-BE32-E72D297353CC}">
                <c16:uniqueId val="{000002C7-93A3-4583-A5E2-F2A157AE9AE4}"/>
              </c:ext>
            </c:extLst>
          </c:dPt>
          <c:dPt>
            <c:idx val="8"/>
            <c:invertIfNegative val="0"/>
            <c:bubble3D val="0"/>
            <c:extLst>
              <c:ext xmlns:c16="http://schemas.microsoft.com/office/drawing/2014/chart" uri="{C3380CC4-5D6E-409C-BE32-E72D297353CC}">
                <c16:uniqueId val="{000002C9-93A3-4583-A5E2-F2A157AE9AE4}"/>
              </c:ext>
            </c:extLst>
          </c:dPt>
          <c:dPt>
            <c:idx val="9"/>
            <c:invertIfNegative val="0"/>
            <c:bubble3D val="0"/>
            <c:extLst>
              <c:ext xmlns:c16="http://schemas.microsoft.com/office/drawing/2014/chart" uri="{C3380CC4-5D6E-409C-BE32-E72D297353CC}">
                <c16:uniqueId val="{000002CB-93A3-4583-A5E2-F2A157AE9AE4}"/>
              </c:ext>
            </c:extLst>
          </c:dPt>
          <c:dPt>
            <c:idx val="10"/>
            <c:invertIfNegative val="0"/>
            <c:bubble3D val="0"/>
            <c:extLst>
              <c:ext xmlns:c16="http://schemas.microsoft.com/office/drawing/2014/chart" uri="{C3380CC4-5D6E-409C-BE32-E72D297353CC}">
                <c16:uniqueId val="{000002CD-93A3-4583-A5E2-F2A157AE9AE4}"/>
              </c:ext>
            </c:extLst>
          </c:dPt>
          <c:dPt>
            <c:idx val="11"/>
            <c:invertIfNegative val="0"/>
            <c:bubble3D val="0"/>
            <c:extLst>
              <c:ext xmlns:c16="http://schemas.microsoft.com/office/drawing/2014/chart" uri="{C3380CC4-5D6E-409C-BE32-E72D297353CC}">
                <c16:uniqueId val="{000002CF-93A3-4583-A5E2-F2A157AE9AE4}"/>
              </c:ext>
            </c:extLst>
          </c:dPt>
          <c:dPt>
            <c:idx val="12"/>
            <c:invertIfNegative val="0"/>
            <c:bubble3D val="0"/>
            <c:extLst>
              <c:ext xmlns:c16="http://schemas.microsoft.com/office/drawing/2014/chart" uri="{C3380CC4-5D6E-409C-BE32-E72D297353CC}">
                <c16:uniqueId val="{000002D1-93A3-4583-A5E2-F2A157AE9AE4}"/>
              </c:ext>
            </c:extLst>
          </c:dPt>
          <c:dPt>
            <c:idx val="13"/>
            <c:invertIfNegative val="0"/>
            <c:bubble3D val="0"/>
            <c:extLst>
              <c:ext xmlns:c16="http://schemas.microsoft.com/office/drawing/2014/chart" uri="{C3380CC4-5D6E-409C-BE32-E72D297353CC}">
                <c16:uniqueId val="{000002D3-93A3-4583-A5E2-F2A157AE9AE4}"/>
              </c:ext>
            </c:extLst>
          </c:dPt>
          <c:dPt>
            <c:idx val="14"/>
            <c:invertIfNegative val="0"/>
            <c:bubble3D val="0"/>
            <c:extLst>
              <c:ext xmlns:c16="http://schemas.microsoft.com/office/drawing/2014/chart" uri="{C3380CC4-5D6E-409C-BE32-E72D297353CC}">
                <c16:uniqueId val="{000002D5-93A3-4583-A5E2-F2A157AE9AE4}"/>
              </c:ext>
            </c:extLst>
          </c:dPt>
          <c:dPt>
            <c:idx val="15"/>
            <c:invertIfNegative val="0"/>
            <c:bubble3D val="0"/>
            <c:extLst>
              <c:ext xmlns:c16="http://schemas.microsoft.com/office/drawing/2014/chart" uri="{C3380CC4-5D6E-409C-BE32-E72D297353CC}">
                <c16:uniqueId val="{000002D7-93A3-4583-A5E2-F2A157AE9AE4}"/>
              </c:ext>
            </c:extLst>
          </c:dPt>
          <c:dPt>
            <c:idx val="16"/>
            <c:invertIfNegative val="0"/>
            <c:bubble3D val="0"/>
            <c:extLst>
              <c:ext xmlns:c16="http://schemas.microsoft.com/office/drawing/2014/chart" uri="{C3380CC4-5D6E-409C-BE32-E72D297353CC}">
                <c16:uniqueId val="{000002D9-93A3-4583-A5E2-F2A157AE9AE4}"/>
              </c:ext>
            </c:extLst>
          </c:dPt>
          <c:dPt>
            <c:idx val="17"/>
            <c:invertIfNegative val="0"/>
            <c:bubble3D val="0"/>
            <c:extLst>
              <c:ext xmlns:c16="http://schemas.microsoft.com/office/drawing/2014/chart" uri="{C3380CC4-5D6E-409C-BE32-E72D297353CC}">
                <c16:uniqueId val="{000002DB-93A3-4583-A5E2-F2A157AE9AE4}"/>
              </c:ext>
            </c:extLst>
          </c:dPt>
          <c:dPt>
            <c:idx val="18"/>
            <c:invertIfNegative val="0"/>
            <c:bubble3D val="0"/>
            <c:extLst>
              <c:ext xmlns:c16="http://schemas.microsoft.com/office/drawing/2014/chart" uri="{C3380CC4-5D6E-409C-BE32-E72D297353CC}">
                <c16:uniqueId val="{000002DD-93A3-4583-A5E2-F2A157AE9AE4}"/>
              </c:ext>
            </c:extLst>
          </c:dPt>
          <c:dPt>
            <c:idx val="19"/>
            <c:invertIfNegative val="0"/>
            <c:bubble3D val="0"/>
            <c:extLst>
              <c:ext xmlns:c16="http://schemas.microsoft.com/office/drawing/2014/chart" uri="{C3380CC4-5D6E-409C-BE32-E72D297353CC}">
                <c16:uniqueId val="{000002DF-93A3-4583-A5E2-F2A157AE9AE4}"/>
              </c:ext>
            </c:extLst>
          </c:dPt>
          <c:dPt>
            <c:idx val="20"/>
            <c:invertIfNegative val="0"/>
            <c:bubble3D val="0"/>
            <c:extLst>
              <c:ext xmlns:c16="http://schemas.microsoft.com/office/drawing/2014/chart" uri="{C3380CC4-5D6E-409C-BE32-E72D297353CC}">
                <c16:uniqueId val="{000002E1-93A3-4583-A5E2-F2A157AE9AE4}"/>
              </c:ext>
            </c:extLst>
          </c:dPt>
          <c:dPt>
            <c:idx val="21"/>
            <c:invertIfNegative val="0"/>
            <c:bubble3D val="0"/>
            <c:extLst>
              <c:ext xmlns:c16="http://schemas.microsoft.com/office/drawing/2014/chart" uri="{C3380CC4-5D6E-409C-BE32-E72D297353CC}">
                <c16:uniqueId val="{000002E3-93A3-4583-A5E2-F2A157AE9AE4}"/>
              </c:ext>
            </c:extLst>
          </c:dPt>
          <c:dPt>
            <c:idx val="22"/>
            <c:invertIfNegative val="0"/>
            <c:bubble3D val="0"/>
            <c:extLst>
              <c:ext xmlns:c16="http://schemas.microsoft.com/office/drawing/2014/chart" uri="{C3380CC4-5D6E-409C-BE32-E72D297353CC}">
                <c16:uniqueId val="{000002E5-93A3-4583-A5E2-F2A157AE9AE4}"/>
              </c:ext>
            </c:extLst>
          </c:dPt>
          <c:dPt>
            <c:idx val="23"/>
            <c:invertIfNegative val="0"/>
            <c:bubble3D val="0"/>
            <c:extLst>
              <c:ext xmlns:c16="http://schemas.microsoft.com/office/drawing/2014/chart" uri="{C3380CC4-5D6E-409C-BE32-E72D297353CC}">
                <c16:uniqueId val="{000002E7-93A3-4583-A5E2-F2A157AE9AE4}"/>
              </c:ext>
            </c:extLst>
          </c:dPt>
          <c:dPt>
            <c:idx val="24"/>
            <c:invertIfNegative val="0"/>
            <c:bubble3D val="0"/>
            <c:extLst>
              <c:ext xmlns:c16="http://schemas.microsoft.com/office/drawing/2014/chart" uri="{C3380CC4-5D6E-409C-BE32-E72D297353CC}">
                <c16:uniqueId val="{000002E9-93A3-4583-A5E2-F2A157AE9AE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Data'!$C$13:$X$13</c:f>
              <c:numCache>
                <c:formatCode>#,##0_ ;\-#,##0\ </c:formatCode>
                <c:ptCount val="22"/>
                <c:pt idx="0">
                  <c:v>7324</c:v>
                </c:pt>
                <c:pt idx="1">
                  <c:v>8264</c:v>
                </c:pt>
                <c:pt idx="2">
                  <c:v>9186</c:v>
                </c:pt>
                <c:pt idx="3">
                  <c:v>10082</c:v>
                </c:pt>
                <c:pt idx="4">
                  <c:v>10958</c:v>
                </c:pt>
                <c:pt idx="5">
                  <c:v>11817</c:v>
                </c:pt>
                <c:pt idx="6">
                  <c:v>12651</c:v>
                </c:pt>
                <c:pt idx="7">
                  <c:v>13459</c:v>
                </c:pt>
                <c:pt idx="8">
                  <c:v>14248</c:v>
                </c:pt>
                <c:pt idx="9">
                  <c:v>15010</c:v>
                </c:pt>
                <c:pt idx="10">
                  <c:v>15739</c:v>
                </c:pt>
                <c:pt idx="11">
                  <c:v>16439</c:v>
                </c:pt>
                <c:pt idx="12">
                  <c:v>17092</c:v>
                </c:pt>
                <c:pt idx="13">
                  <c:v>17701</c:v>
                </c:pt>
                <c:pt idx="14">
                  <c:v>18245</c:v>
                </c:pt>
                <c:pt idx="15">
                  <c:v>18744</c:v>
                </c:pt>
                <c:pt idx="16">
                  <c:v>19214</c:v>
                </c:pt>
                <c:pt idx="17">
                  <c:v>19655</c:v>
                </c:pt>
                <c:pt idx="18">
                  <c:v>20058</c:v>
                </c:pt>
                <c:pt idx="19">
                  <c:v>20386</c:v>
                </c:pt>
                <c:pt idx="20">
                  <c:v>20724</c:v>
                </c:pt>
                <c:pt idx="21">
                  <c:v>21018</c:v>
                </c:pt>
              </c:numCache>
            </c:numRef>
          </c:val>
          <c:extLst>
            <c:ext xmlns:c16="http://schemas.microsoft.com/office/drawing/2014/chart" uri="{C3380CC4-5D6E-409C-BE32-E72D297353CC}">
              <c16:uniqueId val="{000002EA-93A3-4583-A5E2-F2A157AE9AE4}"/>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9636411161955318"/>
              <c:y val="0.80159096108997518"/>
            </c:manualLayout>
          </c:layout>
          <c:overlay val="0"/>
          <c:spPr>
            <a:noFill/>
            <a:ln>
              <a:noFill/>
            </a:ln>
            <a:effectLst/>
          </c:sp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Installed capacity (MW)</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0.11879026354856696"/>
          <c:y val="0.85445706781823372"/>
          <c:w val="0.81068934425818839"/>
          <c:h val="0.12773471268354208"/>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82001628509222"/>
          <c:y val="3.2567640214531464E-2"/>
          <c:w val="0.83509542536485004"/>
          <c:h val="0.60776182214664809"/>
        </c:manualLayout>
      </c:layout>
      <c:barChart>
        <c:barDir val="col"/>
        <c:grouping val="stacked"/>
        <c:varyColors val="0"/>
        <c:ser>
          <c:idx val="0"/>
          <c:order val="0"/>
          <c:tx>
            <c:strRef>
              <c:f>'NEMEnergyGenerated Data'!$B$3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F8-66FB-4DD6-B810-B1991D3223B9}"/>
              </c:ext>
            </c:extLst>
          </c:dPt>
          <c:dPt>
            <c:idx val="1"/>
            <c:invertIfNegative val="0"/>
            <c:bubble3D val="0"/>
            <c:extLst>
              <c:ext xmlns:c16="http://schemas.microsoft.com/office/drawing/2014/chart" uri="{C3380CC4-5D6E-409C-BE32-E72D297353CC}">
                <c16:uniqueId val="{000001F9-66FB-4DD6-B810-B1991D3223B9}"/>
              </c:ext>
            </c:extLst>
          </c:dPt>
          <c:dPt>
            <c:idx val="2"/>
            <c:invertIfNegative val="0"/>
            <c:bubble3D val="0"/>
            <c:extLst>
              <c:ext xmlns:c16="http://schemas.microsoft.com/office/drawing/2014/chart" uri="{C3380CC4-5D6E-409C-BE32-E72D297353CC}">
                <c16:uniqueId val="{000001FA-66FB-4DD6-B810-B1991D3223B9}"/>
              </c:ext>
            </c:extLst>
          </c:dPt>
          <c:dPt>
            <c:idx val="3"/>
            <c:invertIfNegative val="0"/>
            <c:bubble3D val="0"/>
            <c:extLst>
              <c:ext xmlns:c16="http://schemas.microsoft.com/office/drawing/2014/chart" uri="{C3380CC4-5D6E-409C-BE32-E72D297353CC}">
                <c16:uniqueId val="{000001FB-66FB-4DD6-B810-B1991D3223B9}"/>
              </c:ext>
            </c:extLst>
          </c:dPt>
          <c:dPt>
            <c:idx val="4"/>
            <c:invertIfNegative val="0"/>
            <c:bubble3D val="0"/>
            <c:extLst>
              <c:ext xmlns:c16="http://schemas.microsoft.com/office/drawing/2014/chart" uri="{C3380CC4-5D6E-409C-BE32-E72D297353CC}">
                <c16:uniqueId val="{000001FC-66FB-4DD6-B810-B1991D3223B9}"/>
              </c:ext>
            </c:extLst>
          </c:dPt>
          <c:dPt>
            <c:idx val="5"/>
            <c:invertIfNegative val="0"/>
            <c:bubble3D val="0"/>
            <c:extLst>
              <c:ext xmlns:c16="http://schemas.microsoft.com/office/drawing/2014/chart" uri="{C3380CC4-5D6E-409C-BE32-E72D297353CC}">
                <c16:uniqueId val="{000001FD-66FB-4DD6-B810-B1991D3223B9}"/>
              </c:ext>
            </c:extLst>
          </c:dPt>
          <c:dPt>
            <c:idx val="6"/>
            <c:invertIfNegative val="0"/>
            <c:bubble3D val="0"/>
            <c:extLst>
              <c:ext xmlns:c16="http://schemas.microsoft.com/office/drawing/2014/chart" uri="{C3380CC4-5D6E-409C-BE32-E72D297353CC}">
                <c16:uniqueId val="{000001FE-66FB-4DD6-B810-B1991D3223B9}"/>
              </c:ext>
            </c:extLst>
          </c:dPt>
          <c:dPt>
            <c:idx val="7"/>
            <c:invertIfNegative val="0"/>
            <c:bubble3D val="0"/>
            <c:extLst>
              <c:ext xmlns:c16="http://schemas.microsoft.com/office/drawing/2014/chart" uri="{C3380CC4-5D6E-409C-BE32-E72D297353CC}">
                <c16:uniqueId val="{000001FF-66FB-4DD6-B810-B1991D3223B9}"/>
              </c:ext>
            </c:extLst>
          </c:dPt>
          <c:dPt>
            <c:idx val="8"/>
            <c:invertIfNegative val="0"/>
            <c:bubble3D val="0"/>
            <c:extLst>
              <c:ext xmlns:c16="http://schemas.microsoft.com/office/drawing/2014/chart" uri="{C3380CC4-5D6E-409C-BE32-E72D297353CC}">
                <c16:uniqueId val="{00000200-66FB-4DD6-B810-B1991D3223B9}"/>
              </c:ext>
            </c:extLst>
          </c:dPt>
          <c:dPt>
            <c:idx val="9"/>
            <c:invertIfNegative val="0"/>
            <c:bubble3D val="0"/>
            <c:extLst>
              <c:ext xmlns:c16="http://schemas.microsoft.com/office/drawing/2014/chart" uri="{C3380CC4-5D6E-409C-BE32-E72D297353CC}">
                <c16:uniqueId val="{00000201-66FB-4DD6-B810-B1991D3223B9}"/>
              </c:ext>
            </c:extLst>
          </c:dPt>
          <c:dPt>
            <c:idx val="10"/>
            <c:invertIfNegative val="0"/>
            <c:bubble3D val="0"/>
            <c:extLst>
              <c:ext xmlns:c16="http://schemas.microsoft.com/office/drawing/2014/chart" uri="{C3380CC4-5D6E-409C-BE32-E72D297353CC}">
                <c16:uniqueId val="{00000202-66FB-4DD6-B810-B1991D3223B9}"/>
              </c:ext>
            </c:extLst>
          </c:dPt>
          <c:dPt>
            <c:idx val="11"/>
            <c:invertIfNegative val="0"/>
            <c:bubble3D val="0"/>
            <c:extLst>
              <c:ext xmlns:c16="http://schemas.microsoft.com/office/drawing/2014/chart" uri="{C3380CC4-5D6E-409C-BE32-E72D297353CC}">
                <c16:uniqueId val="{00000203-66FB-4DD6-B810-B1991D3223B9}"/>
              </c:ext>
            </c:extLst>
          </c:dPt>
          <c:dPt>
            <c:idx val="12"/>
            <c:invertIfNegative val="0"/>
            <c:bubble3D val="0"/>
            <c:extLst>
              <c:ext xmlns:c16="http://schemas.microsoft.com/office/drawing/2014/chart" uri="{C3380CC4-5D6E-409C-BE32-E72D297353CC}">
                <c16:uniqueId val="{00000204-66FB-4DD6-B810-B1991D3223B9}"/>
              </c:ext>
            </c:extLst>
          </c:dPt>
          <c:dPt>
            <c:idx val="13"/>
            <c:invertIfNegative val="0"/>
            <c:bubble3D val="0"/>
            <c:extLst>
              <c:ext xmlns:c16="http://schemas.microsoft.com/office/drawing/2014/chart" uri="{C3380CC4-5D6E-409C-BE32-E72D297353CC}">
                <c16:uniqueId val="{00000205-66FB-4DD6-B810-B1991D3223B9}"/>
              </c:ext>
            </c:extLst>
          </c:dPt>
          <c:dPt>
            <c:idx val="14"/>
            <c:invertIfNegative val="0"/>
            <c:bubble3D val="0"/>
            <c:extLst>
              <c:ext xmlns:c16="http://schemas.microsoft.com/office/drawing/2014/chart" uri="{C3380CC4-5D6E-409C-BE32-E72D297353CC}">
                <c16:uniqueId val="{00000206-66FB-4DD6-B810-B1991D3223B9}"/>
              </c:ext>
            </c:extLst>
          </c:dPt>
          <c:dPt>
            <c:idx val="15"/>
            <c:invertIfNegative val="0"/>
            <c:bubble3D val="0"/>
            <c:extLst>
              <c:ext xmlns:c16="http://schemas.microsoft.com/office/drawing/2014/chart" uri="{C3380CC4-5D6E-409C-BE32-E72D297353CC}">
                <c16:uniqueId val="{00000207-66FB-4DD6-B810-B1991D3223B9}"/>
              </c:ext>
            </c:extLst>
          </c:dPt>
          <c:dPt>
            <c:idx val="16"/>
            <c:invertIfNegative val="0"/>
            <c:bubble3D val="0"/>
            <c:extLst>
              <c:ext xmlns:c16="http://schemas.microsoft.com/office/drawing/2014/chart" uri="{C3380CC4-5D6E-409C-BE32-E72D297353CC}">
                <c16:uniqueId val="{00000208-66FB-4DD6-B810-B1991D3223B9}"/>
              </c:ext>
            </c:extLst>
          </c:dPt>
          <c:dPt>
            <c:idx val="17"/>
            <c:invertIfNegative val="0"/>
            <c:bubble3D val="0"/>
            <c:extLst>
              <c:ext xmlns:c16="http://schemas.microsoft.com/office/drawing/2014/chart" uri="{C3380CC4-5D6E-409C-BE32-E72D297353CC}">
                <c16:uniqueId val="{00000209-66FB-4DD6-B810-B1991D3223B9}"/>
              </c:ext>
            </c:extLst>
          </c:dPt>
          <c:dPt>
            <c:idx val="18"/>
            <c:invertIfNegative val="0"/>
            <c:bubble3D val="0"/>
            <c:extLst>
              <c:ext xmlns:c16="http://schemas.microsoft.com/office/drawing/2014/chart" uri="{C3380CC4-5D6E-409C-BE32-E72D297353CC}">
                <c16:uniqueId val="{0000020A-66FB-4DD6-B810-B1991D3223B9}"/>
              </c:ext>
            </c:extLst>
          </c:dPt>
          <c:dPt>
            <c:idx val="19"/>
            <c:invertIfNegative val="0"/>
            <c:bubble3D val="0"/>
            <c:extLst>
              <c:ext xmlns:c16="http://schemas.microsoft.com/office/drawing/2014/chart" uri="{C3380CC4-5D6E-409C-BE32-E72D297353CC}">
                <c16:uniqueId val="{0000020B-66FB-4DD6-B810-B1991D3223B9}"/>
              </c:ext>
            </c:extLst>
          </c:dPt>
          <c:dPt>
            <c:idx val="20"/>
            <c:invertIfNegative val="0"/>
            <c:bubble3D val="0"/>
            <c:extLst>
              <c:ext xmlns:c16="http://schemas.microsoft.com/office/drawing/2014/chart" uri="{C3380CC4-5D6E-409C-BE32-E72D297353CC}">
                <c16:uniqueId val="{0000020C-66FB-4DD6-B810-B1991D3223B9}"/>
              </c:ext>
            </c:extLst>
          </c:dPt>
          <c:dPt>
            <c:idx val="21"/>
            <c:invertIfNegative val="0"/>
            <c:bubble3D val="0"/>
            <c:extLst>
              <c:ext xmlns:c16="http://schemas.microsoft.com/office/drawing/2014/chart" uri="{C3380CC4-5D6E-409C-BE32-E72D297353CC}">
                <c16:uniqueId val="{0000020D-66FB-4DD6-B810-B1991D3223B9}"/>
              </c:ext>
            </c:extLst>
          </c:dPt>
          <c:dPt>
            <c:idx val="22"/>
            <c:invertIfNegative val="0"/>
            <c:bubble3D val="0"/>
            <c:extLst>
              <c:ext xmlns:c16="http://schemas.microsoft.com/office/drawing/2014/chart" uri="{C3380CC4-5D6E-409C-BE32-E72D297353CC}">
                <c16:uniqueId val="{0000020E-66FB-4DD6-B810-B1991D3223B9}"/>
              </c:ext>
            </c:extLst>
          </c:dPt>
          <c:dPt>
            <c:idx val="23"/>
            <c:invertIfNegative val="0"/>
            <c:bubble3D val="0"/>
            <c:extLst>
              <c:ext xmlns:c16="http://schemas.microsoft.com/office/drawing/2014/chart" uri="{C3380CC4-5D6E-409C-BE32-E72D297353CC}">
                <c16:uniqueId val="{0000020F-66FB-4DD6-B810-B1991D3223B9}"/>
              </c:ext>
            </c:extLst>
          </c:dPt>
          <c:dPt>
            <c:idx val="24"/>
            <c:invertIfNegative val="0"/>
            <c:bubble3D val="0"/>
            <c:extLst>
              <c:ext xmlns:c16="http://schemas.microsoft.com/office/drawing/2014/chart" uri="{C3380CC4-5D6E-409C-BE32-E72D297353CC}">
                <c16:uniqueId val="{00000210-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Data'!$C$3:$X$3</c:f>
              <c:numCache>
                <c:formatCode>#,##0_ ;\-#,##0\ </c:formatCode>
                <c:ptCount val="22"/>
                <c:pt idx="0">
                  <c:v>105738.3894447238</c:v>
                </c:pt>
                <c:pt idx="1">
                  <c:v>101616.95548342142</c:v>
                </c:pt>
                <c:pt idx="2">
                  <c:v>98988.551841825072</c:v>
                </c:pt>
                <c:pt idx="3">
                  <c:v>102157.62925337083</c:v>
                </c:pt>
                <c:pt idx="4">
                  <c:v>96978.223702757066</c:v>
                </c:pt>
                <c:pt idx="5">
                  <c:v>95525.334108213487</c:v>
                </c:pt>
                <c:pt idx="6">
                  <c:v>93099.780379114964</c:v>
                </c:pt>
                <c:pt idx="7">
                  <c:v>89046.895252904622</c:v>
                </c:pt>
                <c:pt idx="8">
                  <c:v>86832.846880167024</c:v>
                </c:pt>
                <c:pt idx="9">
                  <c:v>85827.489969972055</c:v>
                </c:pt>
                <c:pt idx="10">
                  <c:v>80838.758776850809</c:v>
                </c:pt>
                <c:pt idx="11">
                  <c:v>73531.929740407286</c:v>
                </c:pt>
                <c:pt idx="12">
                  <c:v>73187.161346584835</c:v>
                </c:pt>
                <c:pt idx="13">
                  <c:v>70673.269352578674</c:v>
                </c:pt>
                <c:pt idx="14">
                  <c:v>71835.736234942917</c:v>
                </c:pt>
                <c:pt idx="15">
                  <c:v>69440.010584090385</c:v>
                </c:pt>
                <c:pt idx="16">
                  <c:v>59493.616095812082</c:v>
                </c:pt>
                <c:pt idx="17">
                  <c:v>44706.561542805597</c:v>
                </c:pt>
                <c:pt idx="18">
                  <c:v>36628.188797324139</c:v>
                </c:pt>
                <c:pt idx="19">
                  <c:v>33388.078492568369</c:v>
                </c:pt>
                <c:pt idx="20">
                  <c:v>33532.051748011021</c:v>
                </c:pt>
                <c:pt idx="21">
                  <c:v>33635.511598412784</c:v>
                </c:pt>
              </c:numCache>
            </c:numRef>
          </c:val>
          <c:extLst>
            <c:ext xmlns:c16="http://schemas.microsoft.com/office/drawing/2014/chart" uri="{C3380CC4-5D6E-409C-BE32-E72D297353CC}">
              <c16:uniqueId val="{00000211-66FB-4DD6-B810-B1991D3223B9}"/>
            </c:ext>
          </c:extLst>
        </c:ser>
        <c:ser>
          <c:idx val="1"/>
          <c:order val="1"/>
          <c:tx>
            <c:strRef>
              <c:f>'NEMEnergyGenerated Data'!$B$4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213-66FB-4DD6-B810-B1991D3223B9}"/>
              </c:ext>
            </c:extLst>
          </c:dPt>
          <c:dPt>
            <c:idx val="1"/>
            <c:invertIfNegative val="0"/>
            <c:bubble3D val="0"/>
            <c:extLst>
              <c:ext xmlns:c16="http://schemas.microsoft.com/office/drawing/2014/chart" uri="{C3380CC4-5D6E-409C-BE32-E72D297353CC}">
                <c16:uniqueId val="{00000214-66FB-4DD6-B810-B1991D3223B9}"/>
              </c:ext>
            </c:extLst>
          </c:dPt>
          <c:dPt>
            <c:idx val="2"/>
            <c:invertIfNegative val="0"/>
            <c:bubble3D val="0"/>
            <c:extLst>
              <c:ext xmlns:c16="http://schemas.microsoft.com/office/drawing/2014/chart" uri="{C3380CC4-5D6E-409C-BE32-E72D297353CC}">
                <c16:uniqueId val="{00000215-66FB-4DD6-B810-B1991D3223B9}"/>
              </c:ext>
            </c:extLst>
          </c:dPt>
          <c:dPt>
            <c:idx val="3"/>
            <c:invertIfNegative val="0"/>
            <c:bubble3D val="0"/>
            <c:extLst>
              <c:ext xmlns:c16="http://schemas.microsoft.com/office/drawing/2014/chart" uri="{C3380CC4-5D6E-409C-BE32-E72D297353CC}">
                <c16:uniqueId val="{00000216-66FB-4DD6-B810-B1991D3223B9}"/>
              </c:ext>
            </c:extLst>
          </c:dPt>
          <c:dPt>
            <c:idx val="4"/>
            <c:invertIfNegative val="0"/>
            <c:bubble3D val="0"/>
            <c:extLst>
              <c:ext xmlns:c16="http://schemas.microsoft.com/office/drawing/2014/chart" uri="{C3380CC4-5D6E-409C-BE32-E72D297353CC}">
                <c16:uniqueId val="{00000217-66FB-4DD6-B810-B1991D3223B9}"/>
              </c:ext>
            </c:extLst>
          </c:dPt>
          <c:dPt>
            <c:idx val="5"/>
            <c:invertIfNegative val="0"/>
            <c:bubble3D val="0"/>
            <c:extLst>
              <c:ext xmlns:c16="http://schemas.microsoft.com/office/drawing/2014/chart" uri="{C3380CC4-5D6E-409C-BE32-E72D297353CC}">
                <c16:uniqueId val="{00000218-66FB-4DD6-B810-B1991D3223B9}"/>
              </c:ext>
            </c:extLst>
          </c:dPt>
          <c:dPt>
            <c:idx val="6"/>
            <c:invertIfNegative val="0"/>
            <c:bubble3D val="0"/>
            <c:extLst>
              <c:ext xmlns:c16="http://schemas.microsoft.com/office/drawing/2014/chart" uri="{C3380CC4-5D6E-409C-BE32-E72D297353CC}">
                <c16:uniqueId val="{00000219-66FB-4DD6-B810-B1991D3223B9}"/>
              </c:ext>
            </c:extLst>
          </c:dPt>
          <c:dPt>
            <c:idx val="7"/>
            <c:invertIfNegative val="0"/>
            <c:bubble3D val="0"/>
            <c:extLst>
              <c:ext xmlns:c16="http://schemas.microsoft.com/office/drawing/2014/chart" uri="{C3380CC4-5D6E-409C-BE32-E72D297353CC}">
                <c16:uniqueId val="{0000021A-66FB-4DD6-B810-B1991D3223B9}"/>
              </c:ext>
            </c:extLst>
          </c:dPt>
          <c:dPt>
            <c:idx val="8"/>
            <c:invertIfNegative val="0"/>
            <c:bubble3D val="0"/>
            <c:extLst>
              <c:ext xmlns:c16="http://schemas.microsoft.com/office/drawing/2014/chart" uri="{C3380CC4-5D6E-409C-BE32-E72D297353CC}">
                <c16:uniqueId val="{0000021B-66FB-4DD6-B810-B1991D3223B9}"/>
              </c:ext>
            </c:extLst>
          </c:dPt>
          <c:dPt>
            <c:idx val="9"/>
            <c:invertIfNegative val="0"/>
            <c:bubble3D val="0"/>
            <c:extLst>
              <c:ext xmlns:c16="http://schemas.microsoft.com/office/drawing/2014/chart" uri="{C3380CC4-5D6E-409C-BE32-E72D297353CC}">
                <c16:uniqueId val="{0000021C-66FB-4DD6-B810-B1991D3223B9}"/>
              </c:ext>
            </c:extLst>
          </c:dPt>
          <c:dPt>
            <c:idx val="10"/>
            <c:invertIfNegative val="0"/>
            <c:bubble3D val="0"/>
            <c:extLst>
              <c:ext xmlns:c16="http://schemas.microsoft.com/office/drawing/2014/chart" uri="{C3380CC4-5D6E-409C-BE32-E72D297353CC}">
                <c16:uniqueId val="{0000021D-66FB-4DD6-B810-B1991D3223B9}"/>
              </c:ext>
            </c:extLst>
          </c:dPt>
          <c:dPt>
            <c:idx val="11"/>
            <c:invertIfNegative val="0"/>
            <c:bubble3D val="0"/>
            <c:extLst>
              <c:ext xmlns:c16="http://schemas.microsoft.com/office/drawing/2014/chart" uri="{C3380CC4-5D6E-409C-BE32-E72D297353CC}">
                <c16:uniqueId val="{0000021E-66FB-4DD6-B810-B1991D3223B9}"/>
              </c:ext>
            </c:extLst>
          </c:dPt>
          <c:dPt>
            <c:idx val="12"/>
            <c:invertIfNegative val="0"/>
            <c:bubble3D val="0"/>
            <c:extLst>
              <c:ext xmlns:c16="http://schemas.microsoft.com/office/drawing/2014/chart" uri="{C3380CC4-5D6E-409C-BE32-E72D297353CC}">
                <c16:uniqueId val="{0000021F-66FB-4DD6-B810-B1991D3223B9}"/>
              </c:ext>
            </c:extLst>
          </c:dPt>
          <c:dPt>
            <c:idx val="13"/>
            <c:invertIfNegative val="0"/>
            <c:bubble3D val="0"/>
            <c:extLst>
              <c:ext xmlns:c16="http://schemas.microsoft.com/office/drawing/2014/chart" uri="{C3380CC4-5D6E-409C-BE32-E72D297353CC}">
                <c16:uniqueId val="{00000220-66FB-4DD6-B810-B1991D3223B9}"/>
              </c:ext>
            </c:extLst>
          </c:dPt>
          <c:dPt>
            <c:idx val="14"/>
            <c:invertIfNegative val="0"/>
            <c:bubble3D val="0"/>
            <c:extLst>
              <c:ext xmlns:c16="http://schemas.microsoft.com/office/drawing/2014/chart" uri="{C3380CC4-5D6E-409C-BE32-E72D297353CC}">
                <c16:uniqueId val="{00000221-66FB-4DD6-B810-B1991D3223B9}"/>
              </c:ext>
            </c:extLst>
          </c:dPt>
          <c:dPt>
            <c:idx val="15"/>
            <c:invertIfNegative val="0"/>
            <c:bubble3D val="0"/>
            <c:extLst>
              <c:ext xmlns:c16="http://schemas.microsoft.com/office/drawing/2014/chart" uri="{C3380CC4-5D6E-409C-BE32-E72D297353CC}">
                <c16:uniqueId val="{00000222-66FB-4DD6-B810-B1991D3223B9}"/>
              </c:ext>
            </c:extLst>
          </c:dPt>
          <c:dPt>
            <c:idx val="16"/>
            <c:invertIfNegative val="0"/>
            <c:bubble3D val="0"/>
            <c:extLst>
              <c:ext xmlns:c16="http://schemas.microsoft.com/office/drawing/2014/chart" uri="{C3380CC4-5D6E-409C-BE32-E72D297353CC}">
                <c16:uniqueId val="{00000223-66FB-4DD6-B810-B1991D3223B9}"/>
              </c:ext>
            </c:extLst>
          </c:dPt>
          <c:dPt>
            <c:idx val="17"/>
            <c:invertIfNegative val="0"/>
            <c:bubble3D val="0"/>
            <c:extLst>
              <c:ext xmlns:c16="http://schemas.microsoft.com/office/drawing/2014/chart" uri="{C3380CC4-5D6E-409C-BE32-E72D297353CC}">
                <c16:uniqueId val="{00000224-66FB-4DD6-B810-B1991D3223B9}"/>
              </c:ext>
            </c:extLst>
          </c:dPt>
          <c:dPt>
            <c:idx val="18"/>
            <c:invertIfNegative val="0"/>
            <c:bubble3D val="0"/>
            <c:extLst>
              <c:ext xmlns:c16="http://schemas.microsoft.com/office/drawing/2014/chart" uri="{C3380CC4-5D6E-409C-BE32-E72D297353CC}">
                <c16:uniqueId val="{00000225-66FB-4DD6-B810-B1991D3223B9}"/>
              </c:ext>
            </c:extLst>
          </c:dPt>
          <c:dPt>
            <c:idx val="19"/>
            <c:invertIfNegative val="0"/>
            <c:bubble3D val="0"/>
            <c:extLst>
              <c:ext xmlns:c16="http://schemas.microsoft.com/office/drawing/2014/chart" uri="{C3380CC4-5D6E-409C-BE32-E72D297353CC}">
                <c16:uniqueId val="{00000226-66FB-4DD6-B810-B1991D3223B9}"/>
              </c:ext>
            </c:extLst>
          </c:dPt>
          <c:dPt>
            <c:idx val="20"/>
            <c:invertIfNegative val="0"/>
            <c:bubble3D val="0"/>
            <c:extLst>
              <c:ext xmlns:c16="http://schemas.microsoft.com/office/drawing/2014/chart" uri="{C3380CC4-5D6E-409C-BE32-E72D297353CC}">
                <c16:uniqueId val="{00000227-66FB-4DD6-B810-B1991D3223B9}"/>
              </c:ext>
            </c:extLst>
          </c:dPt>
          <c:dPt>
            <c:idx val="21"/>
            <c:invertIfNegative val="0"/>
            <c:bubble3D val="0"/>
            <c:extLst>
              <c:ext xmlns:c16="http://schemas.microsoft.com/office/drawing/2014/chart" uri="{C3380CC4-5D6E-409C-BE32-E72D297353CC}">
                <c16:uniqueId val="{00000228-66FB-4DD6-B810-B1991D3223B9}"/>
              </c:ext>
            </c:extLst>
          </c:dPt>
          <c:dPt>
            <c:idx val="22"/>
            <c:invertIfNegative val="0"/>
            <c:bubble3D val="0"/>
            <c:extLst>
              <c:ext xmlns:c16="http://schemas.microsoft.com/office/drawing/2014/chart" uri="{C3380CC4-5D6E-409C-BE32-E72D297353CC}">
                <c16:uniqueId val="{00000229-66FB-4DD6-B810-B1991D3223B9}"/>
              </c:ext>
            </c:extLst>
          </c:dPt>
          <c:dPt>
            <c:idx val="23"/>
            <c:invertIfNegative val="0"/>
            <c:bubble3D val="0"/>
            <c:extLst>
              <c:ext xmlns:c16="http://schemas.microsoft.com/office/drawing/2014/chart" uri="{C3380CC4-5D6E-409C-BE32-E72D297353CC}">
                <c16:uniqueId val="{0000022A-66FB-4DD6-B810-B1991D3223B9}"/>
              </c:ext>
            </c:extLst>
          </c:dPt>
          <c:dPt>
            <c:idx val="24"/>
            <c:invertIfNegative val="0"/>
            <c:bubble3D val="0"/>
            <c:extLst>
              <c:ext xmlns:c16="http://schemas.microsoft.com/office/drawing/2014/chart" uri="{C3380CC4-5D6E-409C-BE32-E72D297353CC}">
                <c16:uniqueId val="{0000022B-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Data'!$C$4:$X$4</c:f>
              <c:numCache>
                <c:formatCode>#,##0_ ;\-#,##0\ </c:formatCode>
                <c:ptCount val="22"/>
                <c:pt idx="0">
                  <c:v>32184.499307837919</c:v>
                </c:pt>
                <c:pt idx="1">
                  <c:v>32191.753509514339</c:v>
                </c:pt>
                <c:pt idx="2">
                  <c:v>32256.300686468989</c:v>
                </c:pt>
                <c:pt idx="3">
                  <c:v>32545.616636965606</c:v>
                </c:pt>
                <c:pt idx="4">
                  <c:v>30103.304089523237</c:v>
                </c:pt>
                <c:pt idx="5">
                  <c:v>29998.501592662647</c:v>
                </c:pt>
                <c:pt idx="6">
                  <c:v>32553.046982392421</c:v>
                </c:pt>
                <c:pt idx="7">
                  <c:v>32563.90355194451</c:v>
                </c:pt>
                <c:pt idx="8">
                  <c:v>28773.58408255114</c:v>
                </c:pt>
                <c:pt idx="9">
                  <c:v>32471.792321209621</c:v>
                </c:pt>
                <c:pt idx="10">
                  <c:v>28719.402290572209</c:v>
                </c:pt>
                <c:pt idx="11">
                  <c:v>28634.507799898878</c:v>
                </c:pt>
                <c:pt idx="12">
                  <c:v>32086.521190765947</c:v>
                </c:pt>
                <c:pt idx="13">
                  <c:v>32151.441502535421</c:v>
                </c:pt>
                <c:pt idx="14">
                  <c:v>22369.636801931982</c:v>
                </c:pt>
                <c:pt idx="15">
                  <c:v>22365.30557948802</c:v>
                </c:pt>
                <c:pt idx="16">
                  <c:v>22421.484399000354</c:v>
                </c:pt>
                <c:pt idx="17">
                  <c:v>22538.901509707452</c:v>
                </c:pt>
                <c:pt idx="18">
                  <c:v>18692.36366302934</c:v>
                </c:pt>
                <c:pt idx="19">
                  <c:v>22465.052082931779</c:v>
                </c:pt>
                <c:pt idx="20">
                  <c:v>18754.036659587022</c:v>
                </c:pt>
                <c:pt idx="21">
                  <c:v>18749.346128128262</c:v>
                </c:pt>
              </c:numCache>
            </c:numRef>
          </c:val>
          <c:extLst>
            <c:ext xmlns:c16="http://schemas.microsoft.com/office/drawing/2014/chart" uri="{C3380CC4-5D6E-409C-BE32-E72D297353CC}">
              <c16:uniqueId val="{0000022C-66FB-4DD6-B810-B1991D3223B9}"/>
            </c:ext>
          </c:extLst>
        </c:ser>
        <c:ser>
          <c:idx val="2"/>
          <c:order val="2"/>
          <c:tx>
            <c:strRef>
              <c:f>'NEMEnergyGenerated Data'!$B$5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22E-66FB-4DD6-B810-B1991D3223B9}"/>
              </c:ext>
            </c:extLst>
          </c:dPt>
          <c:dPt>
            <c:idx val="1"/>
            <c:invertIfNegative val="0"/>
            <c:bubble3D val="0"/>
            <c:extLst>
              <c:ext xmlns:c16="http://schemas.microsoft.com/office/drawing/2014/chart" uri="{C3380CC4-5D6E-409C-BE32-E72D297353CC}">
                <c16:uniqueId val="{0000022F-66FB-4DD6-B810-B1991D3223B9}"/>
              </c:ext>
            </c:extLst>
          </c:dPt>
          <c:dPt>
            <c:idx val="2"/>
            <c:invertIfNegative val="0"/>
            <c:bubble3D val="0"/>
            <c:extLst>
              <c:ext xmlns:c16="http://schemas.microsoft.com/office/drawing/2014/chart" uri="{C3380CC4-5D6E-409C-BE32-E72D297353CC}">
                <c16:uniqueId val="{00000230-66FB-4DD6-B810-B1991D3223B9}"/>
              </c:ext>
            </c:extLst>
          </c:dPt>
          <c:dPt>
            <c:idx val="3"/>
            <c:invertIfNegative val="0"/>
            <c:bubble3D val="0"/>
            <c:extLst>
              <c:ext xmlns:c16="http://schemas.microsoft.com/office/drawing/2014/chart" uri="{C3380CC4-5D6E-409C-BE32-E72D297353CC}">
                <c16:uniqueId val="{00000231-66FB-4DD6-B810-B1991D3223B9}"/>
              </c:ext>
            </c:extLst>
          </c:dPt>
          <c:dPt>
            <c:idx val="4"/>
            <c:invertIfNegative val="0"/>
            <c:bubble3D val="0"/>
            <c:extLst>
              <c:ext xmlns:c16="http://schemas.microsoft.com/office/drawing/2014/chart" uri="{C3380CC4-5D6E-409C-BE32-E72D297353CC}">
                <c16:uniqueId val="{00000232-66FB-4DD6-B810-B1991D3223B9}"/>
              </c:ext>
            </c:extLst>
          </c:dPt>
          <c:dPt>
            <c:idx val="5"/>
            <c:invertIfNegative val="0"/>
            <c:bubble3D val="0"/>
            <c:extLst>
              <c:ext xmlns:c16="http://schemas.microsoft.com/office/drawing/2014/chart" uri="{C3380CC4-5D6E-409C-BE32-E72D297353CC}">
                <c16:uniqueId val="{00000233-66FB-4DD6-B810-B1991D3223B9}"/>
              </c:ext>
            </c:extLst>
          </c:dPt>
          <c:dPt>
            <c:idx val="6"/>
            <c:invertIfNegative val="0"/>
            <c:bubble3D val="0"/>
            <c:extLst>
              <c:ext xmlns:c16="http://schemas.microsoft.com/office/drawing/2014/chart" uri="{C3380CC4-5D6E-409C-BE32-E72D297353CC}">
                <c16:uniqueId val="{00000234-66FB-4DD6-B810-B1991D3223B9}"/>
              </c:ext>
            </c:extLst>
          </c:dPt>
          <c:dPt>
            <c:idx val="7"/>
            <c:invertIfNegative val="0"/>
            <c:bubble3D val="0"/>
            <c:extLst>
              <c:ext xmlns:c16="http://schemas.microsoft.com/office/drawing/2014/chart" uri="{C3380CC4-5D6E-409C-BE32-E72D297353CC}">
                <c16:uniqueId val="{00000235-66FB-4DD6-B810-B1991D3223B9}"/>
              </c:ext>
            </c:extLst>
          </c:dPt>
          <c:dPt>
            <c:idx val="8"/>
            <c:invertIfNegative val="0"/>
            <c:bubble3D val="0"/>
            <c:extLst>
              <c:ext xmlns:c16="http://schemas.microsoft.com/office/drawing/2014/chart" uri="{C3380CC4-5D6E-409C-BE32-E72D297353CC}">
                <c16:uniqueId val="{00000236-66FB-4DD6-B810-B1991D3223B9}"/>
              </c:ext>
            </c:extLst>
          </c:dPt>
          <c:dPt>
            <c:idx val="9"/>
            <c:invertIfNegative val="0"/>
            <c:bubble3D val="0"/>
            <c:extLst>
              <c:ext xmlns:c16="http://schemas.microsoft.com/office/drawing/2014/chart" uri="{C3380CC4-5D6E-409C-BE32-E72D297353CC}">
                <c16:uniqueId val="{00000237-66FB-4DD6-B810-B1991D3223B9}"/>
              </c:ext>
            </c:extLst>
          </c:dPt>
          <c:dPt>
            <c:idx val="10"/>
            <c:invertIfNegative val="0"/>
            <c:bubble3D val="0"/>
            <c:extLst>
              <c:ext xmlns:c16="http://schemas.microsoft.com/office/drawing/2014/chart" uri="{C3380CC4-5D6E-409C-BE32-E72D297353CC}">
                <c16:uniqueId val="{00000238-66FB-4DD6-B810-B1991D3223B9}"/>
              </c:ext>
            </c:extLst>
          </c:dPt>
          <c:dPt>
            <c:idx val="11"/>
            <c:invertIfNegative val="0"/>
            <c:bubble3D val="0"/>
            <c:extLst>
              <c:ext xmlns:c16="http://schemas.microsoft.com/office/drawing/2014/chart" uri="{C3380CC4-5D6E-409C-BE32-E72D297353CC}">
                <c16:uniqueId val="{00000239-66FB-4DD6-B810-B1991D3223B9}"/>
              </c:ext>
            </c:extLst>
          </c:dPt>
          <c:dPt>
            <c:idx val="12"/>
            <c:invertIfNegative val="0"/>
            <c:bubble3D val="0"/>
            <c:extLst>
              <c:ext xmlns:c16="http://schemas.microsoft.com/office/drawing/2014/chart" uri="{C3380CC4-5D6E-409C-BE32-E72D297353CC}">
                <c16:uniqueId val="{0000023A-66FB-4DD6-B810-B1991D3223B9}"/>
              </c:ext>
            </c:extLst>
          </c:dPt>
          <c:dPt>
            <c:idx val="13"/>
            <c:invertIfNegative val="0"/>
            <c:bubble3D val="0"/>
            <c:extLst>
              <c:ext xmlns:c16="http://schemas.microsoft.com/office/drawing/2014/chart" uri="{C3380CC4-5D6E-409C-BE32-E72D297353CC}">
                <c16:uniqueId val="{0000023B-66FB-4DD6-B810-B1991D3223B9}"/>
              </c:ext>
            </c:extLst>
          </c:dPt>
          <c:dPt>
            <c:idx val="14"/>
            <c:invertIfNegative val="0"/>
            <c:bubble3D val="0"/>
            <c:extLst>
              <c:ext xmlns:c16="http://schemas.microsoft.com/office/drawing/2014/chart" uri="{C3380CC4-5D6E-409C-BE32-E72D297353CC}">
                <c16:uniqueId val="{0000023C-66FB-4DD6-B810-B1991D3223B9}"/>
              </c:ext>
            </c:extLst>
          </c:dPt>
          <c:dPt>
            <c:idx val="15"/>
            <c:invertIfNegative val="0"/>
            <c:bubble3D val="0"/>
            <c:extLst>
              <c:ext xmlns:c16="http://schemas.microsoft.com/office/drawing/2014/chart" uri="{C3380CC4-5D6E-409C-BE32-E72D297353CC}">
                <c16:uniqueId val="{0000023D-66FB-4DD6-B810-B1991D3223B9}"/>
              </c:ext>
            </c:extLst>
          </c:dPt>
          <c:dPt>
            <c:idx val="16"/>
            <c:invertIfNegative val="0"/>
            <c:bubble3D val="0"/>
            <c:extLst>
              <c:ext xmlns:c16="http://schemas.microsoft.com/office/drawing/2014/chart" uri="{C3380CC4-5D6E-409C-BE32-E72D297353CC}">
                <c16:uniqueId val="{0000023E-66FB-4DD6-B810-B1991D3223B9}"/>
              </c:ext>
            </c:extLst>
          </c:dPt>
          <c:dPt>
            <c:idx val="17"/>
            <c:invertIfNegative val="0"/>
            <c:bubble3D val="0"/>
            <c:extLst>
              <c:ext xmlns:c16="http://schemas.microsoft.com/office/drawing/2014/chart" uri="{C3380CC4-5D6E-409C-BE32-E72D297353CC}">
                <c16:uniqueId val="{0000023F-66FB-4DD6-B810-B1991D3223B9}"/>
              </c:ext>
            </c:extLst>
          </c:dPt>
          <c:dPt>
            <c:idx val="18"/>
            <c:invertIfNegative val="0"/>
            <c:bubble3D val="0"/>
            <c:extLst>
              <c:ext xmlns:c16="http://schemas.microsoft.com/office/drawing/2014/chart" uri="{C3380CC4-5D6E-409C-BE32-E72D297353CC}">
                <c16:uniqueId val="{00000240-66FB-4DD6-B810-B1991D3223B9}"/>
              </c:ext>
            </c:extLst>
          </c:dPt>
          <c:dPt>
            <c:idx val="19"/>
            <c:invertIfNegative val="0"/>
            <c:bubble3D val="0"/>
            <c:extLst>
              <c:ext xmlns:c16="http://schemas.microsoft.com/office/drawing/2014/chart" uri="{C3380CC4-5D6E-409C-BE32-E72D297353CC}">
                <c16:uniqueId val="{00000241-66FB-4DD6-B810-B1991D3223B9}"/>
              </c:ext>
            </c:extLst>
          </c:dPt>
          <c:dPt>
            <c:idx val="20"/>
            <c:invertIfNegative val="0"/>
            <c:bubble3D val="0"/>
            <c:extLst>
              <c:ext xmlns:c16="http://schemas.microsoft.com/office/drawing/2014/chart" uri="{C3380CC4-5D6E-409C-BE32-E72D297353CC}">
                <c16:uniqueId val="{00000242-66FB-4DD6-B810-B1991D3223B9}"/>
              </c:ext>
            </c:extLst>
          </c:dPt>
          <c:dPt>
            <c:idx val="21"/>
            <c:invertIfNegative val="0"/>
            <c:bubble3D val="0"/>
            <c:extLst>
              <c:ext xmlns:c16="http://schemas.microsoft.com/office/drawing/2014/chart" uri="{C3380CC4-5D6E-409C-BE32-E72D297353CC}">
                <c16:uniqueId val="{00000243-66FB-4DD6-B810-B1991D3223B9}"/>
              </c:ext>
            </c:extLst>
          </c:dPt>
          <c:dPt>
            <c:idx val="22"/>
            <c:invertIfNegative val="0"/>
            <c:bubble3D val="0"/>
            <c:extLst>
              <c:ext xmlns:c16="http://schemas.microsoft.com/office/drawing/2014/chart" uri="{C3380CC4-5D6E-409C-BE32-E72D297353CC}">
                <c16:uniqueId val="{00000244-66FB-4DD6-B810-B1991D3223B9}"/>
              </c:ext>
            </c:extLst>
          </c:dPt>
          <c:dPt>
            <c:idx val="23"/>
            <c:invertIfNegative val="0"/>
            <c:bubble3D val="0"/>
            <c:extLst>
              <c:ext xmlns:c16="http://schemas.microsoft.com/office/drawing/2014/chart" uri="{C3380CC4-5D6E-409C-BE32-E72D297353CC}">
                <c16:uniqueId val="{00000245-66FB-4DD6-B810-B1991D3223B9}"/>
              </c:ext>
            </c:extLst>
          </c:dPt>
          <c:dPt>
            <c:idx val="24"/>
            <c:invertIfNegative val="0"/>
            <c:bubble3D val="0"/>
            <c:extLst>
              <c:ext xmlns:c16="http://schemas.microsoft.com/office/drawing/2014/chart" uri="{C3380CC4-5D6E-409C-BE32-E72D297353CC}">
                <c16:uniqueId val="{00000246-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Data'!$C$5:$X$5</c:f>
              <c:numCache>
                <c:formatCode>#,##0_ ;\-#,##0\ </c:formatCode>
                <c:ptCount val="22"/>
                <c:pt idx="0">
                  <c:v>15797.150798448924</c:v>
                </c:pt>
                <c:pt idx="1">
                  <c:v>15840.43066365019</c:v>
                </c:pt>
                <c:pt idx="2">
                  <c:v>15797.150798448811</c:v>
                </c:pt>
                <c:pt idx="3">
                  <c:v>15797.1507984489</c:v>
                </c:pt>
                <c:pt idx="4">
                  <c:v>15797.15079844916</c:v>
                </c:pt>
                <c:pt idx="5">
                  <c:v>15840.430663650131</c:v>
                </c:pt>
                <c:pt idx="6">
                  <c:v>15729.268557402942</c:v>
                </c:pt>
                <c:pt idx="7">
                  <c:v>15797.150798448982</c:v>
                </c:pt>
                <c:pt idx="8">
                  <c:v>15797.150798448922</c:v>
                </c:pt>
                <c:pt idx="9">
                  <c:v>15840.430663650113</c:v>
                </c:pt>
                <c:pt idx="10">
                  <c:v>15797.150798449022</c:v>
                </c:pt>
                <c:pt idx="11">
                  <c:v>15797.150798449091</c:v>
                </c:pt>
                <c:pt idx="12">
                  <c:v>15797.150798448982</c:v>
                </c:pt>
                <c:pt idx="13">
                  <c:v>15840.430663650119</c:v>
                </c:pt>
                <c:pt idx="14">
                  <c:v>15797.150798448971</c:v>
                </c:pt>
                <c:pt idx="15">
                  <c:v>15797.150798448971</c:v>
                </c:pt>
                <c:pt idx="16">
                  <c:v>15797.150798449062</c:v>
                </c:pt>
                <c:pt idx="17">
                  <c:v>15840.430663650202</c:v>
                </c:pt>
                <c:pt idx="18">
                  <c:v>15797.150798449033</c:v>
                </c:pt>
                <c:pt idx="19">
                  <c:v>15797.150798449111</c:v>
                </c:pt>
                <c:pt idx="20">
                  <c:v>15797.150798448942</c:v>
                </c:pt>
                <c:pt idx="21">
                  <c:v>15840.430663650151</c:v>
                </c:pt>
              </c:numCache>
            </c:numRef>
          </c:val>
          <c:extLst>
            <c:ext xmlns:c16="http://schemas.microsoft.com/office/drawing/2014/chart" uri="{C3380CC4-5D6E-409C-BE32-E72D297353CC}">
              <c16:uniqueId val="{00000247-66FB-4DD6-B810-B1991D3223B9}"/>
            </c:ext>
          </c:extLst>
        </c:ser>
        <c:ser>
          <c:idx val="3"/>
          <c:order val="3"/>
          <c:tx>
            <c:strRef>
              <c:f>'NEMEnergyGenerated Data'!$B$6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249-66FB-4DD6-B810-B1991D3223B9}"/>
              </c:ext>
            </c:extLst>
          </c:dPt>
          <c:dPt>
            <c:idx val="1"/>
            <c:invertIfNegative val="0"/>
            <c:bubble3D val="0"/>
            <c:extLst>
              <c:ext xmlns:c16="http://schemas.microsoft.com/office/drawing/2014/chart" uri="{C3380CC4-5D6E-409C-BE32-E72D297353CC}">
                <c16:uniqueId val="{0000024A-66FB-4DD6-B810-B1991D3223B9}"/>
              </c:ext>
            </c:extLst>
          </c:dPt>
          <c:dPt>
            <c:idx val="2"/>
            <c:invertIfNegative val="0"/>
            <c:bubble3D val="0"/>
            <c:extLst>
              <c:ext xmlns:c16="http://schemas.microsoft.com/office/drawing/2014/chart" uri="{C3380CC4-5D6E-409C-BE32-E72D297353CC}">
                <c16:uniqueId val="{0000024B-66FB-4DD6-B810-B1991D3223B9}"/>
              </c:ext>
            </c:extLst>
          </c:dPt>
          <c:dPt>
            <c:idx val="3"/>
            <c:invertIfNegative val="0"/>
            <c:bubble3D val="0"/>
            <c:extLst>
              <c:ext xmlns:c16="http://schemas.microsoft.com/office/drawing/2014/chart" uri="{C3380CC4-5D6E-409C-BE32-E72D297353CC}">
                <c16:uniqueId val="{0000024C-66FB-4DD6-B810-B1991D3223B9}"/>
              </c:ext>
            </c:extLst>
          </c:dPt>
          <c:dPt>
            <c:idx val="4"/>
            <c:invertIfNegative val="0"/>
            <c:bubble3D val="0"/>
            <c:extLst>
              <c:ext xmlns:c16="http://schemas.microsoft.com/office/drawing/2014/chart" uri="{C3380CC4-5D6E-409C-BE32-E72D297353CC}">
                <c16:uniqueId val="{0000024D-66FB-4DD6-B810-B1991D3223B9}"/>
              </c:ext>
            </c:extLst>
          </c:dPt>
          <c:dPt>
            <c:idx val="5"/>
            <c:invertIfNegative val="0"/>
            <c:bubble3D val="0"/>
            <c:extLst>
              <c:ext xmlns:c16="http://schemas.microsoft.com/office/drawing/2014/chart" uri="{C3380CC4-5D6E-409C-BE32-E72D297353CC}">
                <c16:uniqueId val="{0000024E-66FB-4DD6-B810-B1991D3223B9}"/>
              </c:ext>
            </c:extLst>
          </c:dPt>
          <c:dPt>
            <c:idx val="6"/>
            <c:invertIfNegative val="0"/>
            <c:bubble3D val="0"/>
            <c:extLst>
              <c:ext xmlns:c16="http://schemas.microsoft.com/office/drawing/2014/chart" uri="{C3380CC4-5D6E-409C-BE32-E72D297353CC}">
                <c16:uniqueId val="{0000024F-66FB-4DD6-B810-B1991D3223B9}"/>
              </c:ext>
            </c:extLst>
          </c:dPt>
          <c:dPt>
            <c:idx val="7"/>
            <c:invertIfNegative val="0"/>
            <c:bubble3D val="0"/>
            <c:extLst>
              <c:ext xmlns:c16="http://schemas.microsoft.com/office/drawing/2014/chart" uri="{C3380CC4-5D6E-409C-BE32-E72D297353CC}">
                <c16:uniqueId val="{00000250-66FB-4DD6-B810-B1991D3223B9}"/>
              </c:ext>
            </c:extLst>
          </c:dPt>
          <c:dPt>
            <c:idx val="8"/>
            <c:invertIfNegative val="0"/>
            <c:bubble3D val="0"/>
            <c:extLst>
              <c:ext xmlns:c16="http://schemas.microsoft.com/office/drawing/2014/chart" uri="{C3380CC4-5D6E-409C-BE32-E72D297353CC}">
                <c16:uniqueId val="{00000251-66FB-4DD6-B810-B1991D3223B9}"/>
              </c:ext>
            </c:extLst>
          </c:dPt>
          <c:dPt>
            <c:idx val="9"/>
            <c:invertIfNegative val="0"/>
            <c:bubble3D val="0"/>
            <c:extLst>
              <c:ext xmlns:c16="http://schemas.microsoft.com/office/drawing/2014/chart" uri="{C3380CC4-5D6E-409C-BE32-E72D297353CC}">
                <c16:uniqueId val="{00000252-66FB-4DD6-B810-B1991D3223B9}"/>
              </c:ext>
            </c:extLst>
          </c:dPt>
          <c:dPt>
            <c:idx val="10"/>
            <c:invertIfNegative val="0"/>
            <c:bubble3D val="0"/>
            <c:extLst>
              <c:ext xmlns:c16="http://schemas.microsoft.com/office/drawing/2014/chart" uri="{C3380CC4-5D6E-409C-BE32-E72D297353CC}">
                <c16:uniqueId val="{00000253-66FB-4DD6-B810-B1991D3223B9}"/>
              </c:ext>
            </c:extLst>
          </c:dPt>
          <c:dPt>
            <c:idx val="11"/>
            <c:invertIfNegative val="0"/>
            <c:bubble3D val="0"/>
            <c:extLst>
              <c:ext xmlns:c16="http://schemas.microsoft.com/office/drawing/2014/chart" uri="{C3380CC4-5D6E-409C-BE32-E72D297353CC}">
                <c16:uniqueId val="{00000254-66FB-4DD6-B810-B1991D3223B9}"/>
              </c:ext>
            </c:extLst>
          </c:dPt>
          <c:dPt>
            <c:idx val="12"/>
            <c:invertIfNegative val="0"/>
            <c:bubble3D val="0"/>
            <c:extLst>
              <c:ext xmlns:c16="http://schemas.microsoft.com/office/drawing/2014/chart" uri="{C3380CC4-5D6E-409C-BE32-E72D297353CC}">
                <c16:uniqueId val="{00000255-66FB-4DD6-B810-B1991D3223B9}"/>
              </c:ext>
            </c:extLst>
          </c:dPt>
          <c:dPt>
            <c:idx val="13"/>
            <c:invertIfNegative val="0"/>
            <c:bubble3D val="0"/>
            <c:extLst>
              <c:ext xmlns:c16="http://schemas.microsoft.com/office/drawing/2014/chart" uri="{C3380CC4-5D6E-409C-BE32-E72D297353CC}">
                <c16:uniqueId val="{00000256-66FB-4DD6-B810-B1991D3223B9}"/>
              </c:ext>
            </c:extLst>
          </c:dPt>
          <c:dPt>
            <c:idx val="14"/>
            <c:invertIfNegative val="0"/>
            <c:bubble3D val="0"/>
            <c:extLst>
              <c:ext xmlns:c16="http://schemas.microsoft.com/office/drawing/2014/chart" uri="{C3380CC4-5D6E-409C-BE32-E72D297353CC}">
                <c16:uniqueId val="{00000257-66FB-4DD6-B810-B1991D3223B9}"/>
              </c:ext>
            </c:extLst>
          </c:dPt>
          <c:dPt>
            <c:idx val="15"/>
            <c:invertIfNegative val="0"/>
            <c:bubble3D val="0"/>
            <c:extLst>
              <c:ext xmlns:c16="http://schemas.microsoft.com/office/drawing/2014/chart" uri="{C3380CC4-5D6E-409C-BE32-E72D297353CC}">
                <c16:uniqueId val="{00000258-66FB-4DD6-B810-B1991D3223B9}"/>
              </c:ext>
            </c:extLst>
          </c:dPt>
          <c:dPt>
            <c:idx val="16"/>
            <c:invertIfNegative val="0"/>
            <c:bubble3D val="0"/>
            <c:extLst>
              <c:ext xmlns:c16="http://schemas.microsoft.com/office/drawing/2014/chart" uri="{C3380CC4-5D6E-409C-BE32-E72D297353CC}">
                <c16:uniqueId val="{00000259-66FB-4DD6-B810-B1991D3223B9}"/>
              </c:ext>
            </c:extLst>
          </c:dPt>
          <c:dPt>
            <c:idx val="17"/>
            <c:invertIfNegative val="0"/>
            <c:bubble3D val="0"/>
            <c:extLst>
              <c:ext xmlns:c16="http://schemas.microsoft.com/office/drawing/2014/chart" uri="{C3380CC4-5D6E-409C-BE32-E72D297353CC}">
                <c16:uniqueId val="{0000025A-66FB-4DD6-B810-B1991D3223B9}"/>
              </c:ext>
            </c:extLst>
          </c:dPt>
          <c:dPt>
            <c:idx val="18"/>
            <c:invertIfNegative val="0"/>
            <c:bubble3D val="0"/>
            <c:extLst>
              <c:ext xmlns:c16="http://schemas.microsoft.com/office/drawing/2014/chart" uri="{C3380CC4-5D6E-409C-BE32-E72D297353CC}">
                <c16:uniqueId val="{0000025B-66FB-4DD6-B810-B1991D3223B9}"/>
              </c:ext>
            </c:extLst>
          </c:dPt>
          <c:dPt>
            <c:idx val="19"/>
            <c:invertIfNegative val="0"/>
            <c:bubble3D val="0"/>
            <c:extLst>
              <c:ext xmlns:c16="http://schemas.microsoft.com/office/drawing/2014/chart" uri="{C3380CC4-5D6E-409C-BE32-E72D297353CC}">
                <c16:uniqueId val="{0000025C-66FB-4DD6-B810-B1991D3223B9}"/>
              </c:ext>
            </c:extLst>
          </c:dPt>
          <c:dPt>
            <c:idx val="20"/>
            <c:invertIfNegative val="0"/>
            <c:bubble3D val="0"/>
            <c:extLst>
              <c:ext xmlns:c16="http://schemas.microsoft.com/office/drawing/2014/chart" uri="{C3380CC4-5D6E-409C-BE32-E72D297353CC}">
                <c16:uniqueId val="{0000025D-66FB-4DD6-B810-B1991D3223B9}"/>
              </c:ext>
            </c:extLst>
          </c:dPt>
          <c:dPt>
            <c:idx val="21"/>
            <c:invertIfNegative val="0"/>
            <c:bubble3D val="0"/>
            <c:extLst>
              <c:ext xmlns:c16="http://schemas.microsoft.com/office/drawing/2014/chart" uri="{C3380CC4-5D6E-409C-BE32-E72D297353CC}">
                <c16:uniqueId val="{0000025E-66FB-4DD6-B810-B1991D3223B9}"/>
              </c:ext>
            </c:extLst>
          </c:dPt>
          <c:dPt>
            <c:idx val="22"/>
            <c:invertIfNegative val="0"/>
            <c:bubble3D val="0"/>
            <c:extLst>
              <c:ext xmlns:c16="http://schemas.microsoft.com/office/drawing/2014/chart" uri="{C3380CC4-5D6E-409C-BE32-E72D297353CC}">
                <c16:uniqueId val="{0000025F-66FB-4DD6-B810-B1991D3223B9}"/>
              </c:ext>
            </c:extLst>
          </c:dPt>
          <c:dPt>
            <c:idx val="23"/>
            <c:invertIfNegative val="0"/>
            <c:bubble3D val="0"/>
            <c:extLst>
              <c:ext xmlns:c16="http://schemas.microsoft.com/office/drawing/2014/chart" uri="{C3380CC4-5D6E-409C-BE32-E72D297353CC}">
                <c16:uniqueId val="{00000260-66FB-4DD6-B810-B1991D3223B9}"/>
              </c:ext>
            </c:extLst>
          </c:dPt>
          <c:dPt>
            <c:idx val="24"/>
            <c:invertIfNegative val="0"/>
            <c:bubble3D val="0"/>
            <c:extLst>
              <c:ext xmlns:c16="http://schemas.microsoft.com/office/drawing/2014/chart" uri="{C3380CC4-5D6E-409C-BE32-E72D297353CC}">
                <c16:uniqueId val="{00000261-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Data'!$C$6:$X$6</c:f>
              <c:numCache>
                <c:formatCode>#,##0_ ;\-#,##0\ </c:formatCode>
                <c:ptCount val="22"/>
                <c:pt idx="0">
                  <c:v>14101</c:v>
                </c:pt>
                <c:pt idx="1">
                  <c:v>11137</c:v>
                </c:pt>
                <c:pt idx="2">
                  <c:v>11048</c:v>
                </c:pt>
                <c:pt idx="3">
                  <c:v>6262</c:v>
                </c:pt>
                <c:pt idx="4">
                  <c:v>9568</c:v>
                </c:pt>
                <c:pt idx="5">
                  <c:v>8547</c:v>
                </c:pt>
                <c:pt idx="6">
                  <c:v>3959</c:v>
                </c:pt>
                <c:pt idx="7">
                  <c:v>5820</c:v>
                </c:pt>
                <c:pt idx="8">
                  <c:v>8197</c:v>
                </c:pt>
                <c:pt idx="9">
                  <c:v>4855</c:v>
                </c:pt>
                <c:pt idx="10">
                  <c:v>7328</c:v>
                </c:pt>
                <c:pt idx="11">
                  <c:v>9767</c:v>
                </c:pt>
                <c:pt idx="12">
                  <c:v>9173</c:v>
                </c:pt>
                <c:pt idx="13">
                  <c:v>12114</c:v>
                </c:pt>
                <c:pt idx="14">
                  <c:v>16925</c:v>
                </c:pt>
                <c:pt idx="15">
                  <c:v>17562</c:v>
                </c:pt>
                <c:pt idx="16">
                  <c:v>29931</c:v>
                </c:pt>
                <c:pt idx="17">
                  <c:v>45845</c:v>
                </c:pt>
                <c:pt idx="18">
                  <c:v>52906</c:v>
                </c:pt>
                <c:pt idx="19">
                  <c:v>52386</c:v>
                </c:pt>
                <c:pt idx="20">
                  <c:v>53456</c:v>
                </c:pt>
                <c:pt idx="21">
                  <c:v>53380</c:v>
                </c:pt>
              </c:numCache>
            </c:numRef>
          </c:val>
          <c:extLst>
            <c:ext xmlns:c16="http://schemas.microsoft.com/office/drawing/2014/chart" uri="{C3380CC4-5D6E-409C-BE32-E72D297353CC}">
              <c16:uniqueId val="{00000262-66FB-4DD6-B810-B1991D3223B9}"/>
            </c:ext>
          </c:extLst>
        </c:ser>
        <c:ser>
          <c:idx val="4"/>
          <c:order val="4"/>
          <c:tx>
            <c:strRef>
              <c:f>'NEMEnergyGenerated Data'!$B$7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264-66FB-4DD6-B810-B1991D3223B9}"/>
              </c:ext>
            </c:extLst>
          </c:dPt>
          <c:dPt>
            <c:idx val="1"/>
            <c:invertIfNegative val="0"/>
            <c:bubble3D val="0"/>
            <c:extLst>
              <c:ext xmlns:c16="http://schemas.microsoft.com/office/drawing/2014/chart" uri="{C3380CC4-5D6E-409C-BE32-E72D297353CC}">
                <c16:uniqueId val="{00000265-66FB-4DD6-B810-B1991D3223B9}"/>
              </c:ext>
            </c:extLst>
          </c:dPt>
          <c:dPt>
            <c:idx val="2"/>
            <c:invertIfNegative val="0"/>
            <c:bubble3D val="0"/>
            <c:extLst>
              <c:ext xmlns:c16="http://schemas.microsoft.com/office/drawing/2014/chart" uri="{C3380CC4-5D6E-409C-BE32-E72D297353CC}">
                <c16:uniqueId val="{00000266-66FB-4DD6-B810-B1991D3223B9}"/>
              </c:ext>
            </c:extLst>
          </c:dPt>
          <c:dPt>
            <c:idx val="3"/>
            <c:invertIfNegative val="0"/>
            <c:bubble3D val="0"/>
            <c:extLst>
              <c:ext xmlns:c16="http://schemas.microsoft.com/office/drawing/2014/chart" uri="{C3380CC4-5D6E-409C-BE32-E72D297353CC}">
                <c16:uniqueId val="{00000267-66FB-4DD6-B810-B1991D3223B9}"/>
              </c:ext>
            </c:extLst>
          </c:dPt>
          <c:dPt>
            <c:idx val="4"/>
            <c:invertIfNegative val="0"/>
            <c:bubble3D val="0"/>
            <c:extLst>
              <c:ext xmlns:c16="http://schemas.microsoft.com/office/drawing/2014/chart" uri="{C3380CC4-5D6E-409C-BE32-E72D297353CC}">
                <c16:uniqueId val="{00000268-66FB-4DD6-B810-B1991D3223B9}"/>
              </c:ext>
            </c:extLst>
          </c:dPt>
          <c:dPt>
            <c:idx val="5"/>
            <c:invertIfNegative val="0"/>
            <c:bubble3D val="0"/>
            <c:extLst>
              <c:ext xmlns:c16="http://schemas.microsoft.com/office/drawing/2014/chart" uri="{C3380CC4-5D6E-409C-BE32-E72D297353CC}">
                <c16:uniqueId val="{00000269-66FB-4DD6-B810-B1991D3223B9}"/>
              </c:ext>
            </c:extLst>
          </c:dPt>
          <c:dPt>
            <c:idx val="6"/>
            <c:invertIfNegative val="0"/>
            <c:bubble3D val="0"/>
            <c:extLst>
              <c:ext xmlns:c16="http://schemas.microsoft.com/office/drawing/2014/chart" uri="{C3380CC4-5D6E-409C-BE32-E72D297353CC}">
                <c16:uniqueId val="{0000026A-66FB-4DD6-B810-B1991D3223B9}"/>
              </c:ext>
            </c:extLst>
          </c:dPt>
          <c:dPt>
            <c:idx val="7"/>
            <c:invertIfNegative val="0"/>
            <c:bubble3D val="0"/>
            <c:extLst>
              <c:ext xmlns:c16="http://schemas.microsoft.com/office/drawing/2014/chart" uri="{C3380CC4-5D6E-409C-BE32-E72D297353CC}">
                <c16:uniqueId val="{0000026B-66FB-4DD6-B810-B1991D3223B9}"/>
              </c:ext>
            </c:extLst>
          </c:dPt>
          <c:dPt>
            <c:idx val="8"/>
            <c:invertIfNegative val="0"/>
            <c:bubble3D val="0"/>
            <c:extLst>
              <c:ext xmlns:c16="http://schemas.microsoft.com/office/drawing/2014/chart" uri="{C3380CC4-5D6E-409C-BE32-E72D297353CC}">
                <c16:uniqueId val="{0000026C-66FB-4DD6-B810-B1991D3223B9}"/>
              </c:ext>
            </c:extLst>
          </c:dPt>
          <c:dPt>
            <c:idx val="9"/>
            <c:invertIfNegative val="0"/>
            <c:bubble3D val="0"/>
            <c:extLst>
              <c:ext xmlns:c16="http://schemas.microsoft.com/office/drawing/2014/chart" uri="{C3380CC4-5D6E-409C-BE32-E72D297353CC}">
                <c16:uniqueId val="{0000026D-66FB-4DD6-B810-B1991D3223B9}"/>
              </c:ext>
            </c:extLst>
          </c:dPt>
          <c:dPt>
            <c:idx val="10"/>
            <c:invertIfNegative val="0"/>
            <c:bubble3D val="0"/>
            <c:extLst>
              <c:ext xmlns:c16="http://schemas.microsoft.com/office/drawing/2014/chart" uri="{C3380CC4-5D6E-409C-BE32-E72D297353CC}">
                <c16:uniqueId val="{0000026E-66FB-4DD6-B810-B1991D3223B9}"/>
              </c:ext>
            </c:extLst>
          </c:dPt>
          <c:dPt>
            <c:idx val="11"/>
            <c:invertIfNegative val="0"/>
            <c:bubble3D val="0"/>
            <c:extLst>
              <c:ext xmlns:c16="http://schemas.microsoft.com/office/drawing/2014/chart" uri="{C3380CC4-5D6E-409C-BE32-E72D297353CC}">
                <c16:uniqueId val="{0000026F-66FB-4DD6-B810-B1991D3223B9}"/>
              </c:ext>
            </c:extLst>
          </c:dPt>
          <c:dPt>
            <c:idx val="12"/>
            <c:invertIfNegative val="0"/>
            <c:bubble3D val="0"/>
            <c:extLst>
              <c:ext xmlns:c16="http://schemas.microsoft.com/office/drawing/2014/chart" uri="{C3380CC4-5D6E-409C-BE32-E72D297353CC}">
                <c16:uniqueId val="{00000270-66FB-4DD6-B810-B1991D3223B9}"/>
              </c:ext>
            </c:extLst>
          </c:dPt>
          <c:dPt>
            <c:idx val="13"/>
            <c:invertIfNegative val="0"/>
            <c:bubble3D val="0"/>
            <c:extLst>
              <c:ext xmlns:c16="http://schemas.microsoft.com/office/drawing/2014/chart" uri="{C3380CC4-5D6E-409C-BE32-E72D297353CC}">
                <c16:uniqueId val="{00000271-66FB-4DD6-B810-B1991D3223B9}"/>
              </c:ext>
            </c:extLst>
          </c:dPt>
          <c:dPt>
            <c:idx val="14"/>
            <c:invertIfNegative val="0"/>
            <c:bubble3D val="0"/>
            <c:extLst>
              <c:ext xmlns:c16="http://schemas.microsoft.com/office/drawing/2014/chart" uri="{C3380CC4-5D6E-409C-BE32-E72D297353CC}">
                <c16:uniqueId val="{00000272-66FB-4DD6-B810-B1991D3223B9}"/>
              </c:ext>
            </c:extLst>
          </c:dPt>
          <c:dPt>
            <c:idx val="15"/>
            <c:invertIfNegative val="0"/>
            <c:bubble3D val="0"/>
            <c:extLst>
              <c:ext xmlns:c16="http://schemas.microsoft.com/office/drawing/2014/chart" uri="{C3380CC4-5D6E-409C-BE32-E72D297353CC}">
                <c16:uniqueId val="{00000273-66FB-4DD6-B810-B1991D3223B9}"/>
              </c:ext>
            </c:extLst>
          </c:dPt>
          <c:dPt>
            <c:idx val="16"/>
            <c:invertIfNegative val="0"/>
            <c:bubble3D val="0"/>
            <c:extLst>
              <c:ext xmlns:c16="http://schemas.microsoft.com/office/drawing/2014/chart" uri="{C3380CC4-5D6E-409C-BE32-E72D297353CC}">
                <c16:uniqueId val="{00000274-66FB-4DD6-B810-B1991D3223B9}"/>
              </c:ext>
            </c:extLst>
          </c:dPt>
          <c:dPt>
            <c:idx val="17"/>
            <c:invertIfNegative val="0"/>
            <c:bubble3D val="0"/>
            <c:extLst>
              <c:ext xmlns:c16="http://schemas.microsoft.com/office/drawing/2014/chart" uri="{C3380CC4-5D6E-409C-BE32-E72D297353CC}">
                <c16:uniqueId val="{00000275-66FB-4DD6-B810-B1991D3223B9}"/>
              </c:ext>
            </c:extLst>
          </c:dPt>
          <c:dPt>
            <c:idx val="18"/>
            <c:invertIfNegative val="0"/>
            <c:bubble3D val="0"/>
            <c:extLst>
              <c:ext xmlns:c16="http://schemas.microsoft.com/office/drawing/2014/chart" uri="{C3380CC4-5D6E-409C-BE32-E72D297353CC}">
                <c16:uniqueId val="{00000276-66FB-4DD6-B810-B1991D3223B9}"/>
              </c:ext>
            </c:extLst>
          </c:dPt>
          <c:dPt>
            <c:idx val="19"/>
            <c:invertIfNegative val="0"/>
            <c:bubble3D val="0"/>
            <c:extLst>
              <c:ext xmlns:c16="http://schemas.microsoft.com/office/drawing/2014/chart" uri="{C3380CC4-5D6E-409C-BE32-E72D297353CC}">
                <c16:uniqueId val="{00000277-66FB-4DD6-B810-B1991D3223B9}"/>
              </c:ext>
            </c:extLst>
          </c:dPt>
          <c:dPt>
            <c:idx val="20"/>
            <c:invertIfNegative val="0"/>
            <c:bubble3D val="0"/>
            <c:extLst>
              <c:ext xmlns:c16="http://schemas.microsoft.com/office/drawing/2014/chart" uri="{C3380CC4-5D6E-409C-BE32-E72D297353CC}">
                <c16:uniqueId val="{00000278-66FB-4DD6-B810-B1991D3223B9}"/>
              </c:ext>
            </c:extLst>
          </c:dPt>
          <c:dPt>
            <c:idx val="21"/>
            <c:invertIfNegative val="0"/>
            <c:bubble3D val="0"/>
            <c:extLst>
              <c:ext xmlns:c16="http://schemas.microsoft.com/office/drawing/2014/chart" uri="{C3380CC4-5D6E-409C-BE32-E72D297353CC}">
                <c16:uniqueId val="{00000279-66FB-4DD6-B810-B1991D3223B9}"/>
              </c:ext>
            </c:extLst>
          </c:dPt>
          <c:dPt>
            <c:idx val="22"/>
            <c:invertIfNegative val="0"/>
            <c:bubble3D val="0"/>
            <c:extLst>
              <c:ext xmlns:c16="http://schemas.microsoft.com/office/drawing/2014/chart" uri="{C3380CC4-5D6E-409C-BE32-E72D297353CC}">
                <c16:uniqueId val="{0000027A-66FB-4DD6-B810-B1991D3223B9}"/>
              </c:ext>
            </c:extLst>
          </c:dPt>
          <c:dPt>
            <c:idx val="23"/>
            <c:invertIfNegative val="0"/>
            <c:bubble3D val="0"/>
            <c:extLst>
              <c:ext xmlns:c16="http://schemas.microsoft.com/office/drawing/2014/chart" uri="{C3380CC4-5D6E-409C-BE32-E72D297353CC}">
                <c16:uniqueId val="{0000027B-66FB-4DD6-B810-B1991D3223B9}"/>
              </c:ext>
            </c:extLst>
          </c:dPt>
          <c:dPt>
            <c:idx val="24"/>
            <c:invertIfNegative val="0"/>
            <c:bubble3D val="0"/>
            <c:extLst>
              <c:ext xmlns:c16="http://schemas.microsoft.com/office/drawing/2014/chart" uri="{C3380CC4-5D6E-409C-BE32-E72D297353CC}">
                <c16:uniqueId val="{0000027C-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Data'!$C$7:$X$7</c:f>
              <c:numCache>
                <c:formatCode>#,##0_ ;\-#,##0\ </c:formatCode>
                <c:ptCount val="22"/>
                <c:pt idx="0">
                  <c:v>1232</c:v>
                </c:pt>
                <c:pt idx="1">
                  <c:v>557</c:v>
                </c:pt>
                <c:pt idx="2">
                  <c:v>469</c:v>
                </c:pt>
                <c:pt idx="3">
                  <c:v>177</c:v>
                </c:pt>
                <c:pt idx="4">
                  <c:v>545</c:v>
                </c:pt>
                <c:pt idx="5">
                  <c:v>335</c:v>
                </c:pt>
                <c:pt idx="6">
                  <c:v>900</c:v>
                </c:pt>
                <c:pt idx="7">
                  <c:v>1308</c:v>
                </c:pt>
                <c:pt idx="8">
                  <c:v>2033</c:v>
                </c:pt>
                <c:pt idx="9">
                  <c:v>894</c:v>
                </c:pt>
                <c:pt idx="10">
                  <c:v>1812</c:v>
                </c:pt>
                <c:pt idx="11">
                  <c:v>4307</c:v>
                </c:pt>
                <c:pt idx="12">
                  <c:v>2394</c:v>
                </c:pt>
                <c:pt idx="13">
                  <c:v>2616</c:v>
                </c:pt>
                <c:pt idx="14">
                  <c:v>2930</c:v>
                </c:pt>
                <c:pt idx="15">
                  <c:v>4131</c:v>
                </c:pt>
                <c:pt idx="16">
                  <c:v>3257</c:v>
                </c:pt>
                <c:pt idx="17">
                  <c:v>1169</c:v>
                </c:pt>
                <c:pt idx="18">
                  <c:v>6684</c:v>
                </c:pt>
                <c:pt idx="19">
                  <c:v>8463</c:v>
                </c:pt>
                <c:pt idx="20">
                  <c:v>11558</c:v>
                </c:pt>
                <c:pt idx="21">
                  <c:v>12618</c:v>
                </c:pt>
              </c:numCache>
            </c:numRef>
          </c:val>
          <c:extLst>
            <c:ext xmlns:c16="http://schemas.microsoft.com/office/drawing/2014/chart" uri="{C3380CC4-5D6E-409C-BE32-E72D297353CC}">
              <c16:uniqueId val="{0000027D-66FB-4DD6-B810-B1991D3223B9}"/>
            </c:ext>
          </c:extLst>
        </c:ser>
        <c:ser>
          <c:idx val="5"/>
          <c:order val="5"/>
          <c:tx>
            <c:strRef>
              <c:f>'NEMEnergyGenerated Data'!$B$8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2E3-66FB-4DD6-B810-B1991D3223B9}"/>
              </c:ext>
            </c:extLst>
          </c:dPt>
          <c:dPt>
            <c:idx val="1"/>
            <c:invertIfNegative val="0"/>
            <c:bubble3D val="0"/>
            <c:extLst>
              <c:ext xmlns:c16="http://schemas.microsoft.com/office/drawing/2014/chart" uri="{C3380CC4-5D6E-409C-BE32-E72D297353CC}">
                <c16:uniqueId val="{000002E4-66FB-4DD6-B810-B1991D3223B9}"/>
              </c:ext>
            </c:extLst>
          </c:dPt>
          <c:dPt>
            <c:idx val="2"/>
            <c:invertIfNegative val="0"/>
            <c:bubble3D val="0"/>
            <c:extLst>
              <c:ext xmlns:c16="http://schemas.microsoft.com/office/drawing/2014/chart" uri="{C3380CC4-5D6E-409C-BE32-E72D297353CC}">
                <c16:uniqueId val="{000002E5-66FB-4DD6-B810-B1991D3223B9}"/>
              </c:ext>
            </c:extLst>
          </c:dPt>
          <c:dPt>
            <c:idx val="3"/>
            <c:invertIfNegative val="0"/>
            <c:bubble3D val="0"/>
            <c:extLst>
              <c:ext xmlns:c16="http://schemas.microsoft.com/office/drawing/2014/chart" uri="{C3380CC4-5D6E-409C-BE32-E72D297353CC}">
                <c16:uniqueId val="{000002E6-66FB-4DD6-B810-B1991D3223B9}"/>
              </c:ext>
            </c:extLst>
          </c:dPt>
          <c:dPt>
            <c:idx val="4"/>
            <c:invertIfNegative val="0"/>
            <c:bubble3D val="0"/>
            <c:extLst>
              <c:ext xmlns:c16="http://schemas.microsoft.com/office/drawing/2014/chart" uri="{C3380CC4-5D6E-409C-BE32-E72D297353CC}">
                <c16:uniqueId val="{000002E7-66FB-4DD6-B810-B1991D3223B9}"/>
              </c:ext>
            </c:extLst>
          </c:dPt>
          <c:dPt>
            <c:idx val="5"/>
            <c:invertIfNegative val="0"/>
            <c:bubble3D val="0"/>
            <c:extLst>
              <c:ext xmlns:c16="http://schemas.microsoft.com/office/drawing/2014/chart" uri="{C3380CC4-5D6E-409C-BE32-E72D297353CC}">
                <c16:uniqueId val="{000002E8-66FB-4DD6-B810-B1991D3223B9}"/>
              </c:ext>
            </c:extLst>
          </c:dPt>
          <c:dPt>
            <c:idx val="6"/>
            <c:invertIfNegative val="0"/>
            <c:bubble3D val="0"/>
            <c:extLst>
              <c:ext xmlns:c16="http://schemas.microsoft.com/office/drawing/2014/chart" uri="{C3380CC4-5D6E-409C-BE32-E72D297353CC}">
                <c16:uniqueId val="{000002E9-66FB-4DD6-B810-B1991D3223B9}"/>
              </c:ext>
            </c:extLst>
          </c:dPt>
          <c:dPt>
            <c:idx val="7"/>
            <c:invertIfNegative val="0"/>
            <c:bubble3D val="0"/>
            <c:extLst>
              <c:ext xmlns:c16="http://schemas.microsoft.com/office/drawing/2014/chart" uri="{C3380CC4-5D6E-409C-BE32-E72D297353CC}">
                <c16:uniqueId val="{000002EA-66FB-4DD6-B810-B1991D3223B9}"/>
              </c:ext>
            </c:extLst>
          </c:dPt>
          <c:dPt>
            <c:idx val="8"/>
            <c:invertIfNegative val="0"/>
            <c:bubble3D val="0"/>
            <c:extLst>
              <c:ext xmlns:c16="http://schemas.microsoft.com/office/drawing/2014/chart" uri="{C3380CC4-5D6E-409C-BE32-E72D297353CC}">
                <c16:uniqueId val="{000002EB-66FB-4DD6-B810-B1991D3223B9}"/>
              </c:ext>
            </c:extLst>
          </c:dPt>
          <c:dPt>
            <c:idx val="9"/>
            <c:invertIfNegative val="0"/>
            <c:bubble3D val="0"/>
            <c:extLst>
              <c:ext xmlns:c16="http://schemas.microsoft.com/office/drawing/2014/chart" uri="{C3380CC4-5D6E-409C-BE32-E72D297353CC}">
                <c16:uniqueId val="{000002EC-66FB-4DD6-B810-B1991D3223B9}"/>
              </c:ext>
            </c:extLst>
          </c:dPt>
          <c:dPt>
            <c:idx val="10"/>
            <c:invertIfNegative val="0"/>
            <c:bubble3D val="0"/>
            <c:extLst>
              <c:ext xmlns:c16="http://schemas.microsoft.com/office/drawing/2014/chart" uri="{C3380CC4-5D6E-409C-BE32-E72D297353CC}">
                <c16:uniqueId val="{000002ED-66FB-4DD6-B810-B1991D3223B9}"/>
              </c:ext>
            </c:extLst>
          </c:dPt>
          <c:dPt>
            <c:idx val="11"/>
            <c:invertIfNegative val="0"/>
            <c:bubble3D val="0"/>
            <c:extLst>
              <c:ext xmlns:c16="http://schemas.microsoft.com/office/drawing/2014/chart" uri="{C3380CC4-5D6E-409C-BE32-E72D297353CC}">
                <c16:uniqueId val="{000002EE-66FB-4DD6-B810-B1991D3223B9}"/>
              </c:ext>
            </c:extLst>
          </c:dPt>
          <c:dPt>
            <c:idx val="12"/>
            <c:invertIfNegative val="0"/>
            <c:bubble3D val="0"/>
            <c:extLst>
              <c:ext xmlns:c16="http://schemas.microsoft.com/office/drawing/2014/chart" uri="{C3380CC4-5D6E-409C-BE32-E72D297353CC}">
                <c16:uniqueId val="{000002EF-66FB-4DD6-B810-B1991D3223B9}"/>
              </c:ext>
            </c:extLst>
          </c:dPt>
          <c:dPt>
            <c:idx val="13"/>
            <c:invertIfNegative val="0"/>
            <c:bubble3D val="0"/>
            <c:extLst>
              <c:ext xmlns:c16="http://schemas.microsoft.com/office/drawing/2014/chart" uri="{C3380CC4-5D6E-409C-BE32-E72D297353CC}">
                <c16:uniqueId val="{000002F0-66FB-4DD6-B810-B1991D3223B9}"/>
              </c:ext>
            </c:extLst>
          </c:dPt>
          <c:dPt>
            <c:idx val="14"/>
            <c:invertIfNegative val="0"/>
            <c:bubble3D val="0"/>
            <c:extLst>
              <c:ext xmlns:c16="http://schemas.microsoft.com/office/drawing/2014/chart" uri="{C3380CC4-5D6E-409C-BE32-E72D297353CC}">
                <c16:uniqueId val="{000002F1-66FB-4DD6-B810-B1991D3223B9}"/>
              </c:ext>
            </c:extLst>
          </c:dPt>
          <c:dPt>
            <c:idx val="15"/>
            <c:invertIfNegative val="0"/>
            <c:bubble3D val="0"/>
            <c:extLst>
              <c:ext xmlns:c16="http://schemas.microsoft.com/office/drawing/2014/chart" uri="{C3380CC4-5D6E-409C-BE32-E72D297353CC}">
                <c16:uniqueId val="{000002F2-66FB-4DD6-B810-B1991D3223B9}"/>
              </c:ext>
            </c:extLst>
          </c:dPt>
          <c:dPt>
            <c:idx val="16"/>
            <c:invertIfNegative val="0"/>
            <c:bubble3D val="0"/>
            <c:extLst>
              <c:ext xmlns:c16="http://schemas.microsoft.com/office/drawing/2014/chart" uri="{C3380CC4-5D6E-409C-BE32-E72D297353CC}">
                <c16:uniqueId val="{000002F3-66FB-4DD6-B810-B1991D3223B9}"/>
              </c:ext>
            </c:extLst>
          </c:dPt>
          <c:dPt>
            <c:idx val="17"/>
            <c:invertIfNegative val="0"/>
            <c:bubble3D val="0"/>
            <c:extLst>
              <c:ext xmlns:c16="http://schemas.microsoft.com/office/drawing/2014/chart" uri="{C3380CC4-5D6E-409C-BE32-E72D297353CC}">
                <c16:uniqueId val="{000002F4-66FB-4DD6-B810-B1991D3223B9}"/>
              </c:ext>
            </c:extLst>
          </c:dPt>
          <c:dPt>
            <c:idx val="18"/>
            <c:invertIfNegative val="0"/>
            <c:bubble3D val="0"/>
            <c:extLst>
              <c:ext xmlns:c16="http://schemas.microsoft.com/office/drawing/2014/chart" uri="{C3380CC4-5D6E-409C-BE32-E72D297353CC}">
                <c16:uniqueId val="{000002F5-66FB-4DD6-B810-B1991D3223B9}"/>
              </c:ext>
            </c:extLst>
          </c:dPt>
          <c:dPt>
            <c:idx val="19"/>
            <c:invertIfNegative val="0"/>
            <c:bubble3D val="0"/>
            <c:extLst>
              <c:ext xmlns:c16="http://schemas.microsoft.com/office/drawing/2014/chart" uri="{C3380CC4-5D6E-409C-BE32-E72D297353CC}">
                <c16:uniqueId val="{000002F6-66FB-4DD6-B810-B1991D3223B9}"/>
              </c:ext>
            </c:extLst>
          </c:dPt>
          <c:dPt>
            <c:idx val="20"/>
            <c:invertIfNegative val="0"/>
            <c:bubble3D val="0"/>
            <c:extLst>
              <c:ext xmlns:c16="http://schemas.microsoft.com/office/drawing/2014/chart" uri="{C3380CC4-5D6E-409C-BE32-E72D297353CC}">
                <c16:uniqueId val="{000002F7-66FB-4DD6-B810-B1991D3223B9}"/>
              </c:ext>
            </c:extLst>
          </c:dPt>
          <c:dPt>
            <c:idx val="21"/>
            <c:invertIfNegative val="0"/>
            <c:bubble3D val="0"/>
            <c:extLst>
              <c:ext xmlns:c16="http://schemas.microsoft.com/office/drawing/2014/chart" uri="{C3380CC4-5D6E-409C-BE32-E72D297353CC}">
                <c16:uniqueId val="{000002F8-66FB-4DD6-B810-B1991D3223B9}"/>
              </c:ext>
            </c:extLst>
          </c:dPt>
          <c:dPt>
            <c:idx val="22"/>
            <c:invertIfNegative val="0"/>
            <c:bubble3D val="0"/>
            <c:extLst>
              <c:ext xmlns:c16="http://schemas.microsoft.com/office/drawing/2014/chart" uri="{C3380CC4-5D6E-409C-BE32-E72D297353CC}">
                <c16:uniqueId val="{000002F9-66FB-4DD6-B810-B1991D3223B9}"/>
              </c:ext>
            </c:extLst>
          </c:dPt>
          <c:dPt>
            <c:idx val="23"/>
            <c:invertIfNegative val="0"/>
            <c:bubble3D val="0"/>
            <c:extLst>
              <c:ext xmlns:c16="http://schemas.microsoft.com/office/drawing/2014/chart" uri="{C3380CC4-5D6E-409C-BE32-E72D297353CC}">
                <c16:uniqueId val="{000002FA-66FB-4DD6-B810-B1991D3223B9}"/>
              </c:ext>
            </c:extLst>
          </c:dPt>
          <c:dPt>
            <c:idx val="24"/>
            <c:invertIfNegative val="0"/>
            <c:bubble3D val="0"/>
            <c:extLst>
              <c:ext xmlns:c16="http://schemas.microsoft.com/office/drawing/2014/chart" uri="{C3380CC4-5D6E-409C-BE32-E72D297353CC}">
                <c16:uniqueId val="{000002FB-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Data'!$C$8:$X$8</c:f>
              <c:numCache>
                <c:formatCode>#,##0_ ;\-#,##0\ </c:formatCode>
                <c:ptCount val="22"/>
                <c:pt idx="0">
                  <c:v>18209.462649832865</c:v>
                </c:pt>
                <c:pt idx="1">
                  <c:v>24360.551369952649</c:v>
                </c:pt>
                <c:pt idx="2">
                  <c:v>26243.735571411911</c:v>
                </c:pt>
                <c:pt idx="3">
                  <c:v>27379.906753221818</c:v>
                </c:pt>
                <c:pt idx="4">
                  <c:v>28941.545151687642</c:v>
                </c:pt>
                <c:pt idx="5">
                  <c:v>30935.750070108228</c:v>
                </c:pt>
                <c:pt idx="6">
                  <c:v>32477.112479098458</c:v>
                </c:pt>
                <c:pt idx="7">
                  <c:v>32561.975720766008</c:v>
                </c:pt>
                <c:pt idx="8">
                  <c:v>33496.168806826689</c:v>
                </c:pt>
                <c:pt idx="9">
                  <c:v>33383.592832661438</c:v>
                </c:pt>
                <c:pt idx="10">
                  <c:v>35894.966854456608</c:v>
                </c:pt>
                <c:pt idx="11">
                  <c:v>37497.482078995024</c:v>
                </c:pt>
                <c:pt idx="12">
                  <c:v>36106.648788395571</c:v>
                </c:pt>
                <c:pt idx="13">
                  <c:v>36296.595031965953</c:v>
                </c:pt>
                <c:pt idx="14">
                  <c:v>38119.173844639547</c:v>
                </c:pt>
                <c:pt idx="15">
                  <c:v>38586.644290728167</c:v>
                </c:pt>
                <c:pt idx="16">
                  <c:v>38912.418947963721</c:v>
                </c:pt>
                <c:pt idx="17">
                  <c:v>39077.610564522045</c:v>
                </c:pt>
                <c:pt idx="18">
                  <c:v>39444.807319534695</c:v>
                </c:pt>
                <c:pt idx="19">
                  <c:v>39233.920139882481</c:v>
                </c:pt>
                <c:pt idx="20">
                  <c:v>39836.273269514975</c:v>
                </c:pt>
                <c:pt idx="21">
                  <c:v>40730.097730267895</c:v>
                </c:pt>
              </c:numCache>
            </c:numRef>
          </c:val>
          <c:extLst>
            <c:ext xmlns:c16="http://schemas.microsoft.com/office/drawing/2014/chart" uri="{C3380CC4-5D6E-409C-BE32-E72D297353CC}">
              <c16:uniqueId val="{000002FC-66FB-4DD6-B810-B1991D3223B9}"/>
            </c:ext>
          </c:extLst>
        </c:ser>
        <c:ser>
          <c:idx val="8"/>
          <c:order val="6"/>
          <c:tx>
            <c:strRef>
              <c:f>'NEMEnergyGenerated Data'!$B$12</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27F-66FB-4DD6-B810-B1991D3223B9}"/>
              </c:ext>
            </c:extLst>
          </c:dPt>
          <c:dPt>
            <c:idx val="1"/>
            <c:invertIfNegative val="0"/>
            <c:bubble3D val="0"/>
            <c:extLst>
              <c:ext xmlns:c16="http://schemas.microsoft.com/office/drawing/2014/chart" uri="{C3380CC4-5D6E-409C-BE32-E72D297353CC}">
                <c16:uniqueId val="{00000280-66FB-4DD6-B810-B1991D3223B9}"/>
              </c:ext>
            </c:extLst>
          </c:dPt>
          <c:dPt>
            <c:idx val="2"/>
            <c:invertIfNegative val="0"/>
            <c:bubble3D val="0"/>
            <c:extLst>
              <c:ext xmlns:c16="http://schemas.microsoft.com/office/drawing/2014/chart" uri="{C3380CC4-5D6E-409C-BE32-E72D297353CC}">
                <c16:uniqueId val="{00000281-66FB-4DD6-B810-B1991D3223B9}"/>
              </c:ext>
            </c:extLst>
          </c:dPt>
          <c:dPt>
            <c:idx val="3"/>
            <c:invertIfNegative val="0"/>
            <c:bubble3D val="0"/>
            <c:extLst>
              <c:ext xmlns:c16="http://schemas.microsoft.com/office/drawing/2014/chart" uri="{C3380CC4-5D6E-409C-BE32-E72D297353CC}">
                <c16:uniqueId val="{00000282-66FB-4DD6-B810-B1991D3223B9}"/>
              </c:ext>
            </c:extLst>
          </c:dPt>
          <c:dPt>
            <c:idx val="4"/>
            <c:invertIfNegative val="0"/>
            <c:bubble3D val="0"/>
            <c:extLst>
              <c:ext xmlns:c16="http://schemas.microsoft.com/office/drawing/2014/chart" uri="{C3380CC4-5D6E-409C-BE32-E72D297353CC}">
                <c16:uniqueId val="{00000283-66FB-4DD6-B810-B1991D3223B9}"/>
              </c:ext>
            </c:extLst>
          </c:dPt>
          <c:dPt>
            <c:idx val="5"/>
            <c:invertIfNegative val="0"/>
            <c:bubble3D val="0"/>
            <c:extLst>
              <c:ext xmlns:c16="http://schemas.microsoft.com/office/drawing/2014/chart" uri="{C3380CC4-5D6E-409C-BE32-E72D297353CC}">
                <c16:uniqueId val="{00000284-66FB-4DD6-B810-B1991D3223B9}"/>
              </c:ext>
            </c:extLst>
          </c:dPt>
          <c:dPt>
            <c:idx val="6"/>
            <c:invertIfNegative val="0"/>
            <c:bubble3D val="0"/>
            <c:extLst>
              <c:ext xmlns:c16="http://schemas.microsoft.com/office/drawing/2014/chart" uri="{C3380CC4-5D6E-409C-BE32-E72D297353CC}">
                <c16:uniqueId val="{00000285-66FB-4DD6-B810-B1991D3223B9}"/>
              </c:ext>
            </c:extLst>
          </c:dPt>
          <c:dPt>
            <c:idx val="7"/>
            <c:invertIfNegative val="0"/>
            <c:bubble3D val="0"/>
            <c:extLst>
              <c:ext xmlns:c16="http://schemas.microsoft.com/office/drawing/2014/chart" uri="{C3380CC4-5D6E-409C-BE32-E72D297353CC}">
                <c16:uniqueId val="{00000286-66FB-4DD6-B810-B1991D3223B9}"/>
              </c:ext>
            </c:extLst>
          </c:dPt>
          <c:dPt>
            <c:idx val="8"/>
            <c:invertIfNegative val="0"/>
            <c:bubble3D val="0"/>
            <c:extLst>
              <c:ext xmlns:c16="http://schemas.microsoft.com/office/drawing/2014/chart" uri="{C3380CC4-5D6E-409C-BE32-E72D297353CC}">
                <c16:uniqueId val="{00000287-66FB-4DD6-B810-B1991D3223B9}"/>
              </c:ext>
            </c:extLst>
          </c:dPt>
          <c:dPt>
            <c:idx val="9"/>
            <c:invertIfNegative val="0"/>
            <c:bubble3D val="0"/>
            <c:extLst>
              <c:ext xmlns:c16="http://schemas.microsoft.com/office/drawing/2014/chart" uri="{C3380CC4-5D6E-409C-BE32-E72D297353CC}">
                <c16:uniqueId val="{00000288-66FB-4DD6-B810-B1991D3223B9}"/>
              </c:ext>
            </c:extLst>
          </c:dPt>
          <c:dPt>
            <c:idx val="10"/>
            <c:invertIfNegative val="0"/>
            <c:bubble3D val="0"/>
            <c:extLst>
              <c:ext xmlns:c16="http://schemas.microsoft.com/office/drawing/2014/chart" uri="{C3380CC4-5D6E-409C-BE32-E72D297353CC}">
                <c16:uniqueId val="{00000289-66FB-4DD6-B810-B1991D3223B9}"/>
              </c:ext>
            </c:extLst>
          </c:dPt>
          <c:dPt>
            <c:idx val="11"/>
            <c:invertIfNegative val="0"/>
            <c:bubble3D val="0"/>
            <c:extLst>
              <c:ext xmlns:c16="http://schemas.microsoft.com/office/drawing/2014/chart" uri="{C3380CC4-5D6E-409C-BE32-E72D297353CC}">
                <c16:uniqueId val="{0000028A-66FB-4DD6-B810-B1991D3223B9}"/>
              </c:ext>
            </c:extLst>
          </c:dPt>
          <c:dPt>
            <c:idx val="12"/>
            <c:invertIfNegative val="0"/>
            <c:bubble3D val="0"/>
            <c:extLst>
              <c:ext xmlns:c16="http://schemas.microsoft.com/office/drawing/2014/chart" uri="{C3380CC4-5D6E-409C-BE32-E72D297353CC}">
                <c16:uniqueId val="{0000028B-66FB-4DD6-B810-B1991D3223B9}"/>
              </c:ext>
            </c:extLst>
          </c:dPt>
          <c:dPt>
            <c:idx val="13"/>
            <c:invertIfNegative val="0"/>
            <c:bubble3D val="0"/>
            <c:extLst>
              <c:ext xmlns:c16="http://schemas.microsoft.com/office/drawing/2014/chart" uri="{C3380CC4-5D6E-409C-BE32-E72D297353CC}">
                <c16:uniqueId val="{0000028C-66FB-4DD6-B810-B1991D3223B9}"/>
              </c:ext>
            </c:extLst>
          </c:dPt>
          <c:dPt>
            <c:idx val="14"/>
            <c:invertIfNegative val="0"/>
            <c:bubble3D val="0"/>
            <c:extLst>
              <c:ext xmlns:c16="http://schemas.microsoft.com/office/drawing/2014/chart" uri="{C3380CC4-5D6E-409C-BE32-E72D297353CC}">
                <c16:uniqueId val="{0000028D-66FB-4DD6-B810-B1991D3223B9}"/>
              </c:ext>
            </c:extLst>
          </c:dPt>
          <c:dPt>
            <c:idx val="15"/>
            <c:invertIfNegative val="0"/>
            <c:bubble3D val="0"/>
            <c:extLst>
              <c:ext xmlns:c16="http://schemas.microsoft.com/office/drawing/2014/chart" uri="{C3380CC4-5D6E-409C-BE32-E72D297353CC}">
                <c16:uniqueId val="{0000028E-66FB-4DD6-B810-B1991D3223B9}"/>
              </c:ext>
            </c:extLst>
          </c:dPt>
          <c:dPt>
            <c:idx val="16"/>
            <c:invertIfNegative val="0"/>
            <c:bubble3D val="0"/>
            <c:extLst>
              <c:ext xmlns:c16="http://schemas.microsoft.com/office/drawing/2014/chart" uri="{C3380CC4-5D6E-409C-BE32-E72D297353CC}">
                <c16:uniqueId val="{0000028F-66FB-4DD6-B810-B1991D3223B9}"/>
              </c:ext>
            </c:extLst>
          </c:dPt>
          <c:dPt>
            <c:idx val="17"/>
            <c:invertIfNegative val="0"/>
            <c:bubble3D val="0"/>
            <c:extLst>
              <c:ext xmlns:c16="http://schemas.microsoft.com/office/drawing/2014/chart" uri="{C3380CC4-5D6E-409C-BE32-E72D297353CC}">
                <c16:uniqueId val="{00000290-66FB-4DD6-B810-B1991D3223B9}"/>
              </c:ext>
            </c:extLst>
          </c:dPt>
          <c:dPt>
            <c:idx val="18"/>
            <c:invertIfNegative val="0"/>
            <c:bubble3D val="0"/>
            <c:extLst>
              <c:ext xmlns:c16="http://schemas.microsoft.com/office/drawing/2014/chart" uri="{C3380CC4-5D6E-409C-BE32-E72D297353CC}">
                <c16:uniqueId val="{00000291-66FB-4DD6-B810-B1991D3223B9}"/>
              </c:ext>
            </c:extLst>
          </c:dPt>
          <c:dPt>
            <c:idx val="19"/>
            <c:invertIfNegative val="0"/>
            <c:bubble3D val="0"/>
            <c:extLst>
              <c:ext xmlns:c16="http://schemas.microsoft.com/office/drawing/2014/chart" uri="{C3380CC4-5D6E-409C-BE32-E72D297353CC}">
                <c16:uniqueId val="{00000292-66FB-4DD6-B810-B1991D3223B9}"/>
              </c:ext>
            </c:extLst>
          </c:dPt>
          <c:dPt>
            <c:idx val="20"/>
            <c:invertIfNegative val="0"/>
            <c:bubble3D val="0"/>
            <c:extLst>
              <c:ext xmlns:c16="http://schemas.microsoft.com/office/drawing/2014/chart" uri="{C3380CC4-5D6E-409C-BE32-E72D297353CC}">
                <c16:uniqueId val="{00000293-66FB-4DD6-B810-B1991D3223B9}"/>
              </c:ext>
            </c:extLst>
          </c:dPt>
          <c:dPt>
            <c:idx val="21"/>
            <c:invertIfNegative val="0"/>
            <c:bubble3D val="0"/>
            <c:extLst>
              <c:ext xmlns:c16="http://schemas.microsoft.com/office/drawing/2014/chart" uri="{C3380CC4-5D6E-409C-BE32-E72D297353CC}">
                <c16:uniqueId val="{00000294-66FB-4DD6-B810-B1991D3223B9}"/>
              </c:ext>
            </c:extLst>
          </c:dPt>
          <c:dPt>
            <c:idx val="22"/>
            <c:invertIfNegative val="0"/>
            <c:bubble3D val="0"/>
            <c:extLst>
              <c:ext xmlns:c16="http://schemas.microsoft.com/office/drawing/2014/chart" uri="{C3380CC4-5D6E-409C-BE32-E72D297353CC}">
                <c16:uniqueId val="{00000295-66FB-4DD6-B810-B1991D3223B9}"/>
              </c:ext>
            </c:extLst>
          </c:dPt>
          <c:dPt>
            <c:idx val="23"/>
            <c:invertIfNegative val="0"/>
            <c:bubble3D val="0"/>
            <c:extLst>
              <c:ext xmlns:c16="http://schemas.microsoft.com/office/drawing/2014/chart" uri="{C3380CC4-5D6E-409C-BE32-E72D297353CC}">
                <c16:uniqueId val="{00000296-66FB-4DD6-B810-B1991D3223B9}"/>
              </c:ext>
            </c:extLst>
          </c:dPt>
          <c:dPt>
            <c:idx val="24"/>
            <c:invertIfNegative val="0"/>
            <c:bubble3D val="0"/>
            <c:extLst>
              <c:ext xmlns:c16="http://schemas.microsoft.com/office/drawing/2014/chart" uri="{C3380CC4-5D6E-409C-BE32-E72D297353CC}">
                <c16:uniqueId val="{00000297-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Data'!$C$12:$X$12</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298-66FB-4DD6-B810-B1991D3223B9}"/>
            </c:ext>
          </c:extLst>
        </c:ser>
        <c:ser>
          <c:idx val="6"/>
          <c:order val="7"/>
          <c:tx>
            <c:strRef>
              <c:f>'NEMEnergyGenerated Data'!$B$9</c:f>
              <c:strCache>
                <c:ptCount val="1"/>
                <c:pt idx="0">
                  <c:v>Utility Solar</c:v>
                </c:pt>
              </c:strCache>
            </c:strRef>
          </c:tx>
          <c:spPr>
            <a:solidFill>
              <a:srgbClr val="FFC222"/>
            </a:solidFill>
            <a:ln>
              <a:noFill/>
            </a:ln>
            <a:effectLst/>
          </c:spPr>
          <c:invertIfNegative val="0"/>
          <c:dPt>
            <c:idx val="0"/>
            <c:invertIfNegative val="0"/>
            <c:bubble3D val="0"/>
            <c:extLst>
              <c:ext xmlns:c16="http://schemas.microsoft.com/office/drawing/2014/chart" uri="{C3380CC4-5D6E-409C-BE32-E72D297353CC}">
                <c16:uniqueId val="{000002FE-66FB-4DD6-B810-B1991D3223B9}"/>
              </c:ext>
            </c:extLst>
          </c:dPt>
          <c:dPt>
            <c:idx val="1"/>
            <c:invertIfNegative val="0"/>
            <c:bubble3D val="0"/>
            <c:extLst>
              <c:ext xmlns:c16="http://schemas.microsoft.com/office/drawing/2014/chart" uri="{C3380CC4-5D6E-409C-BE32-E72D297353CC}">
                <c16:uniqueId val="{000002FF-66FB-4DD6-B810-B1991D3223B9}"/>
              </c:ext>
            </c:extLst>
          </c:dPt>
          <c:dPt>
            <c:idx val="2"/>
            <c:invertIfNegative val="0"/>
            <c:bubble3D val="0"/>
            <c:extLst>
              <c:ext xmlns:c16="http://schemas.microsoft.com/office/drawing/2014/chart" uri="{C3380CC4-5D6E-409C-BE32-E72D297353CC}">
                <c16:uniqueId val="{00000300-66FB-4DD6-B810-B1991D3223B9}"/>
              </c:ext>
            </c:extLst>
          </c:dPt>
          <c:dPt>
            <c:idx val="3"/>
            <c:invertIfNegative val="0"/>
            <c:bubble3D val="0"/>
            <c:extLst>
              <c:ext xmlns:c16="http://schemas.microsoft.com/office/drawing/2014/chart" uri="{C3380CC4-5D6E-409C-BE32-E72D297353CC}">
                <c16:uniqueId val="{00000301-66FB-4DD6-B810-B1991D3223B9}"/>
              </c:ext>
            </c:extLst>
          </c:dPt>
          <c:dPt>
            <c:idx val="4"/>
            <c:invertIfNegative val="0"/>
            <c:bubble3D val="0"/>
            <c:extLst>
              <c:ext xmlns:c16="http://schemas.microsoft.com/office/drawing/2014/chart" uri="{C3380CC4-5D6E-409C-BE32-E72D297353CC}">
                <c16:uniqueId val="{00000302-66FB-4DD6-B810-B1991D3223B9}"/>
              </c:ext>
            </c:extLst>
          </c:dPt>
          <c:dPt>
            <c:idx val="5"/>
            <c:invertIfNegative val="0"/>
            <c:bubble3D val="0"/>
            <c:extLst>
              <c:ext xmlns:c16="http://schemas.microsoft.com/office/drawing/2014/chart" uri="{C3380CC4-5D6E-409C-BE32-E72D297353CC}">
                <c16:uniqueId val="{00000303-66FB-4DD6-B810-B1991D3223B9}"/>
              </c:ext>
            </c:extLst>
          </c:dPt>
          <c:dPt>
            <c:idx val="6"/>
            <c:invertIfNegative val="0"/>
            <c:bubble3D val="0"/>
            <c:extLst>
              <c:ext xmlns:c16="http://schemas.microsoft.com/office/drawing/2014/chart" uri="{C3380CC4-5D6E-409C-BE32-E72D297353CC}">
                <c16:uniqueId val="{00000304-66FB-4DD6-B810-B1991D3223B9}"/>
              </c:ext>
            </c:extLst>
          </c:dPt>
          <c:dPt>
            <c:idx val="7"/>
            <c:invertIfNegative val="0"/>
            <c:bubble3D val="0"/>
            <c:extLst>
              <c:ext xmlns:c16="http://schemas.microsoft.com/office/drawing/2014/chart" uri="{C3380CC4-5D6E-409C-BE32-E72D297353CC}">
                <c16:uniqueId val="{00000305-66FB-4DD6-B810-B1991D3223B9}"/>
              </c:ext>
            </c:extLst>
          </c:dPt>
          <c:dPt>
            <c:idx val="8"/>
            <c:invertIfNegative val="0"/>
            <c:bubble3D val="0"/>
            <c:extLst>
              <c:ext xmlns:c16="http://schemas.microsoft.com/office/drawing/2014/chart" uri="{C3380CC4-5D6E-409C-BE32-E72D297353CC}">
                <c16:uniqueId val="{00000306-66FB-4DD6-B810-B1991D3223B9}"/>
              </c:ext>
            </c:extLst>
          </c:dPt>
          <c:dPt>
            <c:idx val="9"/>
            <c:invertIfNegative val="0"/>
            <c:bubble3D val="0"/>
            <c:extLst>
              <c:ext xmlns:c16="http://schemas.microsoft.com/office/drawing/2014/chart" uri="{C3380CC4-5D6E-409C-BE32-E72D297353CC}">
                <c16:uniqueId val="{00000307-66FB-4DD6-B810-B1991D3223B9}"/>
              </c:ext>
            </c:extLst>
          </c:dPt>
          <c:dPt>
            <c:idx val="10"/>
            <c:invertIfNegative val="0"/>
            <c:bubble3D val="0"/>
            <c:extLst>
              <c:ext xmlns:c16="http://schemas.microsoft.com/office/drawing/2014/chart" uri="{C3380CC4-5D6E-409C-BE32-E72D297353CC}">
                <c16:uniqueId val="{00000308-66FB-4DD6-B810-B1991D3223B9}"/>
              </c:ext>
            </c:extLst>
          </c:dPt>
          <c:dPt>
            <c:idx val="11"/>
            <c:invertIfNegative val="0"/>
            <c:bubble3D val="0"/>
            <c:extLst>
              <c:ext xmlns:c16="http://schemas.microsoft.com/office/drawing/2014/chart" uri="{C3380CC4-5D6E-409C-BE32-E72D297353CC}">
                <c16:uniqueId val="{00000309-66FB-4DD6-B810-B1991D3223B9}"/>
              </c:ext>
            </c:extLst>
          </c:dPt>
          <c:dPt>
            <c:idx val="12"/>
            <c:invertIfNegative val="0"/>
            <c:bubble3D val="0"/>
            <c:extLst>
              <c:ext xmlns:c16="http://schemas.microsoft.com/office/drawing/2014/chart" uri="{C3380CC4-5D6E-409C-BE32-E72D297353CC}">
                <c16:uniqueId val="{0000030A-66FB-4DD6-B810-B1991D3223B9}"/>
              </c:ext>
            </c:extLst>
          </c:dPt>
          <c:dPt>
            <c:idx val="13"/>
            <c:invertIfNegative val="0"/>
            <c:bubble3D val="0"/>
            <c:extLst>
              <c:ext xmlns:c16="http://schemas.microsoft.com/office/drawing/2014/chart" uri="{C3380CC4-5D6E-409C-BE32-E72D297353CC}">
                <c16:uniqueId val="{0000030B-66FB-4DD6-B810-B1991D3223B9}"/>
              </c:ext>
            </c:extLst>
          </c:dPt>
          <c:dPt>
            <c:idx val="14"/>
            <c:invertIfNegative val="0"/>
            <c:bubble3D val="0"/>
            <c:extLst>
              <c:ext xmlns:c16="http://schemas.microsoft.com/office/drawing/2014/chart" uri="{C3380CC4-5D6E-409C-BE32-E72D297353CC}">
                <c16:uniqueId val="{0000030C-66FB-4DD6-B810-B1991D3223B9}"/>
              </c:ext>
            </c:extLst>
          </c:dPt>
          <c:dPt>
            <c:idx val="15"/>
            <c:invertIfNegative val="0"/>
            <c:bubble3D val="0"/>
            <c:extLst>
              <c:ext xmlns:c16="http://schemas.microsoft.com/office/drawing/2014/chart" uri="{C3380CC4-5D6E-409C-BE32-E72D297353CC}">
                <c16:uniqueId val="{0000030D-66FB-4DD6-B810-B1991D3223B9}"/>
              </c:ext>
            </c:extLst>
          </c:dPt>
          <c:dPt>
            <c:idx val="16"/>
            <c:invertIfNegative val="0"/>
            <c:bubble3D val="0"/>
            <c:extLst>
              <c:ext xmlns:c16="http://schemas.microsoft.com/office/drawing/2014/chart" uri="{C3380CC4-5D6E-409C-BE32-E72D297353CC}">
                <c16:uniqueId val="{0000030E-66FB-4DD6-B810-B1991D3223B9}"/>
              </c:ext>
            </c:extLst>
          </c:dPt>
          <c:dPt>
            <c:idx val="17"/>
            <c:invertIfNegative val="0"/>
            <c:bubble3D val="0"/>
            <c:extLst>
              <c:ext xmlns:c16="http://schemas.microsoft.com/office/drawing/2014/chart" uri="{C3380CC4-5D6E-409C-BE32-E72D297353CC}">
                <c16:uniqueId val="{0000030F-66FB-4DD6-B810-B1991D3223B9}"/>
              </c:ext>
            </c:extLst>
          </c:dPt>
          <c:dPt>
            <c:idx val="18"/>
            <c:invertIfNegative val="0"/>
            <c:bubble3D val="0"/>
            <c:extLst>
              <c:ext xmlns:c16="http://schemas.microsoft.com/office/drawing/2014/chart" uri="{C3380CC4-5D6E-409C-BE32-E72D297353CC}">
                <c16:uniqueId val="{00000310-66FB-4DD6-B810-B1991D3223B9}"/>
              </c:ext>
            </c:extLst>
          </c:dPt>
          <c:dPt>
            <c:idx val="19"/>
            <c:invertIfNegative val="0"/>
            <c:bubble3D val="0"/>
            <c:extLst>
              <c:ext xmlns:c16="http://schemas.microsoft.com/office/drawing/2014/chart" uri="{C3380CC4-5D6E-409C-BE32-E72D297353CC}">
                <c16:uniqueId val="{00000311-66FB-4DD6-B810-B1991D3223B9}"/>
              </c:ext>
            </c:extLst>
          </c:dPt>
          <c:dPt>
            <c:idx val="20"/>
            <c:invertIfNegative val="0"/>
            <c:bubble3D val="0"/>
            <c:extLst>
              <c:ext xmlns:c16="http://schemas.microsoft.com/office/drawing/2014/chart" uri="{C3380CC4-5D6E-409C-BE32-E72D297353CC}">
                <c16:uniqueId val="{00000312-66FB-4DD6-B810-B1991D3223B9}"/>
              </c:ext>
            </c:extLst>
          </c:dPt>
          <c:dPt>
            <c:idx val="21"/>
            <c:invertIfNegative val="0"/>
            <c:bubble3D val="0"/>
            <c:extLst>
              <c:ext xmlns:c16="http://schemas.microsoft.com/office/drawing/2014/chart" uri="{C3380CC4-5D6E-409C-BE32-E72D297353CC}">
                <c16:uniqueId val="{00000313-66FB-4DD6-B810-B1991D3223B9}"/>
              </c:ext>
            </c:extLst>
          </c:dPt>
          <c:dPt>
            <c:idx val="22"/>
            <c:invertIfNegative val="0"/>
            <c:bubble3D val="0"/>
            <c:extLst>
              <c:ext xmlns:c16="http://schemas.microsoft.com/office/drawing/2014/chart" uri="{C3380CC4-5D6E-409C-BE32-E72D297353CC}">
                <c16:uniqueId val="{00000314-66FB-4DD6-B810-B1991D3223B9}"/>
              </c:ext>
            </c:extLst>
          </c:dPt>
          <c:dPt>
            <c:idx val="23"/>
            <c:invertIfNegative val="0"/>
            <c:bubble3D val="0"/>
            <c:extLst>
              <c:ext xmlns:c16="http://schemas.microsoft.com/office/drawing/2014/chart" uri="{C3380CC4-5D6E-409C-BE32-E72D297353CC}">
                <c16:uniqueId val="{00000315-66FB-4DD6-B810-B1991D3223B9}"/>
              </c:ext>
            </c:extLst>
          </c:dPt>
          <c:dPt>
            <c:idx val="24"/>
            <c:invertIfNegative val="0"/>
            <c:bubble3D val="0"/>
            <c:extLst>
              <c:ext xmlns:c16="http://schemas.microsoft.com/office/drawing/2014/chart" uri="{C3380CC4-5D6E-409C-BE32-E72D297353CC}">
                <c16:uniqueId val="{00000316-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Data'!$C$9:$X$9</c:f>
              <c:numCache>
                <c:formatCode>#,##0_ ;\-#,##0\ </c:formatCode>
                <c:ptCount val="22"/>
                <c:pt idx="0">
                  <c:v>4830.3847271585701</c:v>
                </c:pt>
                <c:pt idx="1">
                  <c:v>7336.700339759489</c:v>
                </c:pt>
                <c:pt idx="2">
                  <c:v>7308.6376109989696</c:v>
                </c:pt>
                <c:pt idx="3">
                  <c:v>7311.0577166809408</c:v>
                </c:pt>
                <c:pt idx="4">
                  <c:v>8442.621739405311</c:v>
                </c:pt>
                <c:pt idx="5">
                  <c:v>9909.6142750930121</c:v>
                </c:pt>
                <c:pt idx="6">
                  <c:v>11619.59511772065</c:v>
                </c:pt>
                <c:pt idx="7">
                  <c:v>14669.89728600023</c:v>
                </c:pt>
                <c:pt idx="8">
                  <c:v>16757.370604976088</c:v>
                </c:pt>
                <c:pt idx="9">
                  <c:v>18714.302239939429</c:v>
                </c:pt>
                <c:pt idx="10">
                  <c:v>19531.840053491869</c:v>
                </c:pt>
                <c:pt idx="11">
                  <c:v>20124.08921502177</c:v>
                </c:pt>
                <c:pt idx="12">
                  <c:v>20057.121493792361</c:v>
                </c:pt>
                <c:pt idx="13">
                  <c:v>20099.41294616435</c:v>
                </c:pt>
                <c:pt idx="14">
                  <c:v>20114.336199622532</c:v>
                </c:pt>
                <c:pt idx="15">
                  <c:v>20041.934809616763</c:v>
                </c:pt>
                <c:pt idx="16">
                  <c:v>19978.78773563209</c:v>
                </c:pt>
                <c:pt idx="17">
                  <c:v>20071.049950922919</c:v>
                </c:pt>
                <c:pt idx="18">
                  <c:v>21443.438815219921</c:v>
                </c:pt>
                <c:pt idx="19">
                  <c:v>21515.369133209722</c:v>
                </c:pt>
                <c:pt idx="20">
                  <c:v>21619.72246510299</c:v>
                </c:pt>
                <c:pt idx="21">
                  <c:v>21615.589854616486</c:v>
                </c:pt>
              </c:numCache>
            </c:numRef>
          </c:val>
          <c:extLst>
            <c:ext xmlns:c16="http://schemas.microsoft.com/office/drawing/2014/chart" uri="{C3380CC4-5D6E-409C-BE32-E72D297353CC}">
              <c16:uniqueId val="{00000317-66FB-4DD6-B810-B1991D3223B9}"/>
            </c:ext>
          </c:extLst>
        </c:ser>
        <c:ser>
          <c:idx val="9"/>
          <c:order val="8"/>
          <c:tx>
            <c:strRef>
              <c:f>'NEMEnergyGenerated Data'!$B$11</c:f>
              <c:strCache>
                <c:ptCount val="1"/>
                <c:pt idx="0">
                  <c:v>Utility storage generation</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C8-66FB-4DD6-B810-B1991D3223B9}"/>
              </c:ext>
            </c:extLst>
          </c:dPt>
          <c:dPt>
            <c:idx val="1"/>
            <c:invertIfNegative val="0"/>
            <c:bubble3D val="0"/>
            <c:extLst>
              <c:ext xmlns:c16="http://schemas.microsoft.com/office/drawing/2014/chart" uri="{C3380CC4-5D6E-409C-BE32-E72D297353CC}">
                <c16:uniqueId val="{000002C9-66FB-4DD6-B810-B1991D3223B9}"/>
              </c:ext>
            </c:extLst>
          </c:dPt>
          <c:dPt>
            <c:idx val="2"/>
            <c:invertIfNegative val="0"/>
            <c:bubble3D val="0"/>
            <c:extLst>
              <c:ext xmlns:c16="http://schemas.microsoft.com/office/drawing/2014/chart" uri="{C3380CC4-5D6E-409C-BE32-E72D297353CC}">
                <c16:uniqueId val="{000002CA-66FB-4DD6-B810-B1991D3223B9}"/>
              </c:ext>
            </c:extLst>
          </c:dPt>
          <c:dPt>
            <c:idx val="3"/>
            <c:invertIfNegative val="0"/>
            <c:bubble3D val="0"/>
            <c:extLst>
              <c:ext xmlns:c16="http://schemas.microsoft.com/office/drawing/2014/chart" uri="{C3380CC4-5D6E-409C-BE32-E72D297353CC}">
                <c16:uniqueId val="{000002CB-66FB-4DD6-B810-B1991D3223B9}"/>
              </c:ext>
            </c:extLst>
          </c:dPt>
          <c:dPt>
            <c:idx val="4"/>
            <c:invertIfNegative val="0"/>
            <c:bubble3D val="0"/>
            <c:extLst>
              <c:ext xmlns:c16="http://schemas.microsoft.com/office/drawing/2014/chart" uri="{C3380CC4-5D6E-409C-BE32-E72D297353CC}">
                <c16:uniqueId val="{000002CC-66FB-4DD6-B810-B1991D3223B9}"/>
              </c:ext>
            </c:extLst>
          </c:dPt>
          <c:dPt>
            <c:idx val="5"/>
            <c:invertIfNegative val="0"/>
            <c:bubble3D val="0"/>
            <c:extLst>
              <c:ext xmlns:c16="http://schemas.microsoft.com/office/drawing/2014/chart" uri="{C3380CC4-5D6E-409C-BE32-E72D297353CC}">
                <c16:uniqueId val="{000002CD-66FB-4DD6-B810-B1991D3223B9}"/>
              </c:ext>
            </c:extLst>
          </c:dPt>
          <c:dPt>
            <c:idx val="6"/>
            <c:invertIfNegative val="0"/>
            <c:bubble3D val="0"/>
            <c:extLst>
              <c:ext xmlns:c16="http://schemas.microsoft.com/office/drawing/2014/chart" uri="{C3380CC4-5D6E-409C-BE32-E72D297353CC}">
                <c16:uniqueId val="{000002CE-66FB-4DD6-B810-B1991D3223B9}"/>
              </c:ext>
            </c:extLst>
          </c:dPt>
          <c:dPt>
            <c:idx val="7"/>
            <c:invertIfNegative val="0"/>
            <c:bubble3D val="0"/>
            <c:extLst>
              <c:ext xmlns:c16="http://schemas.microsoft.com/office/drawing/2014/chart" uri="{C3380CC4-5D6E-409C-BE32-E72D297353CC}">
                <c16:uniqueId val="{000002CF-66FB-4DD6-B810-B1991D3223B9}"/>
              </c:ext>
            </c:extLst>
          </c:dPt>
          <c:dPt>
            <c:idx val="8"/>
            <c:invertIfNegative val="0"/>
            <c:bubble3D val="0"/>
            <c:extLst>
              <c:ext xmlns:c16="http://schemas.microsoft.com/office/drawing/2014/chart" uri="{C3380CC4-5D6E-409C-BE32-E72D297353CC}">
                <c16:uniqueId val="{000002D0-66FB-4DD6-B810-B1991D3223B9}"/>
              </c:ext>
            </c:extLst>
          </c:dPt>
          <c:dPt>
            <c:idx val="9"/>
            <c:invertIfNegative val="0"/>
            <c:bubble3D val="0"/>
            <c:extLst>
              <c:ext xmlns:c16="http://schemas.microsoft.com/office/drawing/2014/chart" uri="{C3380CC4-5D6E-409C-BE32-E72D297353CC}">
                <c16:uniqueId val="{000002D1-66FB-4DD6-B810-B1991D3223B9}"/>
              </c:ext>
            </c:extLst>
          </c:dPt>
          <c:dPt>
            <c:idx val="10"/>
            <c:invertIfNegative val="0"/>
            <c:bubble3D val="0"/>
            <c:extLst>
              <c:ext xmlns:c16="http://schemas.microsoft.com/office/drawing/2014/chart" uri="{C3380CC4-5D6E-409C-BE32-E72D297353CC}">
                <c16:uniqueId val="{000002D2-66FB-4DD6-B810-B1991D3223B9}"/>
              </c:ext>
            </c:extLst>
          </c:dPt>
          <c:dPt>
            <c:idx val="11"/>
            <c:invertIfNegative val="0"/>
            <c:bubble3D val="0"/>
            <c:extLst>
              <c:ext xmlns:c16="http://schemas.microsoft.com/office/drawing/2014/chart" uri="{C3380CC4-5D6E-409C-BE32-E72D297353CC}">
                <c16:uniqueId val="{000002D3-66FB-4DD6-B810-B1991D3223B9}"/>
              </c:ext>
            </c:extLst>
          </c:dPt>
          <c:dPt>
            <c:idx val="12"/>
            <c:invertIfNegative val="0"/>
            <c:bubble3D val="0"/>
            <c:extLst>
              <c:ext xmlns:c16="http://schemas.microsoft.com/office/drawing/2014/chart" uri="{C3380CC4-5D6E-409C-BE32-E72D297353CC}">
                <c16:uniqueId val="{000002D4-66FB-4DD6-B810-B1991D3223B9}"/>
              </c:ext>
            </c:extLst>
          </c:dPt>
          <c:dPt>
            <c:idx val="13"/>
            <c:invertIfNegative val="0"/>
            <c:bubble3D val="0"/>
            <c:extLst>
              <c:ext xmlns:c16="http://schemas.microsoft.com/office/drawing/2014/chart" uri="{C3380CC4-5D6E-409C-BE32-E72D297353CC}">
                <c16:uniqueId val="{000002D5-66FB-4DD6-B810-B1991D3223B9}"/>
              </c:ext>
            </c:extLst>
          </c:dPt>
          <c:dPt>
            <c:idx val="14"/>
            <c:invertIfNegative val="0"/>
            <c:bubble3D val="0"/>
            <c:extLst>
              <c:ext xmlns:c16="http://schemas.microsoft.com/office/drawing/2014/chart" uri="{C3380CC4-5D6E-409C-BE32-E72D297353CC}">
                <c16:uniqueId val="{000002D6-66FB-4DD6-B810-B1991D3223B9}"/>
              </c:ext>
            </c:extLst>
          </c:dPt>
          <c:dPt>
            <c:idx val="15"/>
            <c:invertIfNegative val="0"/>
            <c:bubble3D val="0"/>
            <c:extLst>
              <c:ext xmlns:c16="http://schemas.microsoft.com/office/drawing/2014/chart" uri="{C3380CC4-5D6E-409C-BE32-E72D297353CC}">
                <c16:uniqueId val="{000002D7-66FB-4DD6-B810-B1991D3223B9}"/>
              </c:ext>
            </c:extLst>
          </c:dPt>
          <c:dPt>
            <c:idx val="16"/>
            <c:invertIfNegative val="0"/>
            <c:bubble3D val="0"/>
            <c:extLst>
              <c:ext xmlns:c16="http://schemas.microsoft.com/office/drawing/2014/chart" uri="{C3380CC4-5D6E-409C-BE32-E72D297353CC}">
                <c16:uniqueId val="{000002D8-66FB-4DD6-B810-B1991D3223B9}"/>
              </c:ext>
            </c:extLst>
          </c:dPt>
          <c:dPt>
            <c:idx val="17"/>
            <c:invertIfNegative val="0"/>
            <c:bubble3D val="0"/>
            <c:extLst>
              <c:ext xmlns:c16="http://schemas.microsoft.com/office/drawing/2014/chart" uri="{C3380CC4-5D6E-409C-BE32-E72D297353CC}">
                <c16:uniqueId val="{000002D9-66FB-4DD6-B810-B1991D3223B9}"/>
              </c:ext>
            </c:extLst>
          </c:dPt>
          <c:dPt>
            <c:idx val="18"/>
            <c:invertIfNegative val="0"/>
            <c:bubble3D val="0"/>
            <c:extLst>
              <c:ext xmlns:c16="http://schemas.microsoft.com/office/drawing/2014/chart" uri="{C3380CC4-5D6E-409C-BE32-E72D297353CC}">
                <c16:uniqueId val="{000002DA-66FB-4DD6-B810-B1991D3223B9}"/>
              </c:ext>
            </c:extLst>
          </c:dPt>
          <c:dPt>
            <c:idx val="19"/>
            <c:invertIfNegative val="0"/>
            <c:bubble3D val="0"/>
            <c:extLst>
              <c:ext xmlns:c16="http://schemas.microsoft.com/office/drawing/2014/chart" uri="{C3380CC4-5D6E-409C-BE32-E72D297353CC}">
                <c16:uniqueId val="{000002DB-66FB-4DD6-B810-B1991D3223B9}"/>
              </c:ext>
            </c:extLst>
          </c:dPt>
          <c:dPt>
            <c:idx val="20"/>
            <c:invertIfNegative val="0"/>
            <c:bubble3D val="0"/>
            <c:extLst>
              <c:ext xmlns:c16="http://schemas.microsoft.com/office/drawing/2014/chart" uri="{C3380CC4-5D6E-409C-BE32-E72D297353CC}">
                <c16:uniqueId val="{000002DC-66FB-4DD6-B810-B1991D3223B9}"/>
              </c:ext>
            </c:extLst>
          </c:dPt>
          <c:dPt>
            <c:idx val="21"/>
            <c:invertIfNegative val="0"/>
            <c:bubble3D val="0"/>
            <c:extLst>
              <c:ext xmlns:c16="http://schemas.microsoft.com/office/drawing/2014/chart" uri="{C3380CC4-5D6E-409C-BE32-E72D297353CC}">
                <c16:uniqueId val="{000002DD-66FB-4DD6-B810-B1991D3223B9}"/>
              </c:ext>
            </c:extLst>
          </c:dPt>
          <c:dPt>
            <c:idx val="22"/>
            <c:invertIfNegative val="0"/>
            <c:bubble3D val="0"/>
            <c:extLst>
              <c:ext xmlns:c16="http://schemas.microsoft.com/office/drawing/2014/chart" uri="{C3380CC4-5D6E-409C-BE32-E72D297353CC}">
                <c16:uniqueId val="{000002DE-66FB-4DD6-B810-B1991D3223B9}"/>
              </c:ext>
            </c:extLst>
          </c:dPt>
          <c:dPt>
            <c:idx val="23"/>
            <c:invertIfNegative val="0"/>
            <c:bubble3D val="0"/>
            <c:extLst>
              <c:ext xmlns:c16="http://schemas.microsoft.com/office/drawing/2014/chart" uri="{C3380CC4-5D6E-409C-BE32-E72D297353CC}">
                <c16:uniqueId val="{000002DF-66FB-4DD6-B810-B1991D3223B9}"/>
              </c:ext>
            </c:extLst>
          </c:dPt>
          <c:dPt>
            <c:idx val="24"/>
            <c:invertIfNegative val="0"/>
            <c:bubble3D val="0"/>
            <c:extLst>
              <c:ext xmlns:c16="http://schemas.microsoft.com/office/drawing/2014/chart" uri="{C3380CC4-5D6E-409C-BE32-E72D297353CC}">
                <c16:uniqueId val="{000002E0-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Data'!$C$11:$X$11</c:f>
              <c:numCache>
                <c:formatCode>#,##0_ ;\-#,##0\ </c:formatCode>
                <c:ptCount val="22"/>
                <c:pt idx="0">
                  <c:v>1076.26629468028</c:v>
                </c:pt>
                <c:pt idx="1">
                  <c:v>111.20858739022998</c:v>
                </c:pt>
                <c:pt idx="2">
                  <c:v>83.014680521779979</c:v>
                </c:pt>
                <c:pt idx="3">
                  <c:v>167.75601894780996</c:v>
                </c:pt>
                <c:pt idx="4">
                  <c:v>416.61167728642056</c:v>
                </c:pt>
                <c:pt idx="5">
                  <c:v>409.49904860084041</c:v>
                </c:pt>
                <c:pt idx="6">
                  <c:v>557.64576494388052</c:v>
                </c:pt>
                <c:pt idx="7">
                  <c:v>1189.0854375122008</c:v>
                </c:pt>
                <c:pt idx="8">
                  <c:v>1499.7632634231607</c:v>
                </c:pt>
                <c:pt idx="9">
                  <c:v>1417.7884775047605</c:v>
                </c:pt>
                <c:pt idx="10">
                  <c:v>1593.3222411933205</c:v>
                </c:pt>
                <c:pt idx="11">
                  <c:v>1814.0924150805306</c:v>
                </c:pt>
                <c:pt idx="12">
                  <c:v>1739.1727785153705</c:v>
                </c:pt>
                <c:pt idx="13">
                  <c:v>1762.2191215336106</c:v>
                </c:pt>
                <c:pt idx="14">
                  <c:v>2432.2114427721103</c:v>
                </c:pt>
                <c:pt idx="15">
                  <c:v>2479.0106776076295</c:v>
                </c:pt>
                <c:pt idx="16">
                  <c:v>2098.2966595187199</c:v>
                </c:pt>
                <c:pt idx="17">
                  <c:v>1423.27655018218</c:v>
                </c:pt>
                <c:pt idx="18">
                  <c:v>2329.5637794272202</c:v>
                </c:pt>
                <c:pt idx="19">
                  <c:v>2370.1944694891408</c:v>
                </c:pt>
                <c:pt idx="20">
                  <c:v>2405.2316184277506</c:v>
                </c:pt>
                <c:pt idx="21">
                  <c:v>2484.0105688787371</c:v>
                </c:pt>
              </c:numCache>
            </c:numRef>
          </c:val>
          <c:extLst>
            <c:ext xmlns:c16="http://schemas.microsoft.com/office/drawing/2014/chart" uri="{C3380CC4-5D6E-409C-BE32-E72D297353CC}">
              <c16:uniqueId val="{000002E1-66FB-4DD6-B810-B1991D3223B9}"/>
            </c:ext>
          </c:extLst>
        </c:ser>
        <c:ser>
          <c:idx val="11"/>
          <c:order val="9"/>
          <c:tx>
            <c:strRef>
              <c:f>'NEMEnergyGenerated Data'!$B$14</c:f>
              <c:strCache>
                <c:ptCount val="1"/>
                <c:pt idx="0">
                  <c:v>Distributed storage generation</c:v>
                </c:pt>
              </c:strCache>
            </c:strRef>
          </c:tx>
          <c:spPr>
            <a:solidFill>
              <a:srgbClr val="92D050"/>
            </a:solidFill>
            <a:ln>
              <a:noFill/>
            </a:ln>
          </c:spPr>
          <c:invertIfNegative val="0"/>
          <c:dPt>
            <c:idx val="0"/>
            <c:invertIfNegative val="0"/>
            <c:bubble3D val="0"/>
            <c:spPr>
              <a:solidFill>
                <a:srgbClr val="92D050"/>
              </a:solidFill>
              <a:ln w="3175" cmpd="sng">
                <a:noFill/>
                <a:prstDash val="solid"/>
              </a:ln>
            </c:spPr>
            <c:extLst>
              <c:ext xmlns:c16="http://schemas.microsoft.com/office/drawing/2014/chart" uri="{C3380CC4-5D6E-409C-BE32-E72D297353CC}">
                <c16:uniqueId val="{0000029B-66FB-4DD6-B810-B1991D3223B9}"/>
              </c:ext>
            </c:extLst>
          </c:dPt>
          <c:dPt>
            <c:idx val="1"/>
            <c:invertIfNegative val="0"/>
            <c:bubble3D val="0"/>
            <c:spPr>
              <a:solidFill>
                <a:srgbClr val="92D050"/>
              </a:solidFill>
              <a:ln w="3175" cmpd="sng">
                <a:noFill/>
                <a:prstDash val="solid"/>
              </a:ln>
            </c:spPr>
            <c:extLst>
              <c:ext xmlns:c16="http://schemas.microsoft.com/office/drawing/2014/chart" uri="{C3380CC4-5D6E-409C-BE32-E72D297353CC}">
                <c16:uniqueId val="{0000029D-66FB-4DD6-B810-B1991D3223B9}"/>
              </c:ext>
            </c:extLst>
          </c:dPt>
          <c:dPt>
            <c:idx val="2"/>
            <c:invertIfNegative val="0"/>
            <c:bubble3D val="0"/>
            <c:spPr>
              <a:solidFill>
                <a:srgbClr val="92D050"/>
              </a:solidFill>
              <a:ln w="3175" cmpd="sng">
                <a:noFill/>
                <a:prstDash val="solid"/>
              </a:ln>
            </c:spPr>
            <c:extLst>
              <c:ext xmlns:c16="http://schemas.microsoft.com/office/drawing/2014/chart" uri="{C3380CC4-5D6E-409C-BE32-E72D297353CC}">
                <c16:uniqueId val="{0000029F-66FB-4DD6-B810-B1991D3223B9}"/>
              </c:ext>
            </c:extLst>
          </c:dPt>
          <c:dPt>
            <c:idx val="3"/>
            <c:invertIfNegative val="0"/>
            <c:bubble3D val="0"/>
            <c:spPr>
              <a:solidFill>
                <a:srgbClr val="92D050"/>
              </a:solidFill>
              <a:ln w="3175" cmpd="sng">
                <a:noFill/>
                <a:prstDash val="solid"/>
              </a:ln>
            </c:spPr>
            <c:extLst>
              <c:ext xmlns:c16="http://schemas.microsoft.com/office/drawing/2014/chart" uri="{C3380CC4-5D6E-409C-BE32-E72D297353CC}">
                <c16:uniqueId val="{000002A1-66FB-4DD6-B810-B1991D3223B9}"/>
              </c:ext>
            </c:extLst>
          </c:dPt>
          <c:dPt>
            <c:idx val="4"/>
            <c:invertIfNegative val="0"/>
            <c:bubble3D val="0"/>
            <c:spPr>
              <a:solidFill>
                <a:srgbClr val="92D050"/>
              </a:solidFill>
              <a:ln w="3175" cmpd="sng">
                <a:noFill/>
                <a:prstDash val="solid"/>
              </a:ln>
            </c:spPr>
            <c:extLst>
              <c:ext xmlns:c16="http://schemas.microsoft.com/office/drawing/2014/chart" uri="{C3380CC4-5D6E-409C-BE32-E72D297353CC}">
                <c16:uniqueId val="{000002A3-66FB-4DD6-B810-B1991D3223B9}"/>
              </c:ext>
            </c:extLst>
          </c:dPt>
          <c:dPt>
            <c:idx val="5"/>
            <c:invertIfNegative val="0"/>
            <c:bubble3D val="0"/>
            <c:spPr>
              <a:solidFill>
                <a:srgbClr val="92D050"/>
              </a:solidFill>
              <a:ln w="3175" cmpd="sng">
                <a:noFill/>
                <a:prstDash val="solid"/>
              </a:ln>
            </c:spPr>
            <c:extLst>
              <c:ext xmlns:c16="http://schemas.microsoft.com/office/drawing/2014/chart" uri="{C3380CC4-5D6E-409C-BE32-E72D297353CC}">
                <c16:uniqueId val="{000002A5-66FB-4DD6-B810-B1991D3223B9}"/>
              </c:ext>
            </c:extLst>
          </c:dPt>
          <c:dPt>
            <c:idx val="6"/>
            <c:invertIfNegative val="0"/>
            <c:bubble3D val="0"/>
            <c:spPr>
              <a:solidFill>
                <a:srgbClr val="92D050"/>
              </a:solidFill>
              <a:ln w="3175" cmpd="sng">
                <a:noFill/>
                <a:prstDash val="solid"/>
              </a:ln>
            </c:spPr>
            <c:extLst>
              <c:ext xmlns:c16="http://schemas.microsoft.com/office/drawing/2014/chart" uri="{C3380CC4-5D6E-409C-BE32-E72D297353CC}">
                <c16:uniqueId val="{000002A7-66FB-4DD6-B810-B1991D3223B9}"/>
              </c:ext>
            </c:extLst>
          </c:dPt>
          <c:dPt>
            <c:idx val="7"/>
            <c:invertIfNegative val="0"/>
            <c:bubble3D val="0"/>
            <c:spPr>
              <a:solidFill>
                <a:srgbClr val="92D050"/>
              </a:solidFill>
              <a:ln w="3175" cmpd="sng">
                <a:noFill/>
                <a:prstDash val="solid"/>
              </a:ln>
            </c:spPr>
            <c:extLst>
              <c:ext xmlns:c16="http://schemas.microsoft.com/office/drawing/2014/chart" uri="{C3380CC4-5D6E-409C-BE32-E72D297353CC}">
                <c16:uniqueId val="{000002A9-66FB-4DD6-B810-B1991D3223B9}"/>
              </c:ext>
            </c:extLst>
          </c:dPt>
          <c:dPt>
            <c:idx val="8"/>
            <c:invertIfNegative val="0"/>
            <c:bubble3D val="0"/>
            <c:spPr>
              <a:solidFill>
                <a:srgbClr val="92D050"/>
              </a:solidFill>
              <a:ln w="3175" cmpd="sng">
                <a:noFill/>
                <a:prstDash val="solid"/>
              </a:ln>
            </c:spPr>
            <c:extLst>
              <c:ext xmlns:c16="http://schemas.microsoft.com/office/drawing/2014/chart" uri="{C3380CC4-5D6E-409C-BE32-E72D297353CC}">
                <c16:uniqueId val="{000002AB-66FB-4DD6-B810-B1991D3223B9}"/>
              </c:ext>
            </c:extLst>
          </c:dPt>
          <c:dPt>
            <c:idx val="9"/>
            <c:invertIfNegative val="0"/>
            <c:bubble3D val="0"/>
            <c:spPr>
              <a:solidFill>
                <a:srgbClr val="92D050"/>
              </a:solidFill>
              <a:ln w="3175" cmpd="sng">
                <a:noFill/>
                <a:prstDash val="solid"/>
              </a:ln>
            </c:spPr>
            <c:extLst>
              <c:ext xmlns:c16="http://schemas.microsoft.com/office/drawing/2014/chart" uri="{C3380CC4-5D6E-409C-BE32-E72D297353CC}">
                <c16:uniqueId val="{000002AD-66FB-4DD6-B810-B1991D3223B9}"/>
              </c:ext>
            </c:extLst>
          </c:dPt>
          <c:dPt>
            <c:idx val="10"/>
            <c:invertIfNegative val="0"/>
            <c:bubble3D val="0"/>
            <c:spPr>
              <a:solidFill>
                <a:srgbClr val="92D050"/>
              </a:solidFill>
              <a:ln w="3175" cmpd="sng">
                <a:noFill/>
                <a:prstDash val="solid"/>
              </a:ln>
            </c:spPr>
            <c:extLst>
              <c:ext xmlns:c16="http://schemas.microsoft.com/office/drawing/2014/chart" uri="{C3380CC4-5D6E-409C-BE32-E72D297353CC}">
                <c16:uniqueId val="{000002AF-66FB-4DD6-B810-B1991D3223B9}"/>
              </c:ext>
            </c:extLst>
          </c:dPt>
          <c:dPt>
            <c:idx val="11"/>
            <c:invertIfNegative val="0"/>
            <c:bubble3D val="0"/>
            <c:spPr>
              <a:solidFill>
                <a:srgbClr val="92D050"/>
              </a:solidFill>
              <a:ln w="3175" cmpd="sng">
                <a:noFill/>
                <a:prstDash val="solid"/>
              </a:ln>
            </c:spPr>
            <c:extLst>
              <c:ext xmlns:c16="http://schemas.microsoft.com/office/drawing/2014/chart" uri="{C3380CC4-5D6E-409C-BE32-E72D297353CC}">
                <c16:uniqueId val="{000002B1-66FB-4DD6-B810-B1991D3223B9}"/>
              </c:ext>
            </c:extLst>
          </c:dPt>
          <c:dPt>
            <c:idx val="12"/>
            <c:invertIfNegative val="0"/>
            <c:bubble3D val="0"/>
            <c:spPr>
              <a:solidFill>
                <a:srgbClr val="92D050"/>
              </a:solidFill>
              <a:ln w="3175" cmpd="sng">
                <a:noFill/>
                <a:prstDash val="solid"/>
              </a:ln>
            </c:spPr>
            <c:extLst>
              <c:ext xmlns:c16="http://schemas.microsoft.com/office/drawing/2014/chart" uri="{C3380CC4-5D6E-409C-BE32-E72D297353CC}">
                <c16:uniqueId val="{000002B3-66FB-4DD6-B810-B1991D3223B9}"/>
              </c:ext>
            </c:extLst>
          </c:dPt>
          <c:dPt>
            <c:idx val="13"/>
            <c:invertIfNegative val="0"/>
            <c:bubble3D val="0"/>
            <c:spPr>
              <a:solidFill>
                <a:srgbClr val="92D050"/>
              </a:solidFill>
              <a:ln w="3175" cmpd="sng">
                <a:noFill/>
                <a:prstDash val="solid"/>
              </a:ln>
            </c:spPr>
            <c:extLst>
              <c:ext xmlns:c16="http://schemas.microsoft.com/office/drawing/2014/chart" uri="{C3380CC4-5D6E-409C-BE32-E72D297353CC}">
                <c16:uniqueId val="{000002B5-66FB-4DD6-B810-B1991D3223B9}"/>
              </c:ext>
            </c:extLst>
          </c:dPt>
          <c:dPt>
            <c:idx val="14"/>
            <c:invertIfNegative val="0"/>
            <c:bubble3D val="0"/>
            <c:spPr>
              <a:solidFill>
                <a:srgbClr val="92D050"/>
              </a:solidFill>
              <a:ln w="3175" cmpd="sng">
                <a:noFill/>
                <a:prstDash val="solid"/>
              </a:ln>
            </c:spPr>
            <c:extLst>
              <c:ext xmlns:c16="http://schemas.microsoft.com/office/drawing/2014/chart" uri="{C3380CC4-5D6E-409C-BE32-E72D297353CC}">
                <c16:uniqueId val="{000002B7-66FB-4DD6-B810-B1991D3223B9}"/>
              </c:ext>
            </c:extLst>
          </c:dPt>
          <c:dPt>
            <c:idx val="15"/>
            <c:invertIfNegative val="0"/>
            <c:bubble3D val="0"/>
            <c:spPr>
              <a:solidFill>
                <a:srgbClr val="92D050"/>
              </a:solidFill>
              <a:ln w="3175" cmpd="sng">
                <a:noFill/>
                <a:prstDash val="solid"/>
              </a:ln>
            </c:spPr>
            <c:extLst>
              <c:ext xmlns:c16="http://schemas.microsoft.com/office/drawing/2014/chart" uri="{C3380CC4-5D6E-409C-BE32-E72D297353CC}">
                <c16:uniqueId val="{000002B9-66FB-4DD6-B810-B1991D3223B9}"/>
              </c:ext>
            </c:extLst>
          </c:dPt>
          <c:dPt>
            <c:idx val="16"/>
            <c:invertIfNegative val="0"/>
            <c:bubble3D val="0"/>
            <c:spPr>
              <a:solidFill>
                <a:srgbClr val="92D050"/>
              </a:solidFill>
              <a:ln w="3175" cmpd="sng">
                <a:noFill/>
                <a:prstDash val="solid"/>
              </a:ln>
            </c:spPr>
            <c:extLst>
              <c:ext xmlns:c16="http://schemas.microsoft.com/office/drawing/2014/chart" uri="{C3380CC4-5D6E-409C-BE32-E72D297353CC}">
                <c16:uniqueId val="{000002BB-66FB-4DD6-B810-B1991D3223B9}"/>
              </c:ext>
            </c:extLst>
          </c:dPt>
          <c:dPt>
            <c:idx val="17"/>
            <c:invertIfNegative val="0"/>
            <c:bubble3D val="0"/>
            <c:spPr>
              <a:solidFill>
                <a:srgbClr val="92D050"/>
              </a:solidFill>
              <a:ln w="3175" cmpd="sng">
                <a:noFill/>
                <a:prstDash val="solid"/>
              </a:ln>
            </c:spPr>
            <c:extLst>
              <c:ext xmlns:c16="http://schemas.microsoft.com/office/drawing/2014/chart" uri="{C3380CC4-5D6E-409C-BE32-E72D297353CC}">
                <c16:uniqueId val="{000002BD-66FB-4DD6-B810-B1991D3223B9}"/>
              </c:ext>
            </c:extLst>
          </c:dPt>
          <c:dPt>
            <c:idx val="18"/>
            <c:invertIfNegative val="0"/>
            <c:bubble3D val="0"/>
            <c:spPr>
              <a:solidFill>
                <a:srgbClr val="92D050"/>
              </a:solidFill>
              <a:ln w="3175" cmpd="sng">
                <a:noFill/>
                <a:prstDash val="solid"/>
              </a:ln>
            </c:spPr>
            <c:extLst>
              <c:ext xmlns:c16="http://schemas.microsoft.com/office/drawing/2014/chart" uri="{C3380CC4-5D6E-409C-BE32-E72D297353CC}">
                <c16:uniqueId val="{000002BF-66FB-4DD6-B810-B1991D3223B9}"/>
              </c:ext>
            </c:extLst>
          </c:dPt>
          <c:dPt>
            <c:idx val="19"/>
            <c:invertIfNegative val="0"/>
            <c:bubble3D val="0"/>
            <c:spPr>
              <a:solidFill>
                <a:srgbClr val="92D050"/>
              </a:solidFill>
              <a:ln w="3175" cmpd="sng">
                <a:noFill/>
                <a:prstDash val="solid"/>
              </a:ln>
            </c:spPr>
            <c:extLst>
              <c:ext xmlns:c16="http://schemas.microsoft.com/office/drawing/2014/chart" uri="{C3380CC4-5D6E-409C-BE32-E72D297353CC}">
                <c16:uniqueId val="{000002C1-66FB-4DD6-B810-B1991D3223B9}"/>
              </c:ext>
            </c:extLst>
          </c:dPt>
          <c:dPt>
            <c:idx val="20"/>
            <c:invertIfNegative val="0"/>
            <c:bubble3D val="0"/>
            <c:spPr>
              <a:solidFill>
                <a:srgbClr val="92D050"/>
              </a:solidFill>
              <a:ln w="3175" cmpd="sng">
                <a:noFill/>
                <a:prstDash val="solid"/>
              </a:ln>
            </c:spPr>
            <c:extLst>
              <c:ext xmlns:c16="http://schemas.microsoft.com/office/drawing/2014/chart" uri="{C3380CC4-5D6E-409C-BE32-E72D297353CC}">
                <c16:uniqueId val="{000002C3-66FB-4DD6-B810-B1991D3223B9}"/>
              </c:ext>
            </c:extLst>
          </c:dPt>
          <c:dPt>
            <c:idx val="21"/>
            <c:invertIfNegative val="0"/>
            <c:bubble3D val="0"/>
            <c:spPr>
              <a:solidFill>
                <a:srgbClr val="92D050"/>
              </a:solidFill>
              <a:ln w="3175" cmpd="sng">
                <a:noFill/>
                <a:prstDash val="solid"/>
              </a:ln>
            </c:spPr>
            <c:extLst>
              <c:ext xmlns:c16="http://schemas.microsoft.com/office/drawing/2014/chart" uri="{C3380CC4-5D6E-409C-BE32-E72D297353CC}">
                <c16:uniqueId val="{000002C5-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Data'!$C$14:$X$14</c:f>
              <c:numCache>
                <c:formatCode>#,##0_ ;\-#,##0\ </c:formatCode>
                <c:ptCount val="22"/>
                <c:pt idx="0">
                  <c:v>116.68308207217997</c:v>
                </c:pt>
                <c:pt idx="1">
                  <c:v>231.15000130325993</c:v>
                </c:pt>
                <c:pt idx="2">
                  <c:v>331.98754354971993</c:v>
                </c:pt>
                <c:pt idx="3">
                  <c:v>507.69095501043017</c:v>
                </c:pt>
                <c:pt idx="4">
                  <c:v>732.24384530646967</c:v>
                </c:pt>
                <c:pt idx="5">
                  <c:v>918.83065627409951</c:v>
                </c:pt>
                <c:pt idx="6">
                  <c:v>1053.6563370584486</c:v>
                </c:pt>
                <c:pt idx="7">
                  <c:v>1192.7653525362221</c:v>
                </c:pt>
                <c:pt idx="8">
                  <c:v>1343.701387185381</c:v>
                </c:pt>
                <c:pt idx="9">
                  <c:v>1487.123778446829</c:v>
                </c:pt>
                <c:pt idx="10">
                  <c:v>1689.1642017093322</c:v>
                </c:pt>
                <c:pt idx="11">
                  <c:v>1817.7592593846221</c:v>
                </c:pt>
                <c:pt idx="12">
                  <c:v>1914.5381098154389</c:v>
                </c:pt>
                <c:pt idx="13">
                  <c:v>2041.6277932738399</c:v>
                </c:pt>
                <c:pt idx="14">
                  <c:v>2152.524283996589</c:v>
                </c:pt>
                <c:pt idx="15">
                  <c:v>2260.5736096026412</c:v>
                </c:pt>
                <c:pt idx="16">
                  <c:v>2372.9306568912098</c:v>
                </c:pt>
                <c:pt idx="17">
                  <c:v>2213.3587725181792</c:v>
                </c:pt>
                <c:pt idx="18">
                  <c:v>2627.7249895700588</c:v>
                </c:pt>
                <c:pt idx="19">
                  <c:v>2735.1079257311389</c:v>
                </c:pt>
                <c:pt idx="20">
                  <c:v>2816.3700592718997</c:v>
                </c:pt>
                <c:pt idx="21">
                  <c:v>2929.4492902642223</c:v>
                </c:pt>
              </c:numCache>
            </c:numRef>
          </c:val>
          <c:extLst>
            <c:ext xmlns:c16="http://schemas.microsoft.com/office/drawing/2014/chart" uri="{C3380CC4-5D6E-409C-BE32-E72D297353CC}">
              <c16:uniqueId val="{000002C6-66FB-4DD6-B810-B1991D3223B9}"/>
            </c:ext>
          </c:extLst>
        </c:ser>
        <c:ser>
          <c:idx val="12"/>
          <c:order val="10"/>
          <c:tx>
            <c:strRef>
              <c:f>'NEMEnergyGenerated Data'!$B$15</c:f>
              <c:strCache>
                <c:ptCount val="1"/>
                <c:pt idx="0">
                  <c:v>Rooftop PV</c:v>
                </c:pt>
              </c:strCache>
            </c:strRef>
          </c:tx>
          <c:spPr>
            <a:solidFill>
              <a:srgbClr val="FFE7A7"/>
            </a:solidFill>
            <a:ln>
              <a:noFill/>
            </a:ln>
          </c:spPr>
          <c:invertIfNegative val="0"/>
          <c:dPt>
            <c:idx val="0"/>
            <c:invertIfNegative val="0"/>
            <c:bubble3D val="0"/>
            <c:spPr>
              <a:solidFill>
                <a:srgbClr val="FFE7A7"/>
              </a:solidFill>
              <a:ln w="3175" cmpd="sng">
                <a:noFill/>
                <a:prstDash val="solid"/>
              </a:ln>
            </c:spPr>
            <c:extLst>
              <c:ext xmlns:c16="http://schemas.microsoft.com/office/drawing/2014/chart" uri="{C3380CC4-5D6E-409C-BE32-E72D297353CC}">
                <c16:uniqueId val="{0000031A-66FB-4DD6-B810-B1991D3223B9}"/>
              </c:ext>
            </c:extLst>
          </c:dPt>
          <c:dPt>
            <c:idx val="1"/>
            <c:invertIfNegative val="0"/>
            <c:bubble3D val="0"/>
            <c:spPr>
              <a:solidFill>
                <a:srgbClr val="FFE7A7"/>
              </a:solidFill>
              <a:ln w="3175" cmpd="sng">
                <a:noFill/>
                <a:prstDash val="solid"/>
              </a:ln>
            </c:spPr>
            <c:extLst>
              <c:ext xmlns:c16="http://schemas.microsoft.com/office/drawing/2014/chart" uri="{C3380CC4-5D6E-409C-BE32-E72D297353CC}">
                <c16:uniqueId val="{0000031C-66FB-4DD6-B810-B1991D3223B9}"/>
              </c:ext>
            </c:extLst>
          </c:dPt>
          <c:dPt>
            <c:idx val="2"/>
            <c:invertIfNegative val="0"/>
            <c:bubble3D val="0"/>
            <c:spPr>
              <a:solidFill>
                <a:srgbClr val="FFE7A7"/>
              </a:solidFill>
              <a:ln w="3175" cmpd="sng">
                <a:noFill/>
                <a:prstDash val="solid"/>
              </a:ln>
            </c:spPr>
            <c:extLst>
              <c:ext xmlns:c16="http://schemas.microsoft.com/office/drawing/2014/chart" uri="{C3380CC4-5D6E-409C-BE32-E72D297353CC}">
                <c16:uniqueId val="{0000031E-66FB-4DD6-B810-B1991D3223B9}"/>
              </c:ext>
            </c:extLst>
          </c:dPt>
          <c:dPt>
            <c:idx val="3"/>
            <c:invertIfNegative val="0"/>
            <c:bubble3D val="0"/>
            <c:spPr>
              <a:solidFill>
                <a:srgbClr val="FFE7A7"/>
              </a:solidFill>
              <a:ln w="3175" cmpd="sng">
                <a:noFill/>
                <a:prstDash val="solid"/>
              </a:ln>
            </c:spPr>
            <c:extLst>
              <c:ext xmlns:c16="http://schemas.microsoft.com/office/drawing/2014/chart" uri="{C3380CC4-5D6E-409C-BE32-E72D297353CC}">
                <c16:uniqueId val="{00000320-66FB-4DD6-B810-B1991D3223B9}"/>
              </c:ext>
            </c:extLst>
          </c:dPt>
          <c:dPt>
            <c:idx val="4"/>
            <c:invertIfNegative val="0"/>
            <c:bubble3D val="0"/>
            <c:spPr>
              <a:solidFill>
                <a:srgbClr val="FFE7A7"/>
              </a:solidFill>
              <a:ln w="3175" cmpd="sng">
                <a:noFill/>
                <a:prstDash val="solid"/>
              </a:ln>
            </c:spPr>
            <c:extLst>
              <c:ext xmlns:c16="http://schemas.microsoft.com/office/drawing/2014/chart" uri="{C3380CC4-5D6E-409C-BE32-E72D297353CC}">
                <c16:uniqueId val="{00000322-66FB-4DD6-B810-B1991D3223B9}"/>
              </c:ext>
            </c:extLst>
          </c:dPt>
          <c:dPt>
            <c:idx val="5"/>
            <c:invertIfNegative val="0"/>
            <c:bubble3D val="0"/>
            <c:spPr>
              <a:solidFill>
                <a:srgbClr val="FFE7A7"/>
              </a:solidFill>
              <a:ln w="3175" cmpd="sng">
                <a:noFill/>
                <a:prstDash val="solid"/>
              </a:ln>
            </c:spPr>
            <c:extLst>
              <c:ext xmlns:c16="http://schemas.microsoft.com/office/drawing/2014/chart" uri="{C3380CC4-5D6E-409C-BE32-E72D297353CC}">
                <c16:uniqueId val="{00000324-66FB-4DD6-B810-B1991D3223B9}"/>
              </c:ext>
            </c:extLst>
          </c:dPt>
          <c:dPt>
            <c:idx val="6"/>
            <c:invertIfNegative val="0"/>
            <c:bubble3D val="0"/>
            <c:spPr>
              <a:solidFill>
                <a:srgbClr val="FFE7A7"/>
              </a:solidFill>
              <a:ln w="3175" cmpd="sng">
                <a:noFill/>
                <a:prstDash val="solid"/>
              </a:ln>
            </c:spPr>
            <c:extLst>
              <c:ext xmlns:c16="http://schemas.microsoft.com/office/drawing/2014/chart" uri="{C3380CC4-5D6E-409C-BE32-E72D297353CC}">
                <c16:uniqueId val="{00000326-66FB-4DD6-B810-B1991D3223B9}"/>
              </c:ext>
            </c:extLst>
          </c:dPt>
          <c:dPt>
            <c:idx val="7"/>
            <c:invertIfNegative val="0"/>
            <c:bubble3D val="0"/>
            <c:spPr>
              <a:solidFill>
                <a:srgbClr val="FFE7A7"/>
              </a:solidFill>
              <a:ln w="3175" cmpd="sng">
                <a:noFill/>
                <a:prstDash val="solid"/>
              </a:ln>
            </c:spPr>
            <c:extLst>
              <c:ext xmlns:c16="http://schemas.microsoft.com/office/drawing/2014/chart" uri="{C3380CC4-5D6E-409C-BE32-E72D297353CC}">
                <c16:uniqueId val="{00000328-66FB-4DD6-B810-B1991D3223B9}"/>
              </c:ext>
            </c:extLst>
          </c:dPt>
          <c:dPt>
            <c:idx val="8"/>
            <c:invertIfNegative val="0"/>
            <c:bubble3D val="0"/>
            <c:spPr>
              <a:solidFill>
                <a:srgbClr val="FFE7A7"/>
              </a:solidFill>
              <a:ln w="3175" cmpd="sng">
                <a:noFill/>
                <a:prstDash val="solid"/>
              </a:ln>
            </c:spPr>
            <c:extLst>
              <c:ext xmlns:c16="http://schemas.microsoft.com/office/drawing/2014/chart" uri="{C3380CC4-5D6E-409C-BE32-E72D297353CC}">
                <c16:uniqueId val="{0000032A-66FB-4DD6-B810-B1991D3223B9}"/>
              </c:ext>
            </c:extLst>
          </c:dPt>
          <c:dPt>
            <c:idx val="9"/>
            <c:invertIfNegative val="0"/>
            <c:bubble3D val="0"/>
            <c:spPr>
              <a:solidFill>
                <a:srgbClr val="FFE7A7"/>
              </a:solidFill>
              <a:ln w="3175" cmpd="sng">
                <a:noFill/>
                <a:prstDash val="solid"/>
              </a:ln>
            </c:spPr>
            <c:extLst>
              <c:ext xmlns:c16="http://schemas.microsoft.com/office/drawing/2014/chart" uri="{C3380CC4-5D6E-409C-BE32-E72D297353CC}">
                <c16:uniqueId val="{0000032C-66FB-4DD6-B810-B1991D3223B9}"/>
              </c:ext>
            </c:extLst>
          </c:dPt>
          <c:dPt>
            <c:idx val="10"/>
            <c:invertIfNegative val="0"/>
            <c:bubble3D val="0"/>
            <c:spPr>
              <a:solidFill>
                <a:srgbClr val="FFE7A7"/>
              </a:solidFill>
              <a:ln w="3175" cmpd="sng">
                <a:noFill/>
                <a:prstDash val="solid"/>
              </a:ln>
            </c:spPr>
            <c:extLst>
              <c:ext xmlns:c16="http://schemas.microsoft.com/office/drawing/2014/chart" uri="{C3380CC4-5D6E-409C-BE32-E72D297353CC}">
                <c16:uniqueId val="{0000032E-66FB-4DD6-B810-B1991D3223B9}"/>
              </c:ext>
            </c:extLst>
          </c:dPt>
          <c:dPt>
            <c:idx val="11"/>
            <c:invertIfNegative val="0"/>
            <c:bubble3D val="0"/>
            <c:spPr>
              <a:solidFill>
                <a:srgbClr val="FFE7A7"/>
              </a:solidFill>
              <a:ln w="3175" cmpd="sng">
                <a:noFill/>
                <a:prstDash val="solid"/>
              </a:ln>
            </c:spPr>
            <c:extLst>
              <c:ext xmlns:c16="http://schemas.microsoft.com/office/drawing/2014/chart" uri="{C3380CC4-5D6E-409C-BE32-E72D297353CC}">
                <c16:uniqueId val="{00000330-66FB-4DD6-B810-B1991D3223B9}"/>
              </c:ext>
            </c:extLst>
          </c:dPt>
          <c:dPt>
            <c:idx val="12"/>
            <c:invertIfNegative val="0"/>
            <c:bubble3D val="0"/>
            <c:spPr>
              <a:solidFill>
                <a:srgbClr val="FFE7A7"/>
              </a:solidFill>
              <a:ln w="3175" cmpd="sng">
                <a:noFill/>
                <a:prstDash val="solid"/>
              </a:ln>
            </c:spPr>
            <c:extLst>
              <c:ext xmlns:c16="http://schemas.microsoft.com/office/drawing/2014/chart" uri="{C3380CC4-5D6E-409C-BE32-E72D297353CC}">
                <c16:uniqueId val="{00000332-66FB-4DD6-B810-B1991D3223B9}"/>
              </c:ext>
            </c:extLst>
          </c:dPt>
          <c:dPt>
            <c:idx val="13"/>
            <c:invertIfNegative val="0"/>
            <c:bubble3D val="0"/>
            <c:spPr>
              <a:solidFill>
                <a:srgbClr val="FFE7A7"/>
              </a:solidFill>
              <a:ln w="3175" cmpd="sng">
                <a:noFill/>
                <a:prstDash val="solid"/>
              </a:ln>
            </c:spPr>
            <c:extLst>
              <c:ext xmlns:c16="http://schemas.microsoft.com/office/drawing/2014/chart" uri="{C3380CC4-5D6E-409C-BE32-E72D297353CC}">
                <c16:uniqueId val="{00000334-66FB-4DD6-B810-B1991D3223B9}"/>
              </c:ext>
            </c:extLst>
          </c:dPt>
          <c:dPt>
            <c:idx val="14"/>
            <c:invertIfNegative val="0"/>
            <c:bubble3D val="0"/>
            <c:spPr>
              <a:solidFill>
                <a:srgbClr val="FFE7A7"/>
              </a:solidFill>
              <a:ln w="3175" cmpd="sng">
                <a:noFill/>
                <a:prstDash val="solid"/>
              </a:ln>
            </c:spPr>
            <c:extLst>
              <c:ext xmlns:c16="http://schemas.microsoft.com/office/drawing/2014/chart" uri="{C3380CC4-5D6E-409C-BE32-E72D297353CC}">
                <c16:uniqueId val="{00000336-66FB-4DD6-B810-B1991D3223B9}"/>
              </c:ext>
            </c:extLst>
          </c:dPt>
          <c:dPt>
            <c:idx val="15"/>
            <c:invertIfNegative val="0"/>
            <c:bubble3D val="0"/>
            <c:spPr>
              <a:solidFill>
                <a:srgbClr val="FFE7A7"/>
              </a:solidFill>
              <a:ln w="3175" cmpd="sng">
                <a:noFill/>
                <a:prstDash val="solid"/>
              </a:ln>
            </c:spPr>
            <c:extLst>
              <c:ext xmlns:c16="http://schemas.microsoft.com/office/drawing/2014/chart" uri="{C3380CC4-5D6E-409C-BE32-E72D297353CC}">
                <c16:uniqueId val="{00000338-66FB-4DD6-B810-B1991D3223B9}"/>
              </c:ext>
            </c:extLst>
          </c:dPt>
          <c:dPt>
            <c:idx val="16"/>
            <c:invertIfNegative val="0"/>
            <c:bubble3D val="0"/>
            <c:spPr>
              <a:solidFill>
                <a:srgbClr val="FFE7A7"/>
              </a:solidFill>
              <a:ln w="3175" cmpd="sng">
                <a:noFill/>
                <a:prstDash val="solid"/>
              </a:ln>
            </c:spPr>
            <c:extLst>
              <c:ext xmlns:c16="http://schemas.microsoft.com/office/drawing/2014/chart" uri="{C3380CC4-5D6E-409C-BE32-E72D297353CC}">
                <c16:uniqueId val="{0000033A-66FB-4DD6-B810-B1991D3223B9}"/>
              </c:ext>
            </c:extLst>
          </c:dPt>
          <c:dPt>
            <c:idx val="17"/>
            <c:invertIfNegative val="0"/>
            <c:bubble3D val="0"/>
            <c:spPr>
              <a:solidFill>
                <a:srgbClr val="FFE7A7"/>
              </a:solidFill>
              <a:ln w="3175" cmpd="sng">
                <a:noFill/>
                <a:prstDash val="solid"/>
              </a:ln>
            </c:spPr>
            <c:extLst>
              <c:ext xmlns:c16="http://schemas.microsoft.com/office/drawing/2014/chart" uri="{C3380CC4-5D6E-409C-BE32-E72D297353CC}">
                <c16:uniqueId val="{0000033C-66FB-4DD6-B810-B1991D3223B9}"/>
              </c:ext>
            </c:extLst>
          </c:dPt>
          <c:dPt>
            <c:idx val="18"/>
            <c:invertIfNegative val="0"/>
            <c:bubble3D val="0"/>
            <c:spPr>
              <a:solidFill>
                <a:srgbClr val="FFE7A7"/>
              </a:solidFill>
              <a:ln w="3175" cmpd="sng">
                <a:noFill/>
                <a:prstDash val="solid"/>
              </a:ln>
            </c:spPr>
            <c:extLst>
              <c:ext xmlns:c16="http://schemas.microsoft.com/office/drawing/2014/chart" uri="{C3380CC4-5D6E-409C-BE32-E72D297353CC}">
                <c16:uniqueId val="{0000033E-66FB-4DD6-B810-B1991D3223B9}"/>
              </c:ext>
            </c:extLst>
          </c:dPt>
          <c:dPt>
            <c:idx val="19"/>
            <c:invertIfNegative val="0"/>
            <c:bubble3D val="0"/>
            <c:spPr>
              <a:solidFill>
                <a:srgbClr val="FFE7A7"/>
              </a:solidFill>
              <a:ln w="3175" cmpd="sng">
                <a:noFill/>
                <a:prstDash val="solid"/>
              </a:ln>
            </c:spPr>
            <c:extLst>
              <c:ext xmlns:c16="http://schemas.microsoft.com/office/drawing/2014/chart" uri="{C3380CC4-5D6E-409C-BE32-E72D297353CC}">
                <c16:uniqueId val="{00000340-66FB-4DD6-B810-B1991D3223B9}"/>
              </c:ext>
            </c:extLst>
          </c:dPt>
          <c:dPt>
            <c:idx val="20"/>
            <c:invertIfNegative val="0"/>
            <c:bubble3D val="0"/>
            <c:spPr>
              <a:solidFill>
                <a:srgbClr val="FFE7A7"/>
              </a:solidFill>
              <a:ln w="3175" cmpd="sng">
                <a:noFill/>
                <a:prstDash val="solid"/>
              </a:ln>
            </c:spPr>
            <c:extLst>
              <c:ext xmlns:c16="http://schemas.microsoft.com/office/drawing/2014/chart" uri="{C3380CC4-5D6E-409C-BE32-E72D297353CC}">
                <c16:uniqueId val="{00000342-66FB-4DD6-B810-B1991D3223B9}"/>
              </c:ext>
            </c:extLst>
          </c:dPt>
          <c:dPt>
            <c:idx val="21"/>
            <c:invertIfNegative val="0"/>
            <c:bubble3D val="0"/>
            <c:spPr>
              <a:solidFill>
                <a:srgbClr val="FFE7A7"/>
              </a:solidFill>
              <a:ln w="3175" cmpd="sng">
                <a:noFill/>
                <a:prstDash val="solid"/>
              </a:ln>
            </c:spPr>
            <c:extLst>
              <c:ext xmlns:c16="http://schemas.microsoft.com/office/drawing/2014/chart" uri="{C3380CC4-5D6E-409C-BE32-E72D297353CC}">
                <c16:uniqueId val="{00000344-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Data'!$C$15:$X$15</c:f>
              <c:numCache>
                <c:formatCode>#,##0_ ;\-#,##0\ </c:formatCode>
                <c:ptCount val="22"/>
                <c:pt idx="0">
                  <c:v>9475</c:v>
                </c:pt>
                <c:pt idx="1">
                  <c:v>10796</c:v>
                </c:pt>
                <c:pt idx="2">
                  <c:v>12167</c:v>
                </c:pt>
                <c:pt idx="3">
                  <c:v>13376</c:v>
                </c:pt>
                <c:pt idx="4">
                  <c:v>14355</c:v>
                </c:pt>
                <c:pt idx="5">
                  <c:v>16163</c:v>
                </c:pt>
                <c:pt idx="6">
                  <c:v>17452</c:v>
                </c:pt>
                <c:pt idx="7">
                  <c:v>18649</c:v>
                </c:pt>
                <c:pt idx="8">
                  <c:v>19832</c:v>
                </c:pt>
                <c:pt idx="9">
                  <c:v>21164</c:v>
                </c:pt>
                <c:pt idx="10">
                  <c:v>22247</c:v>
                </c:pt>
                <c:pt idx="11">
                  <c:v>23373</c:v>
                </c:pt>
                <c:pt idx="12">
                  <c:v>24371</c:v>
                </c:pt>
                <c:pt idx="13">
                  <c:v>25416</c:v>
                </c:pt>
                <c:pt idx="14">
                  <c:v>26359</c:v>
                </c:pt>
                <c:pt idx="15">
                  <c:v>27143</c:v>
                </c:pt>
                <c:pt idx="16">
                  <c:v>27900</c:v>
                </c:pt>
                <c:pt idx="17">
                  <c:v>28674</c:v>
                </c:pt>
                <c:pt idx="18">
                  <c:v>29301</c:v>
                </c:pt>
                <c:pt idx="19">
                  <c:v>29864</c:v>
                </c:pt>
                <c:pt idx="20">
                  <c:v>30469</c:v>
                </c:pt>
                <c:pt idx="21">
                  <c:v>31010</c:v>
                </c:pt>
              </c:numCache>
            </c:numRef>
          </c:val>
          <c:extLst>
            <c:ext xmlns:c16="http://schemas.microsoft.com/office/drawing/2014/chart" uri="{C3380CC4-5D6E-409C-BE32-E72D297353CC}">
              <c16:uniqueId val="{00000345-66FB-4DD6-B810-B1991D3223B9}"/>
            </c:ext>
          </c:extLst>
        </c:ser>
        <c:ser>
          <c:idx val="10"/>
          <c:order val="11"/>
          <c:tx>
            <c:strRef>
              <c:f>'NEMEnergyGenerated Data'!$B$13</c:f>
              <c:strCache>
                <c:ptCount val="1"/>
                <c:pt idx="0">
                  <c:v>Utility storage load</c:v>
                </c:pt>
              </c:strCache>
            </c:strRef>
          </c:tx>
          <c:spPr>
            <a:solidFill>
              <a:srgbClr val="E1A8E9"/>
            </a:solidFill>
            <a:ln>
              <a:noFill/>
            </a:ln>
          </c:spPr>
          <c:invertIfNegative val="0"/>
          <c:dPt>
            <c:idx val="0"/>
            <c:invertIfNegative val="0"/>
            <c:bubble3D val="0"/>
            <c:spPr>
              <a:solidFill>
                <a:srgbClr val="E1A8E9"/>
              </a:solidFill>
              <a:ln w="3175" cmpd="sng">
                <a:noFill/>
                <a:prstDash val="solid"/>
              </a:ln>
            </c:spPr>
            <c:extLst>
              <c:ext xmlns:c16="http://schemas.microsoft.com/office/drawing/2014/chart" uri="{C3380CC4-5D6E-409C-BE32-E72D297353CC}">
                <c16:uniqueId val="{00000363-66FB-4DD6-B810-B1991D3223B9}"/>
              </c:ext>
            </c:extLst>
          </c:dPt>
          <c:dPt>
            <c:idx val="1"/>
            <c:invertIfNegative val="0"/>
            <c:bubble3D val="0"/>
            <c:spPr>
              <a:solidFill>
                <a:srgbClr val="E1A8E9"/>
              </a:solidFill>
              <a:ln w="3175" cmpd="sng">
                <a:noFill/>
                <a:prstDash val="solid"/>
              </a:ln>
            </c:spPr>
            <c:extLst>
              <c:ext xmlns:c16="http://schemas.microsoft.com/office/drawing/2014/chart" uri="{C3380CC4-5D6E-409C-BE32-E72D297353CC}">
                <c16:uniqueId val="{00000365-66FB-4DD6-B810-B1991D3223B9}"/>
              </c:ext>
            </c:extLst>
          </c:dPt>
          <c:dPt>
            <c:idx val="2"/>
            <c:invertIfNegative val="0"/>
            <c:bubble3D val="0"/>
            <c:spPr>
              <a:solidFill>
                <a:srgbClr val="E1A8E9"/>
              </a:solidFill>
              <a:ln w="3175" cmpd="sng">
                <a:noFill/>
                <a:prstDash val="solid"/>
              </a:ln>
            </c:spPr>
            <c:extLst>
              <c:ext xmlns:c16="http://schemas.microsoft.com/office/drawing/2014/chart" uri="{C3380CC4-5D6E-409C-BE32-E72D297353CC}">
                <c16:uniqueId val="{00000367-66FB-4DD6-B810-B1991D3223B9}"/>
              </c:ext>
            </c:extLst>
          </c:dPt>
          <c:dPt>
            <c:idx val="3"/>
            <c:invertIfNegative val="0"/>
            <c:bubble3D val="0"/>
            <c:spPr>
              <a:solidFill>
                <a:srgbClr val="E1A8E9"/>
              </a:solidFill>
              <a:ln w="3175" cmpd="sng">
                <a:noFill/>
                <a:prstDash val="solid"/>
              </a:ln>
            </c:spPr>
            <c:extLst>
              <c:ext xmlns:c16="http://schemas.microsoft.com/office/drawing/2014/chart" uri="{C3380CC4-5D6E-409C-BE32-E72D297353CC}">
                <c16:uniqueId val="{00000369-66FB-4DD6-B810-B1991D3223B9}"/>
              </c:ext>
            </c:extLst>
          </c:dPt>
          <c:dPt>
            <c:idx val="4"/>
            <c:invertIfNegative val="0"/>
            <c:bubble3D val="0"/>
            <c:spPr>
              <a:solidFill>
                <a:srgbClr val="E1A8E9"/>
              </a:solidFill>
              <a:ln w="3175" cmpd="sng">
                <a:noFill/>
                <a:prstDash val="solid"/>
              </a:ln>
            </c:spPr>
            <c:extLst>
              <c:ext xmlns:c16="http://schemas.microsoft.com/office/drawing/2014/chart" uri="{C3380CC4-5D6E-409C-BE32-E72D297353CC}">
                <c16:uniqueId val="{0000036B-66FB-4DD6-B810-B1991D3223B9}"/>
              </c:ext>
            </c:extLst>
          </c:dPt>
          <c:dPt>
            <c:idx val="5"/>
            <c:invertIfNegative val="0"/>
            <c:bubble3D val="0"/>
            <c:spPr>
              <a:solidFill>
                <a:srgbClr val="E1A8E9"/>
              </a:solidFill>
              <a:ln w="3175" cmpd="sng">
                <a:noFill/>
                <a:prstDash val="solid"/>
              </a:ln>
            </c:spPr>
            <c:extLst>
              <c:ext xmlns:c16="http://schemas.microsoft.com/office/drawing/2014/chart" uri="{C3380CC4-5D6E-409C-BE32-E72D297353CC}">
                <c16:uniqueId val="{0000036D-66FB-4DD6-B810-B1991D3223B9}"/>
              </c:ext>
            </c:extLst>
          </c:dPt>
          <c:dPt>
            <c:idx val="6"/>
            <c:invertIfNegative val="0"/>
            <c:bubble3D val="0"/>
            <c:spPr>
              <a:solidFill>
                <a:srgbClr val="E1A8E9"/>
              </a:solidFill>
              <a:ln w="3175" cmpd="sng">
                <a:noFill/>
                <a:prstDash val="solid"/>
              </a:ln>
            </c:spPr>
            <c:extLst>
              <c:ext xmlns:c16="http://schemas.microsoft.com/office/drawing/2014/chart" uri="{C3380CC4-5D6E-409C-BE32-E72D297353CC}">
                <c16:uniqueId val="{0000036F-66FB-4DD6-B810-B1991D3223B9}"/>
              </c:ext>
            </c:extLst>
          </c:dPt>
          <c:dPt>
            <c:idx val="7"/>
            <c:invertIfNegative val="0"/>
            <c:bubble3D val="0"/>
            <c:spPr>
              <a:solidFill>
                <a:srgbClr val="E1A8E9"/>
              </a:solidFill>
              <a:ln w="3175" cmpd="sng">
                <a:noFill/>
                <a:prstDash val="solid"/>
              </a:ln>
            </c:spPr>
            <c:extLst>
              <c:ext xmlns:c16="http://schemas.microsoft.com/office/drawing/2014/chart" uri="{C3380CC4-5D6E-409C-BE32-E72D297353CC}">
                <c16:uniqueId val="{00000371-66FB-4DD6-B810-B1991D3223B9}"/>
              </c:ext>
            </c:extLst>
          </c:dPt>
          <c:dPt>
            <c:idx val="8"/>
            <c:invertIfNegative val="0"/>
            <c:bubble3D val="0"/>
            <c:spPr>
              <a:solidFill>
                <a:srgbClr val="E1A8E9"/>
              </a:solidFill>
              <a:ln w="3175" cmpd="sng">
                <a:noFill/>
                <a:prstDash val="solid"/>
              </a:ln>
            </c:spPr>
            <c:extLst>
              <c:ext xmlns:c16="http://schemas.microsoft.com/office/drawing/2014/chart" uri="{C3380CC4-5D6E-409C-BE32-E72D297353CC}">
                <c16:uniqueId val="{00000373-66FB-4DD6-B810-B1991D3223B9}"/>
              </c:ext>
            </c:extLst>
          </c:dPt>
          <c:dPt>
            <c:idx val="9"/>
            <c:invertIfNegative val="0"/>
            <c:bubble3D val="0"/>
            <c:spPr>
              <a:solidFill>
                <a:srgbClr val="E1A8E9"/>
              </a:solidFill>
              <a:ln w="3175" cmpd="sng">
                <a:noFill/>
                <a:prstDash val="solid"/>
              </a:ln>
            </c:spPr>
            <c:extLst>
              <c:ext xmlns:c16="http://schemas.microsoft.com/office/drawing/2014/chart" uri="{C3380CC4-5D6E-409C-BE32-E72D297353CC}">
                <c16:uniqueId val="{00000375-66FB-4DD6-B810-B1991D3223B9}"/>
              </c:ext>
            </c:extLst>
          </c:dPt>
          <c:dPt>
            <c:idx val="10"/>
            <c:invertIfNegative val="0"/>
            <c:bubble3D val="0"/>
            <c:spPr>
              <a:solidFill>
                <a:srgbClr val="E1A8E9"/>
              </a:solidFill>
              <a:ln w="3175" cmpd="sng">
                <a:noFill/>
                <a:prstDash val="solid"/>
              </a:ln>
            </c:spPr>
            <c:extLst>
              <c:ext xmlns:c16="http://schemas.microsoft.com/office/drawing/2014/chart" uri="{C3380CC4-5D6E-409C-BE32-E72D297353CC}">
                <c16:uniqueId val="{00000377-66FB-4DD6-B810-B1991D3223B9}"/>
              </c:ext>
            </c:extLst>
          </c:dPt>
          <c:dPt>
            <c:idx val="11"/>
            <c:invertIfNegative val="0"/>
            <c:bubble3D val="0"/>
            <c:spPr>
              <a:solidFill>
                <a:srgbClr val="E1A8E9"/>
              </a:solidFill>
              <a:ln w="3175" cmpd="sng">
                <a:noFill/>
                <a:prstDash val="solid"/>
              </a:ln>
            </c:spPr>
            <c:extLst>
              <c:ext xmlns:c16="http://schemas.microsoft.com/office/drawing/2014/chart" uri="{C3380CC4-5D6E-409C-BE32-E72D297353CC}">
                <c16:uniqueId val="{00000379-66FB-4DD6-B810-B1991D3223B9}"/>
              </c:ext>
            </c:extLst>
          </c:dPt>
          <c:dPt>
            <c:idx val="12"/>
            <c:invertIfNegative val="0"/>
            <c:bubble3D val="0"/>
            <c:spPr>
              <a:solidFill>
                <a:srgbClr val="E1A8E9"/>
              </a:solidFill>
              <a:ln w="3175" cmpd="sng">
                <a:noFill/>
                <a:prstDash val="solid"/>
              </a:ln>
            </c:spPr>
            <c:extLst>
              <c:ext xmlns:c16="http://schemas.microsoft.com/office/drawing/2014/chart" uri="{C3380CC4-5D6E-409C-BE32-E72D297353CC}">
                <c16:uniqueId val="{0000037B-66FB-4DD6-B810-B1991D3223B9}"/>
              </c:ext>
            </c:extLst>
          </c:dPt>
          <c:dPt>
            <c:idx val="13"/>
            <c:invertIfNegative val="0"/>
            <c:bubble3D val="0"/>
            <c:spPr>
              <a:solidFill>
                <a:srgbClr val="E1A8E9"/>
              </a:solidFill>
              <a:ln w="3175" cmpd="sng">
                <a:noFill/>
                <a:prstDash val="solid"/>
              </a:ln>
            </c:spPr>
            <c:extLst>
              <c:ext xmlns:c16="http://schemas.microsoft.com/office/drawing/2014/chart" uri="{C3380CC4-5D6E-409C-BE32-E72D297353CC}">
                <c16:uniqueId val="{0000037D-66FB-4DD6-B810-B1991D3223B9}"/>
              </c:ext>
            </c:extLst>
          </c:dPt>
          <c:dPt>
            <c:idx val="14"/>
            <c:invertIfNegative val="0"/>
            <c:bubble3D val="0"/>
            <c:spPr>
              <a:solidFill>
                <a:srgbClr val="E1A8E9"/>
              </a:solidFill>
              <a:ln w="3175" cmpd="sng">
                <a:noFill/>
                <a:prstDash val="solid"/>
              </a:ln>
            </c:spPr>
            <c:extLst>
              <c:ext xmlns:c16="http://schemas.microsoft.com/office/drawing/2014/chart" uri="{C3380CC4-5D6E-409C-BE32-E72D297353CC}">
                <c16:uniqueId val="{0000037F-66FB-4DD6-B810-B1991D3223B9}"/>
              </c:ext>
            </c:extLst>
          </c:dPt>
          <c:dPt>
            <c:idx val="15"/>
            <c:invertIfNegative val="0"/>
            <c:bubble3D val="0"/>
            <c:spPr>
              <a:solidFill>
                <a:srgbClr val="E1A8E9"/>
              </a:solidFill>
              <a:ln w="3175" cmpd="sng">
                <a:noFill/>
                <a:prstDash val="solid"/>
              </a:ln>
            </c:spPr>
            <c:extLst>
              <c:ext xmlns:c16="http://schemas.microsoft.com/office/drawing/2014/chart" uri="{C3380CC4-5D6E-409C-BE32-E72D297353CC}">
                <c16:uniqueId val="{00000381-66FB-4DD6-B810-B1991D3223B9}"/>
              </c:ext>
            </c:extLst>
          </c:dPt>
          <c:dPt>
            <c:idx val="16"/>
            <c:invertIfNegative val="0"/>
            <c:bubble3D val="0"/>
            <c:spPr>
              <a:solidFill>
                <a:srgbClr val="E1A8E9"/>
              </a:solidFill>
              <a:ln w="3175" cmpd="sng">
                <a:noFill/>
                <a:prstDash val="solid"/>
              </a:ln>
            </c:spPr>
            <c:extLst>
              <c:ext xmlns:c16="http://schemas.microsoft.com/office/drawing/2014/chart" uri="{C3380CC4-5D6E-409C-BE32-E72D297353CC}">
                <c16:uniqueId val="{00000383-66FB-4DD6-B810-B1991D3223B9}"/>
              </c:ext>
            </c:extLst>
          </c:dPt>
          <c:dPt>
            <c:idx val="17"/>
            <c:invertIfNegative val="0"/>
            <c:bubble3D val="0"/>
            <c:spPr>
              <a:solidFill>
                <a:srgbClr val="E1A8E9"/>
              </a:solidFill>
              <a:ln w="3175" cmpd="sng">
                <a:noFill/>
                <a:prstDash val="solid"/>
              </a:ln>
            </c:spPr>
            <c:extLst>
              <c:ext xmlns:c16="http://schemas.microsoft.com/office/drawing/2014/chart" uri="{C3380CC4-5D6E-409C-BE32-E72D297353CC}">
                <c16:uniqueId val="{00000385-66FB-4DD6-B810-B1991D3223B9}"/>
              </c:ext>
            </c:extLst>
          </c:dPt>
          <c:dPt>
            <c:idx val="18"/>
            <c:invertIfNegative val="0"/>
            <c:bubble3D val="0"/>
            <c:spPr>
              <a:solidFill>
                <a:srgbClr val="E1A8E9"/>
              </a:solidFill>
              <a:ln w="3175" cmpd="sng">
                <a:noFill/>
                <a:prstDash val="solid"/>
              </a:ln>
            </c:spPr>
            <c:extLst>
              <c:ext xmlns:c16="http://schemas.microsoft.com/office/drawing/2014/chart" uri="{C3380CC4-5D6E-409C-BE32-E72D297353CC}">
                <c16:uniqueId val="{00000387-66FB-4DD6-B810-B1991D3223B9}"/>
              </c:ext>
            </c:extLst>
          </c:dPt>
          <c:dPt>
            <c:idx val="19"/>
            <c:invertIfNegative val="0"/>
            <c:bubble3D val="0"/>
            <c:spPr>
              <a:solidFill>
                <a:srgbClr val="E1A8E9"/>
              </a:solidFill>
              <a:ln w="3175" cmpd="sng">
                <a:noFill/>
                <a:prstDash val="solid"/>
              </a:ln>
            </c:spPr>
            <c:extLst>
              <c:ext xmlns:c16="http://schemas.microsoft.com/office/drawing/2014/chart" uri="{C3380CC4-5D6E-409C-BE32-E72D297353CC}">
                <c16:uniqueId val="{00000389-66FB-4DD6-B810-B1991D3223B9}"/>
              </c:ext>
            </c:extLst>
          </c:dPt>
          <c:dPt>
            <c:idx val="20"/>
            <c:invertIfNegative val="0"/>
            <c:bubble3D val="0"/>
            <c:spPr>
              <a:solidFill>
                <a:srgbClr val="E1A8E9"/>
              </a:solidFill>
              <a:ln w="3175" cmpd="sng">
                <a:noFill/>
                <a:prstDash val="solid"/>
              </a:ln>
            </c:spPr>
            <c:extLst>
              <c:ext xmlns:c16="http://schemas.microsoft.com/office/drawing/2014/chart" uri="{C3380CC4-5D6E-409C-BE32-E72D297353CC}">
                <c16:uniqueId val="{0000038B-66FB-4DD6-B810-B1991D3223B9}"/>
              </c:ext>
            </c:extLst>
          </c:dPt>
          <c:dPt>
            <c:idx val="21"/>
            <c:invertIfNegative val="0"/>
            <c:bubble3D val="0"/>
            <c:spPr>
              <a:solidFill>
                <a:srgbClr val="E1A8E9"/>
              </a:solidFill>
              <a:ln w="3175" cmpd="sng">
                <a:noFill/>
                <a:prstDash val="solid"/>
              </a:ln>
            </c:spPr>
            <c:extLst>
              <c:ext xmlns:c16="http://schemas.microsoft.com/office/drawing/2014/chart" uri="{C3380CC4-5D6E-409C-BE32-E72D297353CC}">
                <c16:uniqueId val="{0000038D-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Data'!$C$13:$X$13</c:f>
              <c:numCache>
                <c:formatCode>#,##0_ ;\-#,##0\ </c:formatCode>
                <c:ptCount val="22"/>
                <c:pt idx="0">
                  <c:v>-1345.3328683503498</c:v>
                </c:pt>
                <c:pt idx="1">
                  <c:v>-139.01073423778746</c:v>
                </c:pt>
                <c:pt idx="2">
                  <c:v>-103.76835065222497</c:v>
                </c:pt>
                <c:pt idx="3">
                  <c:v>-209.69502368476245</c:v>
                </c:pt>
                <c:pt idx="4">
                  <c:v>-520.76459660802561</c:v>
                </c:pt>
                <c:pt idx="5">
                  <c:v>-511.87381075105048</c:v>
                </c:pt>
                <c:pt idx="6">
                  <c:v>-697.0572061798506</c:v>
                </c:pt>
                <c:pt idx="7">
                  <c:v>-1486.356796890251</c:v>
                </c:pt>
                <c:pt idx="8">
                  <c:v>-1874.7040792789508</c:v>
                </c:pt>
                <c:pt idx="9">
                  <c:v>-1772.2355968809507</c:v>
                </c:pt>
                <c:pt idx="10">
                  <c:v>-1991.6528014916505</c:v>
                </c:pt>
                <c:pt idx="11">
                  <c:v>-2267.6155188506632</c:v>
                </c:pt>
                <c:pt idx="12">
                  <c:v>-2173.965973144213</c:v>
                </c:pt>
                <c:pt idx="13">
                  <c:v>-2202.7739019170131</c:v>
                </c:pt>
                <c:pt idx="14">
                  <c:v>-3040.2643034651378</c:v>
                </c:pt>
                <c:pt idx="15">
                  <c:v>-3098.7633470095366</c:v>
                </c:pt>
                <c:pt idx="16">
                  <c:v>-2622.8708243983997</c:v>
                </c:pt>
                <c:pt idx="17">
                  <c:v>-1779.0956877277249</c:v>
                </c:pt>
                <c:pt idx="18">
                  <c:v>-2911.9547242840249</c:v>
                </c:pt>
                <c:pt idx="19">
                  <c:v>-2962.743086861426</c:v>
                </c:pt>
                <c:pt idx="20">
                  <c:v>-3006.539523034688</c:v>
                </c:pt>
                <c:pt idx="21">
                  <c:v>-3105.0132110984214</c:v>
                </c:pt>
              </c:numCache>
            </c:numRef>
          </c:val>
          <c:extLst>
            <c:ext xmlns:c16="http://schemas.microsoft.com/office/drawing/2014/chart" uri="{C3380CC4-5D6E-409C-BE32-E72D297353CC}">
              <c16:uniqueId val="{0000038E-66FB-4DD6-B810-B1991D3223B9}"/>
            </c:ext>
          </c:extLst>
        </c:ser>
        <c:ser>
          <c:idx val="7"/>
          <c:order val="12"/>
          <c:tx>
            <c:strRef>
              <c:f>'NEMEnergyGenerated Data'!$B$10</c:f>
              <c:strCache>
                <c:ptCount val="1"/>
                <c:pt idx="0">
                  <c:v>Distributed storage load</c:v>
                </c:pt>
              </c:strCache>
            </c:strRef>
          </c:tx>
          <c:spPr>
            <a:solidFill>
              <a:srgbClr val="89FF89"/>
            </a:solidFill>
            <a:ln>
              <a:noFill/>
            </a:ln>
            <a:effectLst/>
          </c:spPr>
          <c:invertIfNegative val="0"/>
          <c:dPt>
            <c:idx val="0"/>
            <c:invertIfNegative val="0"/>
            <c:bubble3D val="0"/>
            <c:extLst>
              <c:ext xmlns:c16="http://schemas.microsoft.com/office/drawing/2014/chart" uri="{C3380CC4-5D6E-409C-BE32-E72D297353CC}">
                <c16:uniqueId val="{00000347-66FB-4DD6-B810-B1991D3223B9}"/>
              </c:ext>
            </c:extLst>
          </c:dPt>
          <c:dPt>
            <c:idx val="1"/>
            <c:invertIfNegative val="0"/>
            <c:bubble3D val="0"/>
            <c:extLst>
              <c:ext xmlns:c16="http://schemas.microsoft.com/office/drawing/2014/chart" uri="{C3380CC4-5D6E-409C-BE32-E72D297353CC}">
                <c16:uniqueId val="{00000348-66FB-4DD6-B810-B1991D3223B9}"/>
              </c:ext>
            </c:extLst>
          </c:dPt>
          <c:dPt>
            <c:idx val="2"/>
            <c:invertIfNegative val="0"/>
            <c:bubble3D val="0"/>
            <c:extLst>
              <c:ext xmlns:c16="http://schemas.microsoft.com/office/drawing/2014/chart" uri="{C3380CC4-5D6E-409C-BE32-E72D297353CC}">
                <c16:uniqueId val="{00000349-66FB-4DD6-B810-B1991D3223B9}"/>
              </c:ext>
            </c:extLst>
          </c:dPt>
          <c:dPt>
            <c:idx val="3"/>
            <c:invertIfNegative val="0"/>
            <c:bubble3D val="0"/>
            <c:extLst>
              <c:ext xmlns:c16="http://schemas.microsoft.com/office/drawing/2014/chart" uri="{C3380CC4-5D6E-409C-BE32-E72D297353CC}">
                <c16:uniqueId val="{0000034A-66FB-4DD6-B810-B1991D3223B9}"/>
              </c:ext>
            </c:extLst>
          </c:dPt>
          <c:dPt>
            <c:idx val="4"/>
            <c:invertIfNegative val="0"/>
            <c:bubble3D val="0"/>
            <c:extLst>
              <c:ext xmlns:c16="http://schemas.microsoft.com/office/drawing/2014/chart" uri="{C3380CC4-5D6E-409C-BE32-E72D297353CC}">
                <c16:uniqueId val="{0000034B-66FB-4DD6-B810-B1991D3223B9}"/>
              </c:ext>
            </c:extLst>
          </c:dPt>
          <c:dPt>
            <c:idx val="5"/>
            <c:invertIfNegative val="0"/>
            <c:bubble3D val="0"/>
            <c:extLst>
              <c:ext xmlns:c16="http://schemas.microsoft.com/office/drawing/2014/chart" uri="{C3380CC4-5D6E-409C-BE32-E72D297353CC}">
                <c16:uniqueId val="{0000034C-66FB-4DD6-B810-B1991D3223B9}"/>
              </c:ext>
            </c:extLst>
          </c:dPt>
          <c:dPt>
            <c:idx val="6"/>
            <c:invertIfNegative val="0"/>
            <c:bubble3D val="0"/>
            <c:extLst>
              <c:ext xmlns:c16="http://schemas.microsoft.com/office/drawing/2014/chart" uri="{C3380CC4-5D6E-409C-BE32-E72D297353CC}">
                <c16:uniqueId val="{0000034D-66FB-4DD6-B810-B1991D3223B9}"/>
              </c:ext>
            </c:extLst>
          </c:dPt>
          <c:dPt>
            <c:idx val="7"/>
            <c:invertIfNegative val="0"/>
            <c:bubble3D val="0"/>
            <c:extLst>
              <c:ext xmlns:c16="http://schemas.microsoft.com/office/drawing/2014/chart" uri="{C3380CC4-5D6E-409C-BE32-E72D297353CC}">
                <c16:uniqueId val="{0000034E-66FB-4DD6-B810-B1991D3223B9}"/>
              </c:ext>
            </c:extLst>
          </c:dPt>
          <c:dPt>
            <c:idx val="8"/>
            <c:invertIfNegative val="0"/>
            <c:bubble3D val="0"/>
            <c:extLst>
              <c:ext xmlns:c16="http://schemas.microsoft.com/office/drawing/2014/chart" uri="{C3380CC4-5D6E-409C-BE32-E72D297353CC}">
                <c16:uniqueId val="{0000034F-66FB-4DD6-B810-B1991D3223B9}"/>
              </c:ext>
            </c:extLst>
          </c:dPt>
          <c:dPt>
            <c:idx val="9"/>
            <c:invertIfNegative val="0"/>
            <c:bubble3D val="0"/>
            <c:extLst>
              <c:ext xmlns:c16="http://schemas.microsoft.com/office/drawing/2014/chart" uri="{C3380CC4-5D6E-409C-BE32-E72D297353CC}">
                <c16:uniqueId val="{00000350-66FB-4DD6-B810-B1991D3223B9}"/>
              </c:ext>
            </c:extLst>
          </c:dPt>
          <c:dPt>
            <c:idx val="10"/>
            <c:invertIfNegative val="0"/>
            <c:bubble3D val="0"/>
            <c:extLst>
              <c:ext xmlns:c16="http://schemas.microsoft.com/office/drawing/2014/chart" uri="{C3380CC4-5D6E-409C-BE32-E72D297353CC}">
                <c16:uniqueId val="{00000351-66FB-4DD6-B810-B1991D3223B9}"/>
              </c:ext>
            </c:extLst>
          </c:dPt>
          <c:dPt>
            <c:idx val="11"/>
            <c:invertIfNegative val="0"/>
            <c:bubble3D val="0"/>
            <c:extLst>
              <c:ext xmlns:c16="http://schemas.microsoft.com/office/drawing/2014/chart" uri="{C3380CC4-5D6E-409C-BE32-E72D297353CC}">
                <c16:uniqueId val="{00000352-66FB-4DD6-B810-B1991D3223B9}"/>
              </c:ext>
            </c:extLst>
          </c:dPt>
          <c:dPt>
            <c:idx val="12"/>
            <c:invertIfNegative val="0"/>
            <c:bubble3D val="0"/>
            <c:extLst>
              <c:ext xmlns:c16="http://schemas.microsoft.com/office/drawing/2014/chart" uri="{C3380CC4-5D6E-409C-BE32-E72D297353CC}">
                <c16:uniqueId val="{00000353-66FB-4DD6-B810-B1991D3223B9}"/>
              </c:ext>
            </c:extLst>
          </c:dPt>
          <c:dPt>
            <c:idx val="13"/>
            <c:invertIfNegative val="0"/>
            <c:bubble3D val="0"/>
            <c:extLst>
              <c:ext xmlns:c16="http://schemas.microsoft.com/office/drawing/2014/chart" uri="{C3380CC4-5D6E-409C-BE32-E72D297353CC}">
                <c16:uniqueId val="{00000354-66FB-4DD6-B810-B1991D3223B9}"/>
              </c:ext>
            </c:extLst>
          </c:dPt>
          <c:dPt>
            <c:idx val="14"/>
            <c:invertIfNegative val="0"/>
            <c:bubble3D val="0"/>
            <c:extLst>
              <c:ext xmlns:c16="http://schemas.microsoft.com/office/drawing/2014/chart" uri="{C3380CC4-5D6E-409C-BE32-E72D297353CC}">
                <c16:uniqueId val="{00000355-66FB-4DD6-B810-B1991D3223B9}"/>
              </c:ext>
            </c:extLst>
          </c:dPt>
          <c:dPt>
            <c:idx val="15"/>
            <c:invertIfNegative val="0"/>
            <c:bubble3D val="0"/>
            <c:extLst>
              <c:ext xmlns:c16="http://schemas.microsoft.com/office/drawing/2014/chart" uri="{C3380CC4-5D6E-409C-BE32-E72D297353CC}">
                <c16:uniqueId val="{00000356-66FB-4DD6-B810-B1991D3223B9}"/>
              </c:ext>
            </c:extLst>
          </c:dPt>
          <c:dPt>
            <c:idx val="16"/>
            <c:invertIfNegative val="0"/>
            <c:bubble3D val="0"/>
            <c:extLst>
              <c:ext xmlns:c16="http://schemas.microsoft.com/office/drawing/2014/chart" uri="{C3380CC4-5D6E-409C-BE32-E72D297353CC}">
                <c16:uniqueId val="{00000357-66FB-4DD6-B810-B1991D3223B9}"/>
              </c:ext>
            </c:extLst>
          </c:dPt>
          <c:dPt>
            <c:idx val="17"/>
            <c:invertIfNegative val="0"/>
            <c:bubble3D val="0"/>
            <c:extLst>
              <c:ext xmlns:c16="http://schemas.microsoft.com/office/drawing/2014/chart" uri="{C3380CC4-5D6E-409C-BE32-E72D297353CC}">
                <c16:uniqueId val="{00000358-66FB-4DD6-B810-B1991D3223B9}"/>
              </c:ext>
            </c:extLst>
          </c:dPt>
          <c:dPt>
            <c:idx val="18"/>
            <c:invertIfNegative val="0"/>
            <c:bubble3D val="0"/>
            <c:extLst>
              <c:ext xmlns:c16="http://schemas.microsoft.com/office/drawing/2014/chart" uri="{C3380CC4-5D6E-409C-BE32-E72D297353CC}">
                <c16:uniqueId val="{00000359-66FB-4DD6-B810-B1991D3223B9}"/>
              </c:ext>
            </c:extLst>
          </c:dPt>
          <c:dPt>
            <c:idx val="19"/>
            <c:invertIfNegative val="0"/>
            <c:bubble3D val="0"/>
            <c:extLst>
              <c:ext xmlns:c16="http://schemas.microsoft.com/office/drawing/2014/chart" uri="{C3380CC4-5D6E-409C-BE32-E72D297353CC}">
                <c16:uniqueId val="{0000035A-66FB-4DD6-B810-B1991D3223B9}"/>
              </c:ext>
            </c:extLst>
          </c:dPt>
          <c:dPt>
            <c:idx val="20"/>
            <c:invertIfNegative val="0"/>
            <c:bubble3D val="0"/>
            <c:extLst>
              <c:ext xmlns:c16="http://schemas.microsoft.com/office/drawing/2014/chart" uri="{C3380CC4-5D6E-409C-BE32-E72D297353CC}">
                <c16:uniqueId val="{0000035B-66FB-4DD6-B810-B1991D3223B9}"/>
              </c:ext>
            </c:extLst>
          </c:dPt>
          <c:dPt>
            <c:idx val="21"/>
            <c:invertIfNegative val="0"/>
            <c:bubble3D val="0"/>
            <c:extLst>
              <c:ext xmlns:c16="http://schemas.microsoft.com/office/drawing/2014/chart" uri="{C3380CC4-5D6E-409C-BE32-E72D297353CC}">
                <c16:uniqueId val="{0000035C-66FB-4DD6-B810-B1991D3223B9}"/>
              </c:ext>
            </c:extLst>
          </c:dPt>
          <c:dPt>
            <c:idx val="22"/>
            <c:invertIfNegative val="0"/>
            <c:bubble3D val="0"/>
            <c:extLst>
              <c:ext xmlns:c16="http://schemas.microsoft.com/office/drawing/2014/chart" uri="{C3380CC4-5D6E-409C-BE32-E72D297353CC}">
                <c16:uniqueId val="{0000035D-66FB-4DD6-B810-B1991D3223B9}"/>
              </c:ext>
            </c:extLst>
          </c:dPt>
          <c:dPt>
            <c:idx val="23"/>
            <c:invertIfNegative val="0"/>
            <c:bubble3D val="0"/>
            <c:extLst>
              <c:ext xmlns:c16="http://schemas.microsoft.com/office/drawing/2014/chart" uri="{C3380CC4-5D6E-409C-BE32-E72D297353CC}">
                <c16:uniqueId val="{0000035E-66FB-4DD6-B810-B1991D3223B9}"/>
              </c:ext>
            </c:extLst>
          </c:dPt>
          <c:dPt>
            <c:idx val="24"/>
            <c:invertIfNegative val="0"/>
            <c:bubble3D val="0"/>
            <c:extLst>
              <c:ext xmlns:c16="http://schemas.microsoft.com/office/drawing/2014/chart" uri="{C3380CC4-5D6E-409C-BE32-E72D297353CC}">
                <c16:uniqueId val="{0000035F-66FB-4DD6-B810-B1991D3223B9}"/>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Data'!$C$10:$X$10</c:f>
              <c:numCache>
                <c:formatCode>#,##0_ ;\-#,##0\ </c:formatCode>
                <c:ptCount val="22"/>
                <c:pt idx="0">
                  <c:v>-129.64786896908885</c:v>
                </c:pt>
                <c:pt idx="1">
                  <c:v>-256.83333478139991</c:v>
                </c:pt>
                <c:pt idx="2">
                  <c:v>-368.87504838857768</c:v>
                </c:pt>
                <c:pt idx="3">
                  <c:v>-564.10106112270023</c:v>
                </c:pt>
                <c:pt idx="4">
                  <c:v>-813.60427256274409</c:v>
                </c:pt>
                <c:pt idx="5">
                  <c:v>-1020.9229514156661</c:v>
                </c:pt>
                <c:pt idx="6">
                  <c:v>-1170.7292633982761</c:v>
                </c:pt>
                <c:pt idx="7">
                  <c:v>-1325.2948361513579</c:v>
                </c:pt>
                <c:pt idx="8">
                  <c:v>-1493.00154131709</c:v>
                </c:pt>
                <c:pt idx="9">
                  <c:v>-1652.35975382981</c:v>
                </c:pt>
                <c:pt idx="10">
                  <c:v>-1876.8491130103691</c:v>
                </c:pt>
                <c:pt idx="11">
                  <c:v>-2019.7325104273577</c:v>
                </c:pt>
                <c:pt idx="12">
                  <c:v>-2127.2645664615989</c:v>
                </c:pt>
                <c:pt idx="13">
                  <c:v>-2268.4753258598221</c:v>
                </c:pt>
                <c:pt idx="14">
                  <c:v>-2391.6936488850988</c:v>
                </c:pt>
                <c:pt idx="15">
                  <c:v>-2511.7484551140456</c:v>
                </c:pt>
                <c:pt idx="16">
                  <c:v>-2636.589618768011</c:v>
                </c:pt>
                <c:pt idx="17">
                  <c:v>-2459.2875250201992</c:v>
                </c:pt>
                <c:pt idx="18">
                  <c:v>-2919.694432855621</c:v>
                </c:pt>
                <c:pt idx="19">
                  <c:v>-3039.0088063679323</c:v>
                </c:pt>
                <c:pt idx="20">
                  <c:v>-3129.3000658576661</c:v>
                </c:pt>
                <c:pt idx="21">
                  <c:v>-3254.9436558491357</c:v>
                </c:pt>
              </c:numCache>
            </c:numRef>
          </c:val>
          <c:extLst>
            <c:ext xmlns:c16="http://schemas.microsoft.com/office/drawing/2014/chart" uri="{C3380CC4-5D6E-409C-BE32-E72D297353CC}">
              <c16:uniqueId val="{00000360-66FB-4DD6-B810-B1991D3223B9}"/>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8322709635219802"/>
              <c:y val="0.74525694399438258"/>
            </c:manualLayout>
          </c:layout>
          <c:overlay val="0"/>
          <c:spPr>
            <a:noFill/>
            <a:ln>
              <a:noFill/>
            </a:ln>
            <a:effectLst/>
          </c:sp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Energy Generated (GWh)</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6.4604715849622019E-2"/>
          <c:y val="0.80836030207477083"/>
          <c:w val="0.87297990120331437"/>
          <c:h val="0.15018997401582546"/>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3526772857308464"/>
          <c:y val="3.2648402413411041E-2"/>
          <c:w val="0.84059724936764346"/>
          <c:h val="0.62071273542431116"/>
        </c:manualLayout>
      </c:layout>
      <c:barChart>
        <c:barDir val="col"/>
        <c:grouping val="stacked"/>
        <c:varyColors val="0"/>
        <c:ser>
          <c:idx val="0"/>
          <c:order val="0"/>
          <c:tx>
            <c:strRef>
              <c:f>'NewAndRetiredCapacity Data'!$A$3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3A-1585-4240-9287-D8800A62180D}"/>
              </c:ext>
            </c:extLst>
          </c:dPt>
          <c:dPt>
            <c:idx val="1"/>
            <c:invertIfNegative val="0"/>
            <c:bubble3D val="0"/>
            <c:extLst>
              <c:ext xmlns:c16="http://schemas.microsoft.com/office/drawing/2014/chart" uri="{C3380CC4-5D6E-409C-BE32-E72D297353CC}">
                <c16:uniqueId val="{0000013B-1585-4240-9287-D8800A62180D}"/>
              </c:ext>
            </c:extLst>
          </c:dPt>
          <c:dPt>
            <c:idx val="2"/>
            <c:invertIfNegative val="0"/>
            <c:bubble3D val="0"/>
            <c:extLst>
              <c:ext xmlns:c16="http://schemas.microsoft.com/office/drawing/2014/chart" uri="{C3380CC4-5D6E-409C-BE32-E72D297353CC}">
                <c16:uniqueId val="{0000013C-1585-4240-9287-D8800A62180D}"/>
              </c:ext>
            </c:extLst>
          </c:dPt>
          <c:dPt>
            <c:idx val="3"/>
            <c:invertIfNegative val="0"/>
            <c:bubble3D val="0"/>
            <c:extLst>
              <c:ext xmlns:c16="http://schemas.microsoft.com/office/drawing/2014/chart" uri="{C3380CC4-5D6E-409C-BE32-E72D297353CC}">
                <c16:uniqueId val="{0000013D-1585-4240-9287-D8800A62180D}"/>
              </c:ext>
            </c:extLst>
          </c:dPt>
          <c:dPt>
            <c:idx val="4"/>
            <c:invertIfNegative val="0"/>
            <c:bubble3D val="0"/>
            <c:extLst>
              <c:ext xmlns:c16="http://schemas.microsoft.com/office/drawing/2014/chart" uri="{C3380CC4-5D6E-409C-BE32-E72D297353CC}">
                <c16:uniqueId val="{0000013E-1585-4240-9287-D8800A62180D}"/>
              </c:ext>
            </c:extLst>
          </c:dPt>
          <c:dPt>
            <c:idx val="5"/>
            <c:invertIfNegative val="0"/>
            <c:bubble3D val="0"/>
            <c:extLst>
              <c:ext xmlns:c16="http://schemas.microsoft.com/office/drawing/2014/chart" uri="{C3380CC4-5D6E-409C-BE32-E72D297353CC}">
                <c16:uniqueId val="{0000013F-1585-4240-9287-D8800A62180D}"/>
              </c:ext>
            </c:extLst>
          </c:dPt>
          <c:dPt>
            <c:idx val="6"/>
            <c:invertIfNegative val="0"/>
            <c:bubble3D val="0"/>
            <c:extLst>
              <c:ext xmlns:c16="http://schemas.microsoft.com/office/drawing/2014/chart" uri="{C3380CC4-5D6E-409C-BE32-E72D297353CC}">
                <c16:uniqueId val="{00000140-1585-4240-9287-D8800A62180D}"/>
              </c:ext>
            </c:extLst>
          </c:dPt>
          <c:dPt>
            <c:idx val="7"/>
            <c:invertIfNegative val="0"/>
            <c:bubble3D val="0"/>
            <c:extLst>
              <c:ext xmlns:c16="http://schemas.microsoft.com/office/drawing/2014/chart" uri="{C3380CC4-5D6E-409C-BE32-E72D297353CC}">
                <c16:uniqueId val="{00000141-1585-4240-9287-D8800A62180D}"/>
              </c:ext>
            </c:extLst>
          </c:dPt>
          <c:dPt>
            <c:idx val="8"/>
            <c:invertIfNegative val="0"/>
            <c:bubble3D val="0"/>
            <c:extLst>
              <c:ext xmlns:c16="http://schemas.microsoft.com/office/drawing/2014/chart" uri="{C3380CC4-5D6E-409C-BE32-E72D297353CC}">
                <c16:uniqueId val="{00000142-1585-4240-9287-D8800A62180D}"/>
              </c:ext>
            </c:extLst>
          </c:dPt>
          <c:dPt>
            <c:idx val="9"/>
            <c:invertIfNegative val="0"/>
            <c:bubble3D val="0"/>
            <c:extLst>
              <c:ext xmlns:c16="http://schemas.microsoft.com/office/drawing/2014/chart" uri="{C3380CC4-5D6E-409C-BE32-E72D297353CC}">
                <c16:uniqueId val="{00000143-1585-4240-9287-D8800A62180D}"/>
              </c:ext>
            </c:extLst>
          </c:dPt>
          <c:dPt>
            <c:idx val="10"/>
            <c:invertIfNegative val="0"/>
            <c:bubble3D val="0"/>
            <c:extLst>
              <c:ext xmlns:c16="http://schemas.microsoft.com/office/drawing/2014/chart" uri="{C3380CC4-5D6E-409C-BE32-E72D297353CC}">
                <c16:uniqueId val="{00000144-1585-4240-9287-D8800A62180D}"/>
              </c:ext>
            </c:extLst>
          </c:dPt>
          <c:dPt>
            <c:idx val="11"/>
            <c:invertIfNegative val="0"/>
            <c:bubble3D val="0"/>
            <c:extLst>
              <c:ext xmlns:c16="http://schemas.microsoft.com/office/drawing/2014/chart" uri="{C3380CC4-5D6E-409C-BE32-E72D297353CC}">
                <c16:uniqueId val="{00000145-1585-4240-9287-D8800A62180D}"/>
              </c:ext>
            </c:extLst>
          </c:dPt>
          <c:dPt>
            <c:idx val="12"/>
            <c:invertIfNegative val="0"/>
            <c:bubble3D val="0"/>
            <c:extLst>
              <c:ext xmlns:c16="http://schemas.microsoft.com/office/drawing/2014/chart" uri="{C3380CC4-5D6E-409C-BE32-E72D297353CC}">
                <c16:uniqueId val="{00000146-1585-4240-9287-D8800A62180D}"/>
              </c:ext>
            </c:extLst>
          </c:dPt>
          <c:dPt>
            <c:idx val="13"/>
            <c:invertIfNegative val="0"/>
            <c:bubble3D val="0"/>
            <c:extLst>
              <c:ext xmlns:c16="http://schemas.microsoft.com/office/drawing/2014/chart" uri="{C3380CC4-5D6E-409C-BE32-E72D297353CC}">
                <c16:uniqueId val="{00000147-1585-4240-9287-D8800A62180D}"/>
              </c:ext>
            </c:extLst>
          </c:dPt>
          <c:dPt>
            <c:idx val="14"/>
            <c:invertIfNegative val="0"/>
            <c:bubble3D val="0"/>
            <c:extLst>
              <c:ext xmlns:c16="http://schemas.microsoft.com/office/drawing/2014/chart" uri="{C3380CC4-5D6E-409C-BE32-E72D297353CC}">
                <c16:uniqueId val="{00000148-1585-4240-9287-D8800A62180D}"/>
              </c:ext>
            </c:extLst>
          </c:dPt>
          <c:dPt>
            <c:idx val="15"/>
            <c:invertIfNegative val="0"/>
            <c:bubble3D val="0"/>
            <c:extLst>
              <c:ext xmlns:c16="http://schemas.microsoft.com/office/drawing/2014/chart" uri="{C3380CC4-5D6E-409C-BE32-E72D297353CC}">
                <c16:uniqueId val="{00000149-1585-4240-9287-D8800A62180D}"/>
              </c:ext>
            </c:extLst>
          </c:dPt>
          <c:dPt>
            <c:idx val="16"/>
            <c:invertIfNegative val="0"/>
            <c:bubble3D val="0"/>
            <c:extLst>
              <c:ext xmlns:c16="http://schemas.microsoft.com/office/drawing/2014/chart" uri="{C3380CC4-5D6E-409C-BE32-E72D297353CC}">
                <c16:uniqueId val="{0000014A-1585-4240-9287-D8800A62180D}"/>
              </c:ext>
            </c:extLst>
          </c:dPt>
          <c:dPt>
            <c:idx val="17"/>
            <c:invertIfNegative val="0"/>
            <c:bubble3D val="0"/>
            <c:extLst>
              <c:ext xmlns:c16="http://schemas.microsoft.com/office/drawing/2014/chart" uri="{C3380CC4-5D6E-409C-BE32-E72D297353CC}">
                <c16:uniqueId val="{0000014B-1585-4240-9287-D8800A62180D}"/>
              </c:ext>
            </c:extLst>
          </c:dPt>
          <c:dPt>
            <c:idx val="18"/>
            <c:invertIfNegative val="0"/>
            <c:bubble3D val="0"/>
            <c:extLst>
              <c:ext xmlns:c16="http://schemas.microsoft.com/office/drawing/2014/chart" uri="{C3380CC4-5D6E-409C-BE32-E72D297353CC}">
                <c16:uniqueId val="{0000014C-1585-4240-9287-D8800A62180D}"/>
              </c:ext>
            </c:extLst>
          </c:dPt>
          <c:dPt>
            <c:idx val="19"/>
            <c:invertIfNegative val="0"/>
            <c:bubble3D val="0"/>
            <c:extLst>
              <c:ext xmlns:c16="http://schemas.microsoft.com/office/drawing/2014/chart" uri="{C3380CC4-5D6E-409C-BE32-E72D297353CC}">
                <c16:uniqueId val="{0000014D-1585-4240-9287-D8800A62180D}"/>
              </c:ext>
            </c:extLst>
          </c:dPt>
          <c:dPt>
            <c:idx val="20"/>
            <c:invertIfNegative val="0"/>
            <c:bubble3D val="0"/>
            <c:extLst>
              <c:ext xmlns:c16="http://schemas.microsoft.com/office/drawing/2014/chart" uri="{C3380CC4-5D6E-409C-BE32-E72D297353CC}">
                <c16:uniqueId val="{0000014E-1585-4240-9287-D8800A62180D}"/>
              </c:ext>
            </c:extLst>
          </c:dPt>
          <c:dPt>
            <c:idx val="21"/>
            <c:invertIfNegative val="0"/>
            <c:bubble3D val="0"/>
            <c:extLst>
              <c:ext xmlns:c16="http://schemas.microsoft.com/office/drawing/2014/chart" uri="{C3380CC4-5D6E-409C-BE32-E72D297353CC}">
                <c16:uniqueId val="{0000014F-1585-4240-9287-D8800A62180D}"/>
              </c:ext>
            </c:extLst>
          </c:dPt>
          <c:dPt>
            <c:idx val="22"/>
            <c:invertIfNegative val="0"/>
            <c:bubble3D val="0"/>
            <c:extLst>
              <c:ext xmlns:c16="http://schemas.microsoft.com/office/drawing/2014/chart" uri="{C3380CC4-5D6E-409C-BE32-E72D297353CC}">
                <c16:uniqueId val="{00000150-1585-4240-9287-D8800A62180D}"/>
              </c:ext>
            </c:extLst>
          </c:dPt>
          <c:dPt>
            <c:idx val="23"/>
            <c:invertIfNegative val="0"/>
            <c:bubble3D val="0"/>
            <c:extLst>
              <c:ext xmlns:c16="http://schemas.microsoft.com/office/drawing/2014/chart" uri="{C3380CC4-5D6E-409C-BE32-E72D297353CC}">
                <c16:uniqueId val="{00000151-1585-4240-9287-D8800A62180D}"/>
              </c:ext>
            </c:extLst>
          </c:dPt>
          <c:dPt>
            <c:idx val="24"/>
            <c:invertIfNegative val="0"/>
            <c:bubble3D val="0"/>
            <c:extLst>
              <c:ext xmlns:c16="http://schemas.microsoft.com/office/drawing/2014/chart" uri="{C3380CC4-5D6E-409C-BE32-E72D297353CC}">
                <c16:uniqueId val="{00000152-1585-4240-9287-D8800A62180D}"/>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Data'!$B$3:$W$3</c:f>
              <c:numCache>
                <c:formatCode>#,##0_ ;\-#,##0\ </c:formatCode>
                <c:ptCount val="22"/>
                <c:pt idx="0">
                  <c:v>0</c:v>
                </c:pt>
                <c:pt idx="1">
                  <c:v>0</c:v>
                </c:pt>
                <c:pt idx="2">
                  <c:v>0</c:v>
                </c:pt>
                <c:pt idx="3">
                  <c:v>0</c:v>
                </c:pt>
                <c:pt idx="4">
                  <c:v>-1800</c:v>
                </c:pt>
                <c:pt idx="5">
                  <c:v>-1800</c:v>
                </c:pt>
                <c:pt idx="6">
                  <c:v>-1800</c:v>
                </c:pt>
                <c:pt idx="7">
                  <c:v>-1800</c:v>
                </c:pt>
                <c:pt idx="8">
                  <c:v>-2165</c:v>
                </c:pt>
                <c:pt idx="9">
                  <c:v>-2165</c:v>
                </c:pt>
                <c:pt idx="10">
                  <c:v>-3485</c:v>
                </c:pt>
                <c:pt idx="11">
                  <c:v>-5165</c:v>
                </c:pt>
                <c:pt idx="12">
                  <c:v>-5165</c:v>
                </c:pt>
                <c:pt idx="13">
                  <c:v>-5165</c:v>
                </c:pt>
                <c:pt idx="14">
                  <c:v>-5165</c:v>
                </c:pt>
                <c:pt idx="15">
                  <c:v>-5165</c:v>
                </c:pt>
                <c:pt idx="16">
                  <c:v>-8045</c:v>
                </c:pt>
                <c:pt idx="17">
                  <c:v>-10685</c:v>
                </c:pt>
                <c:pt idx="18">
                  <c:v>-12085</c:v>
                </c:pt>
                <c:pt idx="19">
                  <c:v>-12085</c:v>
                </c:pt>
                <c:pt idx="20">
                  <c:v>-12785</c:v>
                </c:pt>
                <c:pt idx="21">
                  <c:v>-12785</c:v>
                </c:pt>
              </c:numCache>
            </c:numRef>
          </c:val>
          <c:extLst>
            <c:ext xmlns:c16="http://schemas.microsoft.com/office/drawing/2014/chart" uri="{C3380CC4-5D6E-409C-BE32-E72D297353CC}">
              <c16:uniqueId val="{00000153-1585-4240-9287-D8800A62180D}"/>
            </c:ext>
          </c:extLst>
        </c:ser>
        <c:ser>
          <c:idx val="1"/>
          <c:order val="1"/>
          <c:tx>
            <c:strRef>
              <c:f>'NewAndRetiredCapacity Data'!$A$4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155-1585-4240-9287-D8800A62180D}"/>
              </c:ext>
            </c:extLst>
          </c:dPt>
          <c:dPt>
            <c:idx val="1"/>
            <c:invertIfNegative val="0"/>
            <c:bubble3D val="0"/>
            <c:extLst>
              <c:ext xmlns:c16="http://schemas.microsoft.com/office/drawing/2014/chart" uri="{C3380CC4-5D6E-409C-BE32-E72D297353CC}">
                <c16:uniqueId val="{00000156-1585-4240-9287-D8800A62180D}"/>
              </c:ext>
            </c:extLst>
          </c:dPt>
          <c:dPt>
            <c:idx val="2"/>
            <c:invertIfNegative val="0"/>
            <c:bubble3D val="0"/>
            <c:extLst>
              <c:ext xmlns:c16="http://schemas.microsoft.com/office/drawing/2014/chart" uri="{C3380CC4-5D6E-409C-BE32-E72D297353CC}">
                <c16:uniqueId val="{00000157-1585-4240-9287-D8800A62180D}"/>
              </c:ext>
            </c:extLst>
          </c:dPt>
          <c:dPt>
            <c:idx val="3"/>
            <c:invertIfNegative val="0"/>
            <c:bubble3D val="0"/>
            <c:extLst>
              <c:ext xmlns:c16="http://schemas.microsoft.com/office/drawing/2014/chart" uri="{C3380CC4-5D6E-409C-BE32-E72D297353CC}">
                <c16:uniqueId val="{00000158-1585-4240-9287-D8800A62180D}"/>
              </c:ext>
            </c:extLst>
          </c:dPt>
          <c:dPt>
            <c:idx val="4"/>
            <c:invertIfNegative val="0"/>
            <c:bubble3D val="0"/>
            <c:extLst>
              <c:ext xmlns:c16="http://schemas.microsoft.com/office/drawing/2014/chart" uri="{C3380CC4-5D6E-409C-BE32-E72D297353CC}">
                <c16:uniqueId val="{00000159-1585-4240-9287-D8800A62180D}"/>
              </c:ext>
            </c:extLst>
          </c:dPt>
          <c:dPt>
            <c:idx val="5"/>
            <c:invertIfNegative val="0"/>
            <c:bubble3D val="0"/>
            <c:extLst>
              <c:ext xmlns:c16="http://schemas.microsoft.com/office/drawing/2014/chart" uri="{C3380CC4-5D6E-409C-BE32-E72D297353CC}">
                <c16:uniqueId val="{0000015A-1585-4240-9287-D8800A62180D}"/>
              </c:ext>
            </c:extLst>
          </c:dPt>
          <c:dPt>
            <c:idx val="6"/>
            <c:invertIfNegative val="0"/>
            <c:bubble3D val="0"/>
            <c:extLst>
              <c:ext xmlns:c16="http://schemas.microsoft.com/office/drawing/2014/chart" uri="{C3380CC4-5D6E-409C-BE32-E72D297353CC}">
                <c16:uniqueId val="{0000015B-1585-4240-9287-D8800A62180D}"/>
              </c:ext>
            </c:extLst>
          </c:dPt>
          <c:dPt>
            <c:idx val="7"/>
            <c:invertIfNegative val="0"/>
            <c:bubble3D val="0"/>
            <c:extLst>
              <c:ext xmlns:c16="http://schemas.microsoft.com/office/drawing/2014/chart" uri="{C3380CC4-5D6E-409C-BE32-E72D297353CC}">
                <c16:uniqueId val="{0000015C-1585-4240-9287-D8800A62180D}"/>
              </c:ext>
            </c:extLst>
          </c:dPt>
          <c:dPt>
            <c:idx val="8"/>
            <c:invertIfNegative val="0"/>
            <c:bubble3D val="0"/>
            <c:extLst>
              <c:ext xmlns:c16="http://schemas.microsoft.com/office/drawing/2014/chart" uri="{C3380CC4-5D6E-409C-BE32-E72D297353CC}">
                <c16:uniqueId val="{0000015D-1585-4240-9287-D8800A62180D}"/>
              </c:ext>
            </c:extLst>
          </c:dPt>
          <c:dPt>
            <c:idx val="9"/>
            <c:invertIfNegative val="0"/>
            <c:bubble3D val="0"/>
            <c:extLst>
              <c:ext xmlns:c16="http://schemas.microsoft.com/office/drawing/2014/chart" uri="{C3380CC4-5D6E-409C-BE32-E72D297353CC}">
                <c16:uniqueId val="{0000015E-1585-4240-9287-D8800A62180D}"/>
              </c:ext>
            </c:extLst>
          </c:dPt>
          <c:dPt>
            <c:idx val="10"/>
            <c:invertIfNegative val="0"/>
            <c:bubble3D val="0"/>
            <c:extLst>
              <c:ext xmlns:c16="http://schemas.microsoft.com/office/drawing/2014/chart" uri="{C3380CC4-5D6E-409C-BE32-E72D297353CC}">
                <c16:uniqueId val="{0000015F-1585-4240-9287-D8800A62180D}"/>
              </c:ext>
            </c:extLst>
          </c:dPt>
          <c:dPt>
            <c:idx val="11"/>
            <c:invertIfNegative val="0"/>
            <c:bubble3D val="0"/>
            <c:extLst>
              <c:ext xmlns:c16="http://schemas.microsoft.com/office/drawing/2014/chart" uri="{C3380CC4-5D6E-409C-BE32-E72D297353CC}">
                <c16:uniqueId val="{00000160-1585-4240-9287-D8800A62180D}"/>
              </c:ext>
            </c:extLst>
          </c:dPt>
          <c:dPt>
            <c:idx val="12"/>
            <c:invertIfNegative val="0"/>
            <c:bubble3D val="0"/>
            <c:extLst>
              <c:ext xmlns:c16="http://schemas.microsoft.com/office/drawing/2014/chart" uri="{C3380CC4-5D6E-409C-BE32-E72D297353CC}">
                <c16:uniqueId val="{00000161-1585-4240-9287-D8800A62180D}"/>
              </c:ext>
            </c:extLst>
          </c:dPt>
          <c:dPt>
            <c:idx val="13"/>
            <c:invertIfNegative val="0"/>
            <c:bubble3D val="0"/>
            <c:extLst>
              <c:ext xmlns:c16="http://schemas.microsoft.com/office/drawing/2014/chart" uri="{C3380CC4-5D6E-409C-BE32-E72D297353CC}">
                <c16:uniqueId val="{00000162-1585-4240-9287-D8800A62180D}"/>
              </c:ext>
            </c:extLst>
          </c:dPt>
          <c:dPt>
            <c:idx val="14"/>
            <c:invertIfNegative val="0"/>
            <c:bubble3D val="0"/>
            <c:extLst>
              <c:ext xmlns:c16="http://schemas.microsoft.com/office/drawing/2014/chart" uri="{C3380CC4-5D6E-409C-BE32-E72D297353CC}">
                <c16:uniqueId val="{00000163-1585-4240-9287-D8800A62180D}"/>
              </c:ext>
            </c:extLst>
          </c:dPt>
          <c:dPt>
            <c:idx val="15"/>
            <c:invertIfNegative val="0"/>
            <c:bubble3D val="0"/>
            <c:extLst>
              <c:ext xmlns:c16="http://schemas.microsoft.com/office/drawing/2014/chart" uri="{C3380CC4-5D6E-409C-BE32-E72D297353CC}">
                <c16:uniqueId val="{00000164-1585-4240-9287-D8800A62180D}"/>
              </c:ext>
            </c:extLst>
          </c:dPt>
          <c:dPt>
            <c:idx val="16"/>
            <c:invertIfNegative val="0"/>
            <c:bubble3D val="0"/>
            <c:extLst>
              <c:ext xmlns:c16="http://schemas.microsoft.com/office/drawing/2014/chart" uri="{C3380CC4-5D6E-409C-BE32-E72D297353CC}">
                <c16:uniqueId val="{00000165-1585-4240-9287-D8800A62180D}"/>
              </c:ext>
            </c:extLst>
          </c:dPt>
          <c:dPt>
            <c:idx val="17"/>
            <c:invertIfNegative val="0"/>
            <c:bubble3D val="0"/>
            <c:extLst>
              <c:ext xmlns:c16="http://schemas.microsoft.com/office/drawing/2014/chart" uri="{C3380CC4-5D6E-409C-BE32-E72D297353CC}">
                <c16:uniqueId val="{00000166-1585-4240-9287-D8800A62180D}"/>
              </c:ext>
            </c:extLst>
          </c:dPt>
          <c:dPt>
            <c:idx val="18"/>
            <c:invertIfNegative val="0"/>
            <c:bubble3D val="0"/>
            <c:extLst>
              <c:ext xmlns:c16="http://schemas.microsoft.com/office/drawing/2014/chart" uri="{C3380CC4-5D6E-409C-BE32-E72D297353CC}">
                <c16:uniqueId val="{00000167-1585-4240-9287-D8800A62180D}"/>
              </c:ext>
            </c:extLst>
          </c:dPt>
          <c:dPt>
            <c:idx val="19"/>
            <c:invertIfNegative val="0"/>
            <c:bubble3D val="0"/>
            <c:extLst>
              <c:ext xmlns:c16="http://schemas.microsoft.com/office/drawing/2014/chart" uri="{C3380CC4-5D6E-409C-BE32-E72D297353CC}">
                <c16:uniqueId val="{00000168-1585-4240-9287-D8800A62180D}"/>
              </c:ext>
            </c:extLst>
          </c:dPt>
          <c:dPt>
            <c:idx val="20"/>
            <c:invertIfNegative val="0"/>
            <c:bubble3D val="0"/>
            <c:extLst>
              <c:ext xmlns:c16="http://schemas.microsoft.com/office/drawing/2014/chart" uri="{C3380CC4-5D6E-409C-BE32-E72D297353CC}">
                <c16:uniqueId val="{00000169-1585-4240-9287-D8800A62180D}"/>
              </c:ext>
            </c:extLst>
          </c:dPt>
          <c:dPt>
            <c:idx val="21"/>
            <c:invertIfNegative val="0"/>
            <c:bubble3D val="0"/>
            <c:extLst>
              <c:ext xmlns:c16="http://schemas.microsoft.com/office/drawing/2014/chart" uri="{C3380CC4-5D6E-409C-BE32-E72D297353CC}">
                <c16:uniqueId val="{0000016A-1585-4240-9287-D8800A62180D}"/>
              </c:ext>
            </c:extLst>
          </c:dPt>
          <c:dPt>
            <c:idx val="22"/>
            <c:invertIfNegative val="0"/>
            <c:bubble3D val="0"/>
            <c:extLst>
              <c:ext xmlns:c16="http://schemas.microsoft.com/office/drawing/2014/chart" uri="{C3380CC4-5D6E-409C-BE32-E72D297353CC}">
                <c16:uniqueId val="{0000016B-1585-4240-9287-D8800A62180D}"/>
              </c:ext>
            </c:extLst>
          </c:dPt>
          <c:dPt>
            <c:idx val="23"/>
            <c:invertIfNegative val="0"/>
            <c:bubble3D val="0"/>
            <c:extLst>
              <c:ext xmlns:c16="http://schemas.microsoft.com/office/drawing/2014/chart" uri="{C3380CC4-5D6E-409C-BE32-E72D297353CC}">
                <c16:uniqueId val="{0000016C-1585-4240-9287-D8800A62180D}"/>
              </c:ext>
            </c:extLst>
          </c:dPt>
          <c:dPt>
            <c:idx val="24"/>
            <c:invertIfNegative val="0"/>
            <c:bubble3D val="0"/>
            <c:extLst>
              <c:ext xmlns:c16="http://schemas.microsoft.com/office/drawing/2014/chart" uri="{C3380CC4-5D6E-409C-BE32-E72D297353CC}">
                <c16:uniqueId val="{0000016D-1585-4240-9287-D8800A62180D}"/>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Data'!$B$4:$W$4</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-1528</c:v>
                </c:pt>
                <c:pt idx="15">
                  <c:v>-1528</c:v>
                </c:pt>
                <c:pt idx="16">
                  <c:v>-1528</c:v>
                </c:pt>
                <c:pt idx="17">
                  <c:v>-1528</c:v>
                </c:pt>
                <c:pt idx="18">
                  <c:v>-1528</c:v>
                </c:pt>
                <c:pt idx="19">
                  <c:v>-1528</c:v>
                </c:pt>
                <c:pt idx="20">
                  <c:v>-1528</c:v>
                </c:pt>
                <c:pt idx="21">
                  <c:v>-1528</c:v>
                </c:pt>
              </c:numCache>
            </c:numRef>
          </c:val>
          <c:extLst>
            <c:ext xmlns:c16="http://schemas.microsoft.com/office/drawing/2014/chart" uri="{C3380CC4-5D6E-409C-BE32-E72D297353CC}">
              <c16:uniqueId val="{0000016E-1585-4240-9287-D8800A62180D}"/>
            </c:ext>
          </c:extLst>
        </c:ser>
        <c:ser>
          <c:idx val="2"/>
          <c:order val="2"/>
          <c:tx>
            <c:strRef>
              <c:f>'NewAndRetiredCapacity Data'!$A$5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170-1585-4240-9287-D8800A62180D}"/>
              </c:ext>
            </c:extLst>
          </c:dPt>
          <c:dPt>
            <c:idx val="1"/>
            <c:invertIfNegative val="0"/>
            <c:bubble3D val="0"/>
            <c:extLst>
              <c:ext xmlns:c16="http://schemas.microsoft.com/office/drawing/2014/chart" uri="{C3380CC4-5D6E-409C-BE32-E72D297353CC}">
                <c16:uniqueId val="{00000171-1585-4240-9287-D8800A62180D}"/>
              </c:ext>
            </c:extLst>
          </c:dPt>
          <c:dPt>
            <c:idx val="2"/>
            <c:invertIfNegative val="0"/>
            <c:bubble3D val="0"/>
            <c:extLst>
              <c:ext xmlns:c16="http://schemas.microsoft.com/office/drawing/2014/chart" uri="{C3380CC4-5D6E-409C-BE32-E72D297353CC}">
                <c16:uniqueId val="{00000172-1585-4240-9287-D8800A62180D}"/>
              </c:ext>
            </c:extLst>
          </c:dPt>
          <c:dPt>
            <c:idx val="3"/>
            <c:invertIfNegative val="0"/>
            <c:bubble3D val="0"/>
            <c:extLst>
              <c:ext xmlns:c16="http://schemas.microsoft.com/office/drawing/2014/chart" uri="{C3380CC4-5D6E-409C-BE32-E72D297353CC}">
                <c16:uniqueId val="{00000173-1585-4240-9287-D8800A62180D}"/>
              </c:ext>
            </c:extLst>
          </c:dPt>
          <c:dPt>
            <c:idx val="4"/>
            <c:invertIfNegative val="0"/>
            <c:bubble3D val="0"/>
            <c:extLst>
              <c:ext xmlns:c16="http://schemas.microsoft.com/office/drawing/2014/chart" uri="{C3380CC4-5D6E-409C-BE32-E72D297353CC}">
                <c16:uniqueId val="{00000174-1585-4240-9287-D8800A62180D}"/>
              </c:ext>
            </c:extLst>
          </c:dPt>
          <c:dPt>
            <c:idx val="5"/>
            <c:invertIfNegative val="0"/>
            <c:bubble3D val="0"/>
            <c:extLst>
              <c:ext xmlns:c16="http://schemas.microsoft.com/office/drawing/2014/chart" uri="{C3380CC4-5D6E-409C-BE32-E72D297353CC}">
                <c16:uniqueId val="{00000175-1585-4240-9287-D8800A62180D}"/>
              </c:ext>
            </c:extLst>
          </c:dPt>
          <c:dPt>
            <c:idx val="6"/>
            <c:invertIfNegative val="0"/>
            <c:bubble3D val="0"/>
            <c:extLst>
              <c:ext xmlns:c16="http://schemas.microsoft.com/office/drawing/2014/chart" uri="{C3380CC4-5D6E-409C-BE32-E72D297353CC}">
                <c16:uniqueId val="{00000176-1585-4240-9287-D8800A62180D}"/>
              </c:ext>
            </c:extLst>
          </c:dPt>
          <c:dPt>
            <c:idx val="7"/>
            <c:invertIfNegative val="0"/>
            <c:bubble3D val="0"/>
            <c:extLst>
              <c:ext xmlns:c16="http://schemas.microsoft.com/office/drawing/2014/chart" uri="{C3380CC4-5D6E-409C-BE32-E72D297353CC}">
                <c16:uniqueId val="{00000177-1585-4240-9287-D8800A62180D}"/>
              </c:ext>
            </c:extLst>
          </c:dPt>
          <c:dPt>
            <c:idx val="8"/>
            <c:invertIfNegative val="0"/>
            <c:bubble3D val="0"/>
            <c:extLst>
              <c:ext xmlns:c16="http://schemas.microsoft.com/office/drawing/2014/chart" uri="{C3380CC4-5D6E-409C-BE32-E72D297353CC}">
                <c16:uniqueId val="{00000178-1585-4240-9287-D8800A62180D}"/>
              </c:ext>
            </c:extLst>
          </c:dPt>
          <c:dPt>
            <c:idx val="9"/>
            <c:invertIfNegative val="0"/>
            <c:bubble3D val="0"/>
            <c:extLst>
              <c:ext xmlns:c16="http://schemas.microsoft.com/office/drawing/2014/chart" uri="{C3380CC4-5D6E-409C-BE32-E72D297353CC}">
                <c16:uniqueId val="{00000179-1585-4240-9287-D8800A62180D}"/>
              </c:ext>
            </c:extLst>
          </c:dPt>
          <c:dPt>
            <c:idx val="10"/>
            <c:invertIfNegative val="0"/>
            <c:bubble3D val="0"/>
            <c:extLst>
              <c:ext xmlns:c16="http://schemas.microsoft.com/office/drawing/2014/chart" uri="{C3380CC4-5D6E-409C-BE32-E72D297353CC}">
                <c16:uniqueId val="{0000017A-1585-4240-9287-D8800A62180D}"/>
              </c:ext>
            </c:extLst>
          </c:dPt>
          <c:dPt>
            <c:idx val="11"/>
            <c:invertIfNegative val="0"/>
            <c:bubble3D val="0"/>
            <c:extLst>
              <c:ext xmlns:c16="http://schemas.microsoft.com/office/drawing/2014/chart" uri="{C3380CC4-5D6E-409C-BE32-E72D297353CC}">
                <c16:uniqueId val="{0000017B-1585-4240-9287-D8800A62180D}"/>
              </c:ext>
            </c:extLst>
          </c:dPt>
          <c:dPt>
            <c:idx val="12"/>
            <c:invertIfNegative val="0"/>
            <c:bubble3D val="0"/>
            <c:extLst>
              <c:ext xmlns:c16="http://schemas.microsoft.com/office/drawing/2014/chart" uri="{C3380CC4-5D6E-409C-BE32-E72D297353CC}">
                <c16:uniqueId val="{0000017C-1585-4240-9287-D8800A62180D}"/>
              </c:ext>
            </c:extLst>
          </c:dPt>
          <c:dPt>
            <c:idx val="13"/>
            <c:invertIfNegative val="0"/>
            <c:bubble3D val="0"/>
            <c:extLst>
              <c:ext xmlns:c16="http://schemas.microsoft.com/office/drawing/2014/chart" uri="{C3380CC4-5D6E-409C-BE32-E72D297353CC}">
                <c16:uniqueId val="{0000017D-1585-4240-9287-D8800A62180D}"/>
              </c:ext>
            </c:extLst>
          </c:dPt>
          <c:dPt>
            <c:idx val="14"/>
            <c:invertIfNegative val="0"/>
            <c:bubble3D val="0"/>
            <c:extLst>
              <c:ext xmlns:c16="http://schemas.microsoft.com/office/drawing/2014/chart" uri="{C3380CC4-5D6E-409C-BE32-E72D297353CC}">
                <c16:uniqueId val="{0000017E-1585-4240-9287-D8800A62180D}"/>
              </c:ext>
            </c:extLst>
          </c:dPt>
          <c:dPt>
            <c:idx val="15"/>
            <c:invertIfNegative val="0"/>
            <c:bubble3D val="0"/>
            <c:extLst>
              <c:ext xmlns:c16="http://schemas.microsoft.com/office/drawing/2014/chart" uri="{C3380CC4-5D6E-409C-BE32-E72D297353CC}">
                <c16:uniqueId val="{0000017F-1585-4240-9287-D8800A62180D}"/>
              </c:ext>
            </c:extLst>
          </c:dPt>
          <c:dPt>
            <c:idx val="16"/>
            <c:invertIfNegative val="0"/>
            <c:bubble3D val="0"/>
            <c:extLst>
              <c:ext xmlns:c16="http://schemas.microsoft.com/office/drawing/2014/chart" uri="{C3380CC4-5D6E-409C-BE32-E72D297353CC}">
                <c16:uniqueId val="{00000180-1585-4240-9287-D8800A62180D}"/>
              </c:ext>
            </c:extLst>
          </c:dPt>
          <c:dPt>
            <c:idx val="17"/>
            <c:invertIfNegative val="0"/>
            <c:bubble3D val="0"/>
            <c:extLst>
              <c:ext xmlns:c16="http://schemas.microsoft.com/office/drawing/2014/chart" uri="{C3380CC4-5D6E-409C-BE32-E72D297353CC}">
                <c16:uniqueId val="{00000181-1585-4240-9287-D8800A62180D}"/>
              </c:ext>
            </c:extLst>
          </c:dPt>
          <c:dPt>
            <c:idx val="18"/>
            <c:invertIfNegative val="0"/>
            <c:bubble3D val="0"/>
            <c:extLst>
              <c:ext xmlns:c16="http://schemas.microsoft.com/office/drawing/2014/chart" uri="{C3380CC4-5D6E-409C-BE32-E72D297353CC}">
                <c16:uniqueId val="{00000182-1585-4240-9287-D8800A62180D}"/>
              </c:ext>
            </c:extLst>
          </c:dPt>
          <c:dPt>
            <c:idx val="19"/>
            <c:invertIfNegative val="0"/>
            <c:bubble3D val="0"/>
            <c:extLst>
              <c:ext xmlns:c16="http://schemas.microsoft.com/office/drawing/2014/chart" uri="{C3380CC4-5D6E-409C-BE32-E72D297353CC}">
                <c16:uniqueId val="{00000183-1585-4240-9287-D8800A62180D}"/>
              </c:ext>
            </c:extLst>
          </c:dPt>
          <c:dPt>
            <c:idx val="20"/>
            <c:invertIfNegative val="0"/>
            <c:bubble3D val="0"/>
            <c:extLst>
              <c:ext xmlns:c16="http://schemas.microsoft.com/office/drawing/2014/chart" uri="{C3380CC4-5D6E-409C-BE32-E72D297353CC}">
                <c16:uniqueId val="{00000184-1585-4240-9287-D8800A62180D}"/>
              </c:ext>
            </c:extLst>
          </c:dPt>
          <c:dPt>
            <c:idx val="21"/>
            <c:invertIfNegative val="0"/>
            <c:bubble3D val="0"/>
            <c:extLst>
              <c:ext xmlns:c16="http://schemas.microsoft.com/office/drawing/2014/chart" uri="{C3380CC4-5D6E-409C-BE32-E72D297353CC}">
                <c16:uniqueId val="{00000185-1585-4240-9287-D8800A62180D}"/>
              </c:ext>
            </c:extLst>
          </c:dPt>
          <c:dPt>
            <c:idx val="22"/>
            <c:invertIfNegative val="0"/>
            <c:bubble3D val="0"/>
            <c:extLst>
              <c:ext xmlns:c16="http://schemas.microsoft.com/office/drawing/2014/chart" uri="{C3380CC4-5D6E-409C-BE32-E72D297353CC}">
                <c16:uniqueId val="{00000186-1585-4240-9287-D8800A62180D}"/>
              </c:ext>
            </c:extLst>
          </c:dPt>
          <c:dPt>
            <c:idx val="23"/>
            <c:invertIfNegative val="0"/>
            <c:bubble3D val="0"/>
            <c:extLst>
              <c:ext xmlns:c16="http://schemas.microsoft.com/office/drawing/2014/chart" uri="{C3380CC4-5D6E-409C-BE32-E72D297353CC}">
                <c16:uniqueId val="{00000187-1585-4240-9287-D8800A62180D}"/>
              </c:ext>
            </c:extLst>
          </c:dPt>
          <c:dPt>
            <c:idx val="24"/>
            <c:invertIfNegative val="0"/>
            <c:bubble3D val="0"/>
            <c:extLst>
              <c:ext xmlns:c16="http://schemas.microsoft.com/office/drawing/2014/chart" uri="{C3380CC4-5D6E-409C-BE32-E72D297353CC}">
                <c16:uniqueId val="{00000188-1585-4240-9287-D8800A62180D}"/>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Data'!$B$5:$W$5</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189-1585-4240-9287-D8800A62180D}"/>
            </c:ext>
          </c:extLst>
        </c:ser>
        <c:ser>
          <c:idx val="3"/>
          <c:order val="3"/>
          <c:tx>
            <c:strRef>
              <c:f>'NewAndRetiredCapacity Data'!$A$6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18B-1585-4240-9287-D8800A62180D}"/>
              </c:ext>
            </c:extLst>
          </c:dPt>
          <c:dPt>
            <c:idx val="1"/>
            <c:invertIfNegative val="0"/>
            <c:bubble3D val="0"/>
            <c:extLst>
              <c:ext xmlns:c16="http://schemas.microsoft.com/office/drawing/2014/chart" uri="{C3380CC4-5D6E-409C-BE32-E72D297353CC}">
                <c16:uniqueId val="{0000018C-1585-4240-9287-D8800A62180D}"/>
              </c:ext>
            </c:extLst>
          </c:dPt>
          <c:dPt>
            <c:idx val="2"/>
            <c:invertIfNegative val="0"/>
            <c:bubble3D val="0"/>
            <c:extLst>
              <c:ext xmlns:c16="http://schemas.microsoft.com/office/drawing/2014/chart" uri="{C3380CC4-5D6E-409C-BE32-E72D297353CC}">
                <c16:uniqueId val="{0000018D-1585-4240-9287-D8800A62180D}"/>
              </c:ext>
            </c:extLst>
          </c:dPt>
          <c:dPt>
            <c:idx val="3"/>
            <c:invertIfNegative val="0"/>
            <c:bubble3D val="0"/>
            <c:extLst>
              <c:ext xmlns:c16="http://schemas.microsoft.com/office/drawing/2014/chart" uri="{C3380CC4-5D6E-409C-BE32-E72D297353CC}">
                <c16:uniqueId val="{0000018E-1585-4240-9287-D8800A62180D}"/>
              </c:ext>
            </c:extLst>
          </c:dPt>
          <c:dPt>
            <c:idx val="4"/>
            <c:invertIfNegative val="0"/>
            <c:bubble3D val="0"/>
            <c:extLst>
              <c:ext xmlns:c16="http://schemas.microsoft.com/office/drawing/2014/chart" uri="{C3380CC4-5D6E-409C-BE32-E72D297353CC}">
                <c16:uniqueId val="{0000018F-1585-4240-9287-D8800A62180D}"/>
              </c:ext>
            </c:extLst>
          </c:dPt>
          <c:dPt>
            <c:idx val="5"/>
            <c:invertIfNegative val="0"/>
            <c:bubble3D val="0"/>
            <c:extLst>
              <c:ext xmlns:c16="http://schemas.microsoft.com/office/drawing/2014/chart" uri="{C3380CC4-5D6E-409C-BE32-E72D297353CC}">
                <c16:uniqueId val="{00000190-1585-4240-9287-D8800A62180D}"/>
              </c:ext>
            </c:extLst>
          </c:dPt>
          <c:dPt>
            <c:idx val="6"/>
            <c:invertIfNegative val="0"/>
            <c:bubble3D val="0"/>
            <c:extLst>
              <c:ext xmlns:c16="http://schemas.microsoft.com/office/drawing/2014/chart" uri="{C3380CC4-5D6E-409C-BE32-E72D297353CC}">
                <c16:uniqueId val="{00000191-1585-4240-9287-D8800A62180D}"/>
              </c:ext>
            </c:extLst>
          </c:dPt>
          <c:dPt>
            <c:idx val="7"/>
            <c:invertIfNegative val="0"/>
            <c:bubble3D val="0"/>
            <c:extLst>
              <c:ext xmlns:c16="http://schemas.microsoft.com/office/drawing/2014/chart" uri="{C3380CC4-5D6E-409C-BE32-E72D297353CC}">
                <c16:uniqueId val="{00000192-1585-4240-9287-D8800A62180D}"/>
              </c:ext>
            </c:extLst>
          </c:dPt>
          <c:dPt>
            <c:idx val="8"/>
            <c:invertIfNegative val="0"/>
            <c:bubble3D val="0"/>
            <c:extLst>
              <c:ext xmlns:c16="http://schemas.microsoft.com/office/drawing/2014/chart" uri="{C3380CC4-5D6E-409C-BE32-E72D297353CC}">
                <c16:uniqueId val="{00000193-1585-4240-9287-D8800A62180D}"/>
              </c:ext>
            </c:extLst>
          </c:dPt>
          <c:dPt>
            <c:idx val="9"/>
            <c:invertIfNegative val="0"/>
            <c:bubble3D val="0"/>
            <c:extLst>
              <c:ext xmlns:c16="http://schemas.microsoft.com/office/drawing/2014/chart" uri="{C3380CC4-5D6E-409C-BE32-E72D297353CC}">
                <c16:uniqueId val="{00000194-1585-4240-9287-D8800A62180D}"/>
              </c:ext>
            </c:extLst>
          </c:dPt>
          <c:dPt>
            <c:idx val="10"/>
            <c:invertIfNegative val="0"/>
            <c:bubble3D val="0"/>
            <c:extLst>
              <c:ext xmlns:c16="http://schemas.microsoft.com/office/drawing/2014/chart" uri="{C3380CC4-5D6E-409C-BE32-E72D297353CC}">
                <c16:uniqueId val="{00000195-1585-4240-9287-D8800A62180D}"/>
              </c:ext>
            </c:extLst>
          </c:dPt>
          <c:dPt>
            <c:idx val="11"/>
            <c:invertIfNegative val="0"/>
            <c:bubble3D val="0"/>
            <c:extLst>
              <c:ext xmlns:c16="http://schemas.microsoft.com/office/drawing/2014/chart" uri="{C3380CC4-5D6E-409C-BE32-E72D297353CC}">
                <c16:uniqueId val="{00000196-1585-4240-9287-D8800A62180D}"/>
              </c:ext>
            </c:extLst>
          </c:dPt>
          <c:dPt>
            <c:idx val="12"/>
            <c:invertIfNegative val="0"/>
            <c:bubble3D val="0"/>
            <c:extLst>
              <c:ext xmlns:c16="http://schemas.microsoft.com/office/drawing/2014/chart" uri="{C3380CC4-5D6E-409C-BE32-E72D297353CC}">
                <c16:uniqueId val="{00000197-1585-4240-9287-D8800A62180D}"/>
              </c:ext>
            </c:extLst>
          </c:dPt>
          <c:dPt>
            <c:idx val="13"/>
            <c:invertIfNegative val="0"/>
            <c:bubble3D val="0"/>
            <c:extLst>
              <c:ext xmlns:c16="http://schemas.microsoft.com/office/drawing/2014/chart" uri="{C3380CC4-5D6E-409C-BE32-E72D297353CC}">
                <c16:uniqueId val="{00000198-1585-4240-9287-D8800A62180D}"/>
              </c:ext>
            </c:extLst>
          </c:dPt>
          <c:dPt>
            <c:idx val="14"/>
            <c:invertIfNegative val="0"/>
            <c:bubble3D val="0"/>
            <c:extLst>
              <c:ext xmlns:c16="http://schemas.microsoft.com/office/drawing/2014/chart" uri="{C3380CC4-5D6E-409C-BE32-E72D297353CC}">
                <c16:uniqueId val="{00000199-1585-4240-9287-D8800A62180D}"/>
              </c:ext>
            </c:extLst>
          </c:dPt>
          <c:dPt>
            <c:idx val="15"/>
            <c:invertIfNegative val="0"/>
            <c:bubble3D val="0"/>
            <c:extLst>
              <c:ext xmlns:c16="http://schemas.microsoft.com/office/drawing/2014/chart" uri="{C3380CC4-5D6E-409C-BE32-E72D297353CC}">
                <c16:uniqueId val="{0000019A-1585-4240-9287-D8800A62180D}"/>
              </c:ext>
            </c:extLst>
          </c:dPt>
          <c:dPt>
            <c:idx val="16"/>
            <c:invertIfNegative val="0"/>
            <c:bubble3D val="0"/>
            <c:extLst>
              <c:ext xmlns:c16="http://schemas.microsoft.com/office/drawing/2014/chart" uri="{C3380CC4-5D6E-409C-BE32-E72D297353CC}">
                <c16:uniqueId val="{0000019B-1585-4240-9287-D8800A62180D}"/>
              </c:ext>
            </c:extLst>
          </c:dPt>
          <c:dPt>
            <c:idx val="17"/>
            <c:invertIfNegative val="0"/>
            <c:bubble3D val="0"/>
            <c:extLst>
              <c:ext xmlns:c16="http://schemas.microsoft.com/office/drawing/2014/chart" uri="{C3380CC4-5D6E-409C-BE32-E72D297353CC}">
                <c16:uniqueId val="{0000019C-1585-4240-9287-D8800A62180D}"/>
              </c:ext>
            </c:extLst>
          </c:dPt>
          <c:dPt>
            <c:idx val="18"/>
            <c:invertIfNegative val="0"/>
            <c:bubble3D val="0"/>
            <c:extLst>
              <c:ext xmlns:c16="http://schemas.microsoft.com/office/drawing/2014/chart" uri="{C3380CC4-5D6E-409C-BE32-E72D297353CC}">
                <c16:uniqueId val="{0000019D-1585-4240-9287-D8800A62180D}"/>
              </c:ext>
            </c:extLst>
          </c:dPt>
          <c:dPt>
            <c:idx val="19"/>
            <c:invertIfNegative val="0"/>
            <c:bubble3D val="0"/>
            <c:extLst>
              <c:ext xmlns:c16="http://schemas.microsoft.com/office/drawing/2014/chart" uri="{C3380CC4-5D6E-409C-BE32-E72D297353CC}">
                <c16:uniqueId val="{0000019E-1585-4240-9287-D8800A62180D}"/>
              </c:ext>
            </c:extLst>
          </c:dPt>
          <c:dPt>
            <c:idx val="20"/>
            <c:invertIfNegative val="0"/>
            <c:bubble3D val="0"/>
            <c:extLst>
              <c:ext xmlns:c16="http://schemas.microsoft.com/office/drawing/2014/chart" uri="{C3380CC4-5D6E-409C-BE32-E72D297353CC}">
                <c16:uniqueId val="{0000019F-1585-4240-9287-D8800A62180D}"/>
              </c:ext>
            </c:extLst>
          </c:dPt>
          <c:dPt>
            <c:idx val="21"/>
            <c:invertIfNegative val="0"/>
            <c:bubble3D val="0"/>
            <c:extLst>
              <c:ext xmlns:c16="http://schemas.microsoft.com/office/drawing/2014/chart" uri="{C3380CC4-5D6E-409C-BE32-E72D297353CC}">
                <c16:uniqueId val="{000001A0-1585-4240-9287-D8800A62180D}"/>
              </c:ext>
            </c:extLst>
          </c:dPt>
          <c:dPt>
            <c:idx val="22"/>
            <c:invertIfNegative val="0"/>
            <c:bubble3D val="0"/>
            <c:extLst>
              <c:ext xmlns:c16="http://schemas.microsoft.com/office/drawing/2014/chart" uri="{C3380CC4-5D6E-409C-BE32-E72D297353CC}">
                <c16:uniqueId val="{000001A1-1585-4240-9287-D8800A62180D}"/>
              </c:ext>
            </c:extLst>
          </c:dPt>
          <c:dPt>
            <c:idx val="23"/>
            <c:invertIfNegative val="0"/>
            <c:bubble3D val="0"/>
            <c:extLst>
              <c:ext xmlns:c16="http://schemas.microsoft.com/office/drawing/2014/chart" uri="{C3380CC4-5D6E-409C-BE32-E72D297353CC}">
                <c16:uniqueId val="{000001A2-1585-4240-9287-D8800A62180D}"/>
              </c:ext>
            </c:extLst>
          </c:dPt>
          <c:dPt>
            <c:idx val="24"/>
            <c:invertIfNegative val="0"/>
            <c:bubble3D val="0"/>
            <c:extLst>
              <c:ext xmlns:c16="http://schemas.microsoft.com/office/drawing/2014/chart" uri="{C3380CC4-5D6E-409C-BE32-E72D297353CC}">
                <c16:uniqueId val="{000001A3-1585-4240-9287-D8800A62180D}"/>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Data'!$B$6:$W$6</c:f>
              <c:numCache>
                <c:formatCode>#,##0_ ;\-#,##0\ </c:formatCode>
                <c:ptCount val="22"/>
                <c:pt idx="0">
                  <c:v>0</c:v>
                </c:pt>
                <c:pt idx="1">
                  <c:v>0</c:v>
                </c:pt>
                <c:pt idx="2">
                  <c:v>0</c:v>
                </c:pt>
                <c:pt idx="3">
                  <c:v>0</c:v>
                </c:pt>
                <c:pt idx="4">
                  <c:v>0</c:v>
                </c:pt>
                <c:pt idx="5">
                  <c:v>0</c:v>
                </c:pt>
                <c:pt idx="6">
                  <c:v>-1462</c:v>
                </c:pt>
                <c:pt idx="7">
                  <c:v>-1462</c:v>
                </c:pt>
                <c:pt idx="8">
                  <c:v>-1462</c:v>
                </c:pt>
                <c:pt idx="9">
                  <c:v>-1462</c:v>
                </c:pt>
                <c:pt idx="10">
                  <c:v>-1462</c:v>
                </c:pt>
                <c:pt idx="11">
                  <c:v>-1462</c:v>
                </c:pt>
                <c:pt idx="12">
                  <c:v>-1462</c:v>
                </c:pt>
                <c:pt idx="13">
                  <c:v>-1572</c:v>
                </c:pt>
                <c:pt idx="14">
                  <c:v>-772</c:v>
                </c:pt>
                <c:pt idx="15">
                  <c:v>-772</c:v>
                </c:pt>
                <c:pt idx="16">
                  <c:v>1228</c:v>
                </c:pt>
                <c:pt idx="17">
                  <c:v>4428</c:v>
                </c:pt>
                <c:pt idx="18">
                  <c:v>4428</c:v>
                </c:pt>
                <c:pt idx="19">
                  <c:v>4428</c:v>
                </c:pt>
                <c:pt idx="20">
                  <c:v>4428</c:v>
                </c:pt>
                <c:pt idx="21">
                  <c:v>4428</c:v>
                </c:pt>
              </c:numCache>
            </c:numRef>
          </c:val>
          <c:extLst>
            <c:ext xmlns:c16="http://schemas.microsoft.com/office/drawing/2014/chart" uri="{C3380CC4-5D6E-409C-BE32-E72D297353CC}">
              <c16:uniqueId val="{000001A4-1585-4240-9287-D8800A62180D}"/>
            </c:ext>
          </c:extLst>
        </c:ser>
        <c:ser>
          <c:idx val="4"/>
          <c:order val="4"/>
          <c:tx>
            <c:strRef>
              <c:f>'NewAndRetiredCapacity Data'!$A$7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1A6-1585-4240-9287-D8800A62180D}"/>
              </c:ext>
            </c:extLst>
          </c:dPt>
          <c:dPt>
            <c:idx val="1"/>
            <c:invertIfNegative val="0"/>
            <c:bubble3D val="0"/>
            <c:extLst>
              <c:ext xmlns:c16="http://schemas.microsoft.com/office/drawing/2014/chart" uri="{C3380CC4-5D6E-409C-BE32-E72D297353CC}">
                <c16:uniqueId val="{000001A7-1585-4240-9287-D8800A62180D}"/>
              </c:ext>
            </c:extLst>
          </c:dPt>
          <c:dPt>
            <c:idx val="2"/>
            <c:invertIfNegative val="0"/>
            <c:bubble3D val="0"/>
            <c:extLst>
              <c:ext xmlns:c16="http://schemas.microsoft.com/office/drawing/2014/chart" uri="{C3380CC4-5D6E-409C-BE32-E72D297353CC}">
                <c16:uniqueId val="{000001A8-1585-4240-9287-D8800A62180D}"/>
              </c:ext>
            </c:extLst>
          </c:dPt>
          <c:dPt>
            <c:idx val="3"/>
            <c:invertIfNegative val="0"/>
            <c:bubble3D val="0"/>
            <c:extLst>
              <c:ext xmlns:c16="http://schemas.microsoft.com/office/drawing/2014/chart" uri="{C3380CC4-5D6E-409C-BE32-E72D297353CC}">
                <c16:uniqueId val="{000001A9-1585-4240-9287-D8800A62180D}"/>
              </c:ext>
            </c:extLst>
          </c:dPt>
          <c:dPt>
            <c:idx val="4"/>
            <c:invertIfNegative val="0"/>
            <c:bubble3D val="0"/>
            <c:extLst>
              <c:ext xmlns:c16="http://schemas.microsoft.com/office/drawing/2014/chart" uri="{C3380CC4-5D6E-409C-BE32-E72D297353CC}">
                <c16:uniqueId val="{000001AA-1585-4240-9287-D8800A62180D}"/>
              </c:ext>
            </c:extLst>
          </c:dPt>
          <c:dPt>
            <c:idx val="5"/>
            <c:invertIfNegative val="0"/>
            <c:bubble3D val="0"/>
            <c:extLst>
              <c:ext xmlns:c16="http://schemas.microsoft.com/office/drawing/2014/chart" uri="{C3380CC4-5D6E-409C-BE32-E72D297353CC}">
                <c16:uniqueId val="{000001AB-1585-4240-9287-D8800A62180D}"/>
              </c:ext>
            </c:extLst>
          </c:dPt>
          <c:dPt>
            <c:idx val="6"/>
            <c:invertIfNegative val="0"/>
            <c:bubble3D val="0"/>
            <c:extLst>
              <c:ext xmlns:c16="http://schemas.microsoft.com/office/drawing/2014/chart" uri="{C3380CC4-5D6E-409C-BE32-E72D297353CC}">
                <c16:uniqueId val="{000001AC-1585-4240-9287-D8800A62180D}"/>
              </c:ext>
            </c:extLst>
          </c:dPt>
          <c:dPt>
            <c:idx val="7"/>
            <c:invertIfNegative val="0"/>
            <c:bubble3D val="0"/>
            <c:extLst>
              <c:ext xmlns:c16="http://schemas.microsoft.com/office/drawing/2014/chart" uri="{C3380CC4-5D6E-409C-BE32-E72D297353CC}">
                <c16:uniqueId val="{000001AD-1585-4240-9287-D8800A62180D}"/>
              </c:ext>
            </c:extLst>
          </c:dPt>
          <c:dPt>
            <c:idx val="8"/>
            <c:invertIfNegative val="0"/>
            <c:bubble3D val="0"/>
            <c:extLst>
              <c:ext xmlns:c16="http://schemas.microsoft.com/office/drawing/2014/chart" uri="{C3380CC4-5D6E-409C-BE32-E72D297353CC}">
                <c16:uniqueId val="{000001AE-1585-4240-9287-D8800A62180D}"/>
              </c:ext>
            </c:extLst>
          </c:dPt>
          <c:dPt>
            <c:idx val="9"/>
            <c:invertIfNegative val="0"/>
            <c:bubble3D val="0"/>
            <c:extLst>
              <c:ext xmlns:c16="http://schemas.microsoft.com/office/drawing/2014/chart" uri="{C3380CC4-5D6E-409C-BE32-E72D297353CC}">
                <c16:uniqueId val="{000001AF-1585-4240-9287-D8800A62180D}"/>
              </c:ext>
            </c:extLst>
          </c:dPt>
          <c:dPt>
            <c:idx val="10"/>
            <c:invertIfNegative val="0"/>
            <c:bubble3D val="0"/>
            <c:extLst>
              <c:ext xmlns:c16="http://schemas.microsoft.com/office/drawing/2014/chart" uri="{C3380CC4-5D6E-409C-BE32-E72D297353CC}">
                <c16:uniqueId val="{000001B0-1585-4240-9287-D8800A62180D}"/>
              </c:ext>
            </c:extLst>
          </c:dPt>
          <c:dPt>
            <c:idx val="11"/>
            <c:invertIfNegative val="0"/>
            <c:bubble3D val="0"/>
            <c:extLst>
              <c:ext xmlns:c16="http://schemas.microsoft.com/office/drawing/2014/chart" uri="{C3380CC4-5D6E-409C-BE32-E72D297353CC}">
                <c16:uniqueId val="{000001B1-1585-4240-9287-D8800A62180D}"/>
              </c:ext>
            </c:extLst>
          </c:dPt>
          <c:dPt>
            <c:idx val="12"/>
            <c:invertIfNegative val="0"/>
            <c:bubble3D val="0"/>
            <c:extLst>
              <c:ext xmlns:c16="http://schemas.microsoft.com/office/drawing/2014/chart" uri="{C3380CC4-5D6E-409C-BE32-E72D297353CC}">
                <c16:uniqueId val="{000001B2-1585-4240-9287-D8800A62180D}"/>
              </c:ext>
            </c:extLst>
          </c:dPt>
          <c:dPt>
            <c:idx val="13"/>
            <c:invertIfNegative val="0"/>
            <c:bubble3D val="0"/>
            <c:extLst>
              <c:ext xmlns:c16="http://schemas.microsoft.com/office/drawing/2014/chart" uri="{C3380CC4-5D6E-409C-BE32-E72D297353CC}">
                <c16:uniqueId val="{000001B3-1585-4240-9287-D8800A62180D}"/>
              </c:ext>
            </c:extLst>
          </c:dPt>
          <c:dPt>
            <c:idx val="14"/>
            <c:invertIfNegative val="0"/>
            <c:bubble3D val="0"/>
            <c:extLst>
              <c:ext xmlns:c16="http://schemas.microsoft.com/office/drawing/2014/chart" uri="{C3380CC4-5D6E-409C-BE32-E72D297353CC}">
                <c16:uniqueId val="{000001B4-1585-4240-9287-D8800A62180D}"/>
              </c:ext>
            </c:extLst>
          </c:dPt>
          <c:dPt>
            <c:idx val="15"/>
            <c:invertIfNegative val="0"/>
            <c:bubble3D val="0"/>
            <c:extLst>
              <c:ext xmlns:c16="http://schemas.microsoft.com/office/drawing/2014/chart" uri="{C3380CC4-5D6E-409C-BE32-E72D297353CC}">
                <c16:uniqueId val="{000001B5-1585-4240-9287-D8800A62180D}"/>
              </c:ext>
            </c:extLst>
          </c:dPt>
          <c:dPt>
            <c:idx val="16"/>
            <c:invertIfNegative val="0"/>
            <c:bubble3D val="0"/>
            <c:extLst>
              <c:ext xmlns:c16="http://schemas.microsoft.com/office/drawing/2014/chart" uri="{C3380CC4-5D6E-409C-BE32-E72D297353CC}">
                <c16:uniqueId val="{000001B6-1585-4240-9287-D8800A62180D}"/>
              </c:ext>
            </c:extLst>
          </c:dPt>
          <c:dPt>
            <c:idx val="17"/>
            <c:invertIfNegative val="0"/>
            <c:bubble3D val="0"/>
            <c:extLst>
              <c:ext xmlns:c16="http://schemas.microsoft.com/office/drawing/2014/chart" uri="{C3380CC4-5D6E-409C-BE32-E72D297353CC}">
                <c16:uniqueId val="{000001B7-1585-4240-9287-D8800A62180D}"/>
              </c:ext>
            </c:extLst>
          </c:dPt>
          <c:dPt>
            <c:idx val="18"/>
            <c:invertIfNegative val="0"/>
            <c:bubble3D val="0"/>
            <c:extLst>
              <c:ext xmlns:c16="http://schemas.microsoft.com/office/drawing/2014/chart" uri="{C3380CC4-5D6E-409C-BE32-E72D297353CC}">
                <c16:uniqueId val="{000001B8-1585-4240-9287-D8800A62180D}"/>
              </c:ext>
            </c:extLst>
          </c:dPt>
          <c:dPt>
            <c:idx val="19"/>
            <c:invertIfNegative val="0"/>
            <c:bubble3D val="0"/>
            <c:extLst>
              <c:ext xmlns:c16="http://schemas.microsoft.com/office/drawing/2014/chart" uri="{C3380CC4-5D6E-409C-BE32-E72D297353CC}">
                <c16:uniqueId val="{000001B9-1585-4240-9287-D8800A62180D}"/>
              </c:ext>
            </c:extLst>
          </c:dPt>
          <c:dPt>
            <c:idx val="20"/>
            <c:invertIfNegative val="0"/>
            <c:bubble3D val="0"/>
            <c:extLst>
              <c:ext xmlns:c16="http://schemas.microsoft.com/office/drawing/2014/chart" uri="{C3380CC4-5D6E-409C-BE32-E72D297353CC}">
                <c16:uniqueId val="{000001BA-1585-4240-9287-D8800A62180D}"/>
              </c:ext>
            </c:extLst>
          </c:dPt>
          <c:dPt>
            <c:idx val="21"/>
            <c:invertIfNegative val="0"/>
            <c:bubble3D val="0"/>
            <c:extLst>
              <c:ext xmlns:c16="http://schemas.microsoft.com/office/drawing/2014/chart" uri="{C3380CC4-5D6E-409C-BE32-E72D297353CC}">
                <c16:uniqueId val="{000001BB-1585-4240-9287-D8800A62180D}"/>
              </c:ext>
            </c:extLst>
          </c:dPt>
          <c:dPt>
            <c:idx val="22"/>
            <c:invertIfNegative val="0"/>
            <c:bubble3D val="0"/>
            <c:extLst>
              <c:ext xmlns:c16="http://schemas.microsoft.com/office/drawing/2014/chart" uri="{C3380CC4-5D6E-409C-BE32-E72D297353CC}">
                <c16:uniqueId val="{000001BC-1585-4240-9287-D8800A62180D}"/>
              </c:ext>
            </c:extLst>
          </c:dPt>
          <c:dPt>
            <c:idx val="23"/>
            <c:invertIfNegative val="0"/>
            <c:bubble3D val="0"/>
            <c:extLst>
              <c:ext xmlns:c16="http://schemas.microsoft.com/office/drawing/2014/chart" uri="{C3380CC4-5D6E-409C-BE32-E72D297353CC}">
                <c16:uniqueId val="{000001BD-1585-4240-9287-D8800A62180D}"/>
              </c:ext>
            </c:extLst>
          </c:dPt>
          <c:dPt>
            <c:idx val="24"/>
            <c:invertIfNegative val="0"/>
            <c:bubble3D val="0"/>
            <c:extLst>
              <c:ext xmlns:c16="http://schemas.microsoft.com/office/drawing/2014/chart" uri="{C3380CC4-5D6E-409C-BE32-E72D297353CC}">
                <c16:uniqueId val="{000001BE-1585-4240-9287-D8800A62180D}"/>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Data'!$B$7:$W$7</c:f>
              <c:numCache>
                <c:formatCode>#,##0_ ;\-#,##0\ </c:formatCode>
                <c:ptCount val="22"/>
                <c:pt idx="0">
                  <c:v>0</c:v>
                </c:pt>
                <c:pt idx="1">
                  <c:v>-24</c:v>
                </c:pt>
                <c:pt idx="2">
                  <c:v>-24</c:v>
                </c:pt>
                <c:pt idx="3">
                  <c:v>-298</c:v>
                </c:pt>
                <c:pt idx="4">
                  <c:v>155</c:v>
                </c:pt>
                <c:pt idx="5">
                  <c:v>155</c:v>
                </c:pt>
                <c:pt idx="6">
                  <c:v>820</c:v>
                </c:pt>
                <c:pt idx="7">
                  <c:v>820</c:v>
                </c:pt>
                <c:pt idx="8">
                  <c:v>820</c:v>
                </c:pt>
                <c:pt idx="9">
                  <c:v>820</c:v>
                </c:pt>
                <c:pt idx="10">
                  <c:v>820</c:v>
                </c:pt>
                <c:pt idx="11">
                  <c:v>820</c:v>
                </c:pt>
                <c:pt idx="12">
                  <c:v>820</c:v>
                </c:pt>
                <c:pt idx="13">
                  <c:v>820</c:v>
                </c:pt>
                <c:pt idx="14">
                  <c:v>976</c:v>
                </c:pt>
                <c:pt idx="15">
                  <c:v>976</c:v>
                </c:pt>
                <c:pt idx="16">
                  <c:v>1449</c:v>
                </c:pt>
                <c:pt idx="17">
                  <c:v>1449</c:v>
                </c:pt>
                <c:pt idx="18">
                  <c:v>1623</c:v>
                </c:pt>
                <c:pt idx="19">
                  <c:v>1945</c:v>
                </c:pt>
                <c:pt idx="20">
                  <c:v>2297</c:v>
                </c:pt>
                <c:pt idx="21">
                  <c:v>2387</c:v>
                </c:pt>
              </c:numCache>
            </c:numRef>
          </c:val>
          <c:extLst>
            <c:ext xmlns:c16="http://schemas.microsoft.com/office/drawing/2014/chart" uri="{C3380CC4-5D6E-409C-BE32-E72D297353CC}">
              <c16:uniqueId val="{000001BF-1585-4240-9287-D8800A62180D}"/>
            </c:ext>
          </c:extLst>
        </c:ser>
        <c:ser>
          <c:idx val="8"/>
          <c:order val="5"/>
          <c:tx>
            <c:strRef>
              <c:f>'NewAndRetiredCapacity Data'!$A$8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1C1-1585-4240-9287-D8800A62180D}"/>
              </c:ext>
            </c:extLst>
          </c:dPt>
          <c:dPt>
            <c:idx val="1"/>
            <c:invertIfNegative val="0"/>
            <c:bubble3D val="0"/>
            <c:extLst>
              <c:ext xmlns:c16="http://schemas.microsoft.com/office/drawing/2014/chart" uri="{C3380CC4-5D6E-409C-BE32-E72D297353CC}">
                <c16:uniqueId val="{000001C2-1585-4240-9287-D8800A62180D}"/>
              </c:ext>
            </c:extLst>
          </c:dPt>
          <c:dPt>
            <c:idx val="2"/>
            <c:invertIfNegative val="0"/>
            <c:bubble3D val="0"/>
            <c:extLst>
              <c:ext xmlns:c16="http://schemas.microsoft.com/office/drawing/2014/chart" uri="{C3380CC4-5D6E-409C-BE32-E72D297353CC}">
                <c16:uniqueId val="{000001C3-1585-4240-9287-D8800A62180D}"/>
              </c:ext>
            </c:extLst>
          </c:dPt>
          <c:dPt>
            <c:idx val="3"/>
            <c:invertIfNegative val="0"/>
            <c:bubble3D val="0"/>
            <c:extLst>
              <c:ext xmlns:c16="http://schemas.microsoft.com/office/drawing/2014/chart" uri="{C3380CC4-5D6E-409C-BE32-E72D297353CC}">
                <c16:uniqueId val="{000001C4-1585-4240-9287-D8800A62180D}"/>
              </c:ext>
            </c:extLst>
          </c:dPt>
          <c:dPt>
            <c:idx val="4"/>
            <c:invertIfNegative val="0"/>
            <c:bubble3D val="0"/>
            <c:extLst>
              <c:ext xmlns:c16="http://schemas.microsoft.com/office/drawing/2014/chart" uri="{C3380CC4-5D6E-409C-BE32-E72D297353CC}">
                <c16:uniqueId val="{000001C5-1585-4240-9287-D8800A62180D}"/>
              </c:ext>
            </c:extLst>
          </c:dPt>
          <c:dPt>
            <c:idx val="5"/>
            <c:invertIfNegative val="0"/>
            <c:bubble3D val="0"/>
            <c:extLst>
              <c:ext xmlns:c16="http://schemas.microsoft.com/office/drawing/2014/chart" uri="{C3380CC4-5D6E-409C-BE32-E72D297353CC}">
                <c16:uniqueId val="{000001C6-1585-4240-9287-D8800A62180D}"/>
              </c:ext>
            </c:extLst>
          </c:dPt>
          <c:dPt>
            <c:idx val="6"/>
            <c:invertIfNegative val="0"/>
            <c:bubble3D val="0"/>
            <c:extLst>
              <c:ext xmlns:c16="http://schemas.microsoft.com/office/drawing/2014/chart" uri="{C3380CC4-5D6E-409C-BE32-E72D297353CC}">
                <c16:uniqueId val="{000001C7-1585-4240-9287-D8800A62180D}"/>
              </c:ext>
            </c:extLst>
          </c:dPt>
          <c:dPt>
            <c:idx val="7"/>
            <c:invertIfNegative val="0"/>
            <c:bubble3D val="0"/>
            <c:extLst>
              <c:ext xmlns:c16="http://schemas.microsoft.com/office/drawing/2014/chart" uri="{C3380CC4-5D6E-409C-BE32-E72D297353CC}">
                <c16:uniqueId val="{000001C8-1585-4240-9287-D8800A62180D}"/>
              </c:ext>
            </c:extLst>
          </c:dPt>
          <c:dPt>
            <c:idx val="8"/>
            <c:invertIfNegative val="0"/>
            <c:bubble3D val="0"/>
            <c:extLst>
              <c:ext xmlns:c16="http://schemas.microsoft.com/office/drawing/2014/chart" uri="{C3380CC4-5D6E-409C-BE32-E72D297353CC}">
                <c16:uniqueId val="{000001C9-1585-4240-9287-D8800A62180D}"/>
              </c:ext>
            </c:extLst>
          </c:dPt>
          <c:dPt>
            <c:idx val="9"/>
            <c:invertIfNegative val="0"/>
            <c:bubble3D val="0"/>
            <c:extLst>
              <c:ext xmlns:c16="http://schemas.microsoft.com/office/drawing/2014/chart" uri="{C3380CC4-5D6E-409C-BE32-E72D297353CC}">
                <c16:uniqueId val="{000001CA-1585-4240-9287-D8800A62180D}"/>
              </c:ext>
            </c:extLst>
          </c:dPt>
          <c:dPt>
            <c:idx val="10"/>
            <c:invertIfNegative val="0"/>
            <c:bubble3D val="0"/>
            <c:extLst>
              <c:ext xmlns:c16="http://schemas.microsoft.com/office/drawing/2014/chart" uri="{C3380CC4-5D6E-409C-BE32-E72D297353CC}">
                <c16:uniqueId val="{000001CB-1585-4240-9287-D8800A62180D}"/>
              </c:ext>
            </c:extLst>
          </c:dPt>
          <c:dPt>
            <c:idx val="11"/>
            <c:invertIfNegative val="0"/>
            <c:bubble3D val="0"/>
            <c:extLst>
              <c:ext xmlns:c16="http://schemas.microsoft.com/office/drawing/2014/chart" uri="{C3380CC4-5D6E-409C-BE32-E72D297353CC}">
                <c16:uniqueId val="{000001CC-1585-4240-9287-D8800A62180D}"/>
              </c:ext>
            </c:extLst>
          </c:dPt>
          <c:dPt>
            <c:idx val="12"/>
            <c:invertIfNegative val="0"/>
            <c:bubble3D val="0"/>
            <c:extLst>
              <c:ext xmlns:c16="http://schemas.microsoft.com/office/drawing/2014/chart" uri="{C3380CC4-5D6E-409C-BE32-E72D297353CC}">
                <c16:uniqueId val="{000001CD-1585-4240-9287-D8800A62180D}"/>
              </c:ext>
            </c:extLst>
          </c:dPt>
          <c:dPt>
            <c:idx val="13"/>
            <c:invertIfNegative val="0"/>
            <c:bubble3D val="0"/>
            <c:extLst>
              <c:ext xmlns:c16="http://schemas.microsoft.com/office/drawing/2014/chart" uri="{C3380CC4-5D6E-409C-BE32-E72D297353CC}">
                <c16:uniqueId val="{000001CE-1585-4240-9287-D8800A62180D}"/>
              </c:ext>
            </c:extLst>
          </c:dPt>
          <c:dPt>
            <c:idx val="14"/>
            <c:invertIfNegative val="0"/>
            <c:bubble3D val="0"/>
            <c:extLst>
              <c:ext xmlns:c16="http://schemas.microsoft.com/office/drawing/2014/chart" uri="{C3380CC4-5D6E-409C-BE32-E72D297353CC}">
                <c16:uniqueId val="{000001CF-1585-4240-9287-D8800A62180D}"/>
              </c:ext>
            </c:extLst>
          </c:dPt>
          <c:dPt>
            <c:idx val="15"/>
            <c:invertIfNegative val="0"/>
            <c:bubble3D val="0"/>
            <c:extLst>
              <c:ext xmlns:c16="http://schemas.microsoft.com/office/drawing/2014/chart" uri="{C3380CC4-5D6E-409C-BE32-E72D297353CC}">
                <c16:uniqueId val="{000001D0-1585-4240-9287-D8800A62180D}"/>
              </c:ext>
            </c:extLst>
          </c:dPt>
          <c:dPt>
            <c:idx val="16"/>
            <c:invertIfNegative val="0"/>
            <c:bubble3D val="0"/>
            <c:extLst>
              <c:ext xmlns:c16="http://schemas.microsoft.com/office/drawing/2014/chart" uri="{C3380CC4-5D6E-409C-BE32-E72D297353CC}">
                <c16:uniqueId val="{000001D1-1585-4240-9287-D8800A62180D}"/>
              </c:ext>
            </c:extLst>
          </c:dPt>
          <c:dPt>
            <c:idx val="17"/>
            <c:invertIfNegative val="0"/>
            <c:bubble3D val="0"/>
            <c:extLst>
              <c:ext xmlns:c16="http://schemas.microsoft.com/office/drawing/2014/chart" uri="{C3380CC4-5D6E-409C-BE32-E72D297353CC}">
                <c16:uniqueId val="{000001D2-1585-4240-9287-D8800A62180D}"/>
              </c:ext>
            </c:extLst>
          </c:dPt>
          <c:dPt>
            <c:idx val="18"/>
            <c:invertIfNegative val="0"/>
            <c:bubble3D val="0"/>
            <c:extLst>
              <c:ext xmlns:c16="http://schemas.microsoft.com/office/drawing/2014/chart" uri="{C3380CC4-5D6E-409C-BE32-E72D297353CC}">
                <c16:uniqueId val="{000001D3-1585-4240-9287-D8800A62180D}"/>
              </c:ext>
            </c:extLst>
          </c:dPt>
          <c:dPt>
            <c:idx val="19"/>
            <c:invertIfNegative val="0"/>
            <c:bubble3D val="0"/>
            <c:extLst>
              <c:ext xmlns:c16="http://schemas.microsoft.com/office/drawing/2014/chart" uri="{C3380CC4-5D6E-409C-BE32-E72D297353CC}">
                <c16:uniqueId val="{000001D4-1585-4240-9287-D8800A62180D}"/>
              </c:ext>
            </c:extLst>
          </c:dPt>
          <c:dPt>
            <c:idx val="20"/>
            <c:invertIfNegative val="0"/>
            <c:bubble3D val="0"/>
            <c:extLst>
              <c:ext xmlns:c16="http://schemas.microsoft.com/office/drawing/2014/chart" uri="{C3380CC4-5D6E-409C-BE32-E72D297353CC}">
                <c16:uniqueId val="{000001D5-1585-4240-9287-D8800A62180D}"/>
              </c:ext>
            </c:extLst>
          </c:dPt>
          <c:dPt>
            <c:idx val="21"/>
            <c:invertIfNegative val="0"/>
            <c:bubble3D val="0"/>
            <c:extLst>
              <c:ext xmlns:c16="http://schemas.microsoft.com/office/drawing/2014/chart" uri="{C3380CC4-5D6E-409C-BE32-E72D297353CC}">
                <c16:uniqueId val="{000001D6-1585-4240-9287-D8800A62180D}"/>
              </c:ext>
            </c:extLst>
          </c:dPt>
          <c:dPt>
            <c:idx val="22"/>
            <c:invertIfNegative val="0"/>
            <c:bubble3D val="0"/>
            <c:extLst>
              <c:ext xmlns:c16="http://schemas.microsoft.com/office/drawing/2014/chart" uri="{C3380CC4-5D6E-409C-BE32-E72D297353CC}">
                <c16:uniqueId val="{000001D7-1585-4240-9287-D8800A62180D}"/>
              </c:ext>
            </c:extLst>
          </c:dPt>
          <c:dPt>
            <c:idx val="23"/>
            <c:invertIfNegative val="0"/>
            <c:bubble3D val="0"/>
            <c:extLst>
              <c:ext xmlns:c16="http://schemas.microsoft.com/office/drawing/2014/chart" uri="{C3380CC4-5D6E-409C-BE32-E72D297353CC}">
                <c16:uniqueId val="{000001D8-1585-4240-9287-D8800A62180D}"/>
              </c:ext>
            </c:extLst>
          </c:dPt>
          <c:dPt>
            <c:idx val="24"/>
            <c:invertIfNegative val="0"/>
            <c:bubble3D val="0"/>
            <c:extLst>
              <c:ext xmlns:c16="http://schemas.microsoft.com/office/drawing/2014/chart" uri="{C3380CC4-5D6E-409C-BE32-E72D297353CC}">
                <c16:uniqueId val="{000001D9-1585-4240-9287-D8800A62180D}"/>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Data'!$B$8:$W$8</c:f>
              <c:numCache>
                <c:formatCode>#,##0_ ;\-#,##0\ </c:formatCode>
                <c:ptCount val="22"/>
                <c:pt idx="0">
                  <c:v>0</c:v>
                </c:pt>
                <c:pt idx="1">
                  <c:v>1894</c:v>
                </c:pt>
                <c:pt idx="2">
                  <c:v>2294</c:v>
                </c:pt>
                <c:pt idx="3">
                  <c:v>2694</c:v>
                </c:pt>
                <c:pt idx="4">
                  <c:v>3094</c:v>
                </c:pt>
                <c:pt idx="5">
                  <c:v>3987</c:v>
                </c:pt>
                <c:pt idx="6">
                  <c:v>4387</c:v>
                </c:pt>
                <c:pt idx="7">
                  <c:v>4387</c:v>
                </c:pt>
                <c:pt idx="8">
                  <c:v>4477</c:v>
                </c:pt>
                <c:pt idx="9">
                  <c:v>4640</c:v>
                </c:pt>
                <c:pt idx="10">
                  <c:v>5127</c:v>
                </c:pt>
                <c:pt idx="11">
                  <c:v>5613</c:v>
                </c:pt>
                <c:pt idx="12">
                  <c:v>5613</c:v>
                </c:pt>
                <c:pt idx="13">
                  <c:v>5613</c:v>
                </c:pt>
                <c:pt idx="14">
                  <c:v>5768</c:v>
                </c:pt>
                <c:pt idx="15">
                  <c:v>5779</c:v>
                </c:pt>
                <c:pt idx="16">
                  <c:v>5779</c:v>
                </c:pt>
                <c:pt idx="17">
                  <c:v>5779</c:v>
                </c:pt>
                <c:pt idx="18">
                  <c:v>5842</c:v>
                </c:pt>
                <c:pt idx="19">
                  <c:v>5842</c:v>
                </c:pt>
                <c:pt idx="20">
                  <c:v>5925</c:v>
                </c:pt>
                <c:pt idx="21">
                  <c:v>5925</c:v>
                </c:pt>
              </c:numCache>
            </c:numRef>
          </c:val>
          <c:extLst>
            <c:ext xmlns:c16="http://schemas.microsoft.com/office/drawing/2014/chart" uri="{C3380CC4-5D6E-409C-BE32-E72D297353CC}">
              <c16:uniqueId val="{000001DA-1585-4240-9287-D8800A62180D}"/>
            </c:ext>
          </c:extLst>
        </c:ser>
        <c:ser>
          <c:idx val="5"/>
          <c:order val="6"/>
          <c:tx>
            <c:strRef>
              <c:f>'NewAndRetiredCapacity Data'!$A$11</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1DC-1585-4240-9287-D8800A62180D}"/>
              </c:ext>
            </c:extLst>
          </c:dPt>
          <c:dPt>
            <c:idx val="1"/>
            <c:invertIfNegative val="0"/>
            <c:bubble3D val="0"/>
            <c:extLst>
              <c:ext xmlns:c16="http://schemas.microsoft.com/office/drawing/2014/chart" uri="{C3380CC4-5D6E-409C-BE32-E72D297353CC}">
                <c16:uniqueId val="{000001DD-1585-4240-9287-D8800A62180D}"/>
              </c:ext>
            </c:extLst>
          </c:dPt>
          <c:dPt>
            <c:idx val="2"/>
            <c:invertIfNegative val="0"/>
            <c:bubble3D val="0"/>
            <c:extLst>
              <c:ext xmlns:c16="http://schemas.microsoft.com/office/drawing/2014/chart" uri="{C3380CC4-5D6E-409C-BE32-E72D297353CC}">
                <c16:uniqueId val="{000001DE-1585-4240-9287-D8800A62180D}"/>
              </c:ext>
            </c:extLst>
          </c:dPt>
          <c:dPt>
            <c:idx val="3"/>
            <c:invertIfNegative val="0"/>
            <c:bubble3D val="0"/>
            <c:extLst>
              <c:ext xmlns:c16="http://schemas.microsoft.com/office/drawing/2014/chart" uri="{C3380CC4-5D6E-409C-BE32-E72D297353CC}">
                <c16:uniqueId val="{000001DF-1585-4240-9287-D8800A62180D}"/>
              </c:ext>
            </c:extLst>
          </c:dPt>
          <c:dPt>
            <c:idx val="4"/>
            <c:invertIfNegative val="0"/>
            <c:bubble3D val="0"/>
            <c:extLst>
              <c:ext xmlns:c16="http://schemas.microsoft.com/office/drawing/2014/chart" uri="{C3380CC4-5D6E-409C-BE32-E72D297353CC}">
                <c16:uniqueId val="{000001E0-1585-4240-9287-D8800A62180D}"/>
              </c:ext>
            </c:extLst>
          </c:dPt>
          <c:dPt>
            <c:idx val="5"/>
            <c:invertIfNegative val="0"/>
            <c:bubble3D val="0"/>
            <c:extLst>
              <c:ext xmlns:c16="http://schemas.microsoft.com/office/drawing/2014/chart" uri="{C3380CC4-5D6E-409C-BE32-E72D297353CC}">
                <c16:uniqueId val="{000001E1-1585-4240-9287-D8800A62180D}"/>
              </c:ext>
            </c:extLst>
          </c:dPt>
          <c:dPt>
            <c:idx val="6"/>
            <c:invertIfNegative val="0"/>
            <c:bubble3D val="0"/>
            <c:extLst>
              <c:ext xmlns:c16="http://schemas.microsoft.com/office/drawing/2014/chart" uri="{C3380CC4-5D6E-409C-BE32-E72D297353CC}">
                <c16:uniqueId val="{000001E2-1585-4240-9287-D8800A62180D}"/>
              </c:ext>
            </c:extLst>
          </c:dPt>
          <c:dPt>
            <c:idx val="7"/>
            <c:invertIfNegative val="0"/>
            <c:bubble3D val="0"/>
            <c:extLst>
              <c:ext xmlns:c16="http://schemas.microsoft.com/office/drawing/2014/chart" uri="{C3380CC4-5D6E-409C-BE32-E72D297353CC}">
                <c16:uniqueId val="{000001E3-1585-4240-9287-D8800A62180D}"/>
              </c:ext>
            </c:extLst>
          </c:dPt>
          <c:dPt>
            <c:idx val="8"/>
            <c:invertIfNegative val="0"/>
            <c:bubble3D val="0"/>
            <c:extLst>
              <c:ext xmlns:c16="http://schemas.microsoft.com/office/drawing/2014/chart" uri="{C3380CC4-5D6E-409C-BE32-E72D297353CC}">
                <c16:uniqueId val="{000001E4-1585-4240-9287-D8800A62180D}"/>
              </c:ext>
            </c:extLst>
          </c:dPt>
          <c:dPt>
            <c:idx val="9"/>
            <c:invertIfNegative val="0"/>
            <c:bubble3D val="0"/>
            <c:extLst>
              <c:ext xmlns:c16="http://schemas.microsoft.com/office/drawing/2014/chart" uri="{C3380CC4-5D6E-409C-BE32-E72D297353CC}">
                <c16:uniqueId val="{000001E5-1585-4240-9287-D8800A62180D}"/>
              </c:ext>
            </c:extLst>
          </c:dPt>
          <c:dPt>
            <c:idx val="10"/>
            <c:invertIfNegative val="0"/>
            <c:bubble3D val="0"/>
            <c:extLst>
              <c:ext xmlns:c16="http://schemas.microsoft.com/office/drawing/2014/chart" uri="{C3380CC4-5D6E-409C-BE32-E72D297353CC}">
                <c16:uniqueId val="{000001E6-1585-4240-9287-D8800A62180D}"/>
              </c:ext>
            </c:extLst>
          </c:dPt>
          <c:dPt>
            <c:idx val="11"/>
            <c:invertIfNegative val="0"/>
            <c:bubble3D val="0"/>
            <c:extLst>
              <c:ext xmlns:c16="http://schemas.microsoft.com/office/drawing/2014/chart" uri="{C3380CC4-5D6E-409C-BE32-E72D297353CC}">
                <c16:uniqueId val="{000001E7-1585-4240-9287-D8800A62180D}"/>
              </c:ext>
            </c:extLst>
          </c:dPt>
          <c:dPt>
            <c:idx val="12"/>
            <c:invertIfNegative val="0"/>
            <c:bubble3D val="0"/>
            <c:extLst>
              <c:ext xmlns:c16="http://schemas.microsoft.com/office/drawing/2014/chart" uri="{C3380CC4-5D6E-409C-BE32-E72D297353CC}">
                <c16:uniqueId val="{000001E8-1585-4240-9287-D8800A62180D}"/>
              </c:ext>
            </c:extLst>
          </c:dPt>
          <c:dPt>
            <c:idx val="13"/>
            <c:invertIfNegative val="0"/>
            <c:bubble3D val="0"/>
            <c:extLst>
              <c:ext xmlns:c16="http://schemas.microsoft.com/office/drawing/2014/chart" uri="{C3380CC4-5D6E-409C-BE32-E72D297353CC}">
                <c16:uniqueId val="{000001E9-1585-4240-9287-D8800A62180D}"/>
              </c:ext>
            </c:extLst>
          </c:dPt>
          <c:dPt>
            <c:idx val="14"/>
            <c:invertIfNegative val="0"/>
            <c:bubble3D val="0"/>
            <c:extLst>
              <c:ext xmlns:c16="http://schemas.microsoft.com/office/drawing/2014/chart" uri="{C3380CC4-5D6E-409C-BE32-E72D297353CC}">
                <c16:uniqueId val="{000001EA-1585-4240-9287-D8800A62180D}"/>
              </c:ext>
            </c:extLst>
          </c:dPt>
          <c:dPt>
            <c:idx val="15"/>
            <c:invertIfNegative val="0"/>
            <c:bubble3D val="0"/>
            <c:extLst>
              <c:ext xmlns:c16="http://schemas.microsoft.com/office/drawing/2014/chart" uri="{C3380CC4-5D6E-409C-BE32-E72D297353CC}">
                <c16:uniqueId val="{000001EB-1585-4240-9287-D8800A62180D}"/>
              </c:ext>
            </c:extLst>
          </c:dPt>
          <c:dPt>
            <c:idx val="16"/>
            <c:invertIfNegative val="0"/>
            <c:bubble3D val="0"/>
            <c:extLst>
              <c:ext xmlns:c16="http://schemas.microsoft.com/office/drawing/2014/chart" uri="{C3380CC4-5D6E-409C-BE32-E72D297353CC}">
                <c16:uniqueId val="{000001EC-1585-4240-9287-D8800A62180D}"/>
              </c:ext>
            </c:extLst>
          </c:dPt>
          <c:dPt>
            <c:idx val="17"/>
            <c:invertIfNegative val="0"/>
            <c:bubble3D val="0"/>
            <c:extLst>
              <c:ext xmlns:c16="http://schemas.microsoft.com/office/drawing/2014/chart" uri="{C3380CC4-5D6E-409C-BE32-E72D297353CC}">
                <c16:uniqueId val="{000001ED-1585-4240-9287-D8800A62180D}"/>
              </c:ext>
            </c:extLst>
          </c:dPt>
          <c:dPt>
            <c:idx val="18"/>
            <c:invertIfNegative val="0"/>
            <c:bubble3D val="0"/>
            <c:extLst>
              <c:ext xmlns:c16="http://schemas.microsoft.com/office/drawing/2014/chart" uri="{C3380CC4-5D6E-409C-BE32-E72D297353CC}">
                <c16:uniqueId val="{000001EE-1585-4240-9287-D8800A62180D}"/>
              </c:ext>
            </c:extLst>
          </c:dPt>
          <c:dPt>
            <c:idx val="19"/>
            <c:invertIfNegative val="0"/>
            <c:bubble3D val="0"/>
            <c:extLst>
              <c:ext xmlns:c16="http://schemas.microsoft.com/office/drawing/2014/chart" uri="{C3380CC4-5D6E-409C-BE32-E72D297353CC}">
                <c16:uniqueId val="{000001EF-1585-4240-9287-D8800A62180D}"/>
              </c:ext>
            </c:extLst>
          </c:dPt>
          <c:dPt>
            <c:idx val="20"/>
            <c:invertIfNegative val="0"/>
            <c:bubble3D val="0"/>
            <c:extLst>
              <c:ext xmlns:c16="http://schemas.microsoft.com/office/drawing/2014/chart" uri="{C3380CC4-5D6E-409C-BE32-E72D297353CC}">
                <c16:uniqueId val="{000001F0-1585-4240-9287-D8800A62180D}"/>
              </c:ext>
            </c:extLst>
          </c:dPt>
          <c:dPt>
            <c:idx val="21"/>
            <c:invertIfNegative val="0"/>
            <c:bubble3D val="0"/>
            <c:extLst>
              <c:ext xmlns:c16="http://schemas.microsoft.com/office/drawing/2014/chart" uri="{C3380CC4-5D6E-409C-BE32-E72D297353CC}">
                <c16:uniqueId val="{000001F1-1585-4240-9287-D8800A62180D}"/>
              </c:ext>
            </c:extLst>
          </c:dPt>
          <c:dPt>
            <c:idx val="22"/>
            <c:invertIfNegative val="0"/>
            <c:bubble3D val="0"/>
            <c:extLst>
              <c:ext xmlns:c16="http://schemas.microsoft.com/office/drawing/2014/chart" uri="{C3380CC4-5D6E-409C-BE32-E72D297353CC}">
                <c16:uniqueId val="{000001F2-1585-4240-9287-D8800A62180D}"/>
              </c:ext>
            </c:extLst>
          </c:dPt>
          <c:dPt>
            <c:idx val="23"/>
            <c:invertIfNegative val="0"/>
            <c:bubble3D val="0"/>
            <c:extLst>
              <c:ext xmlns:c16="http://schemas.microsoft.com/office/drawing/2014/chart" uri="{C3380CC4-5D6E-409C-BE32-E72D297353CC}">
                <c16:uniqueId val="{000001F3-1585-4240-9287-D8800A62180D}"/>
              </c:ext>
            </c:extLst>
          </c:dPt>
          <c:dPt>
            <c:idx val="24"/>
            <c:invertIfNegative val="0"/>
            <c:bubble3D val="0"/>
            <c:extLst>
              <c:ext xmlns:c16="http://schemas.microsoft.com/office/drawing/2014/chart" uri="{C3380CC4-5D6E-409C-BE32-E72D297353CC}">
                <c16:uniqueId val="{000001F4-1585-4240-9287-D8800A62180D}"/>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Data'!$B$11:$W$11</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1F5-1585-4240-9287-D8800A62180D}"/>
            </c:ext>
          </c:extLst>
        </c:ser>
        <c:ser>
          <c:idx val="11"/>
          <c:order val="7"/>
          <c:tx>
            <c:strRef>
              <c:f>'NewAndRetiredCapacity Data'!$A$9</c:f>
              <c:strCache>
                <c:ptCount val="1"/>
                <c:pt idx="0">
                  <c:v>Utility Solar</c:v>
                </c:pt>
              </c:strCache>
            </c:strRef>
          </c:tx>
          <c:spPr>
            <a:solidFill>
              <a:srgbClr val="FFC222"/>
            </a:solidFill>
            <a:ln>
              <a:noFill/>
            </a:ln>
          </c:spPr>
          <c:invertIfNegative val="0"/>
          <c:dPt>
            <c:idx val="0"/>
            <c:invertIfNegative val="0"/>
            <c:bubble3D val="0"/>
            <c:spPr>
              <a:solidFill>
                <a:srgbClr val="FFC222"/>
              </a:solidFill>
              <a:ln w="3175" cmpd="sng">
                <a:noFill/>
                <a:prstDash val="solid"/>
              </a:ln>
            </c:spPr>
            <c:extLst>
              <c:ext xmlns:c16="http://schemas.microsoft.com/office/drawing/2014/chart" uri="{C3380CC4-5D6E-409C-BE32-E72D297353CC}">
                <c16:uniqueId val="{000001F8-1585-4240-9287-D8800A62180D}"/>
              </c:ext>
            </c:extLst>
          </c:dPt>
          <c:dPt>
            <c:idx val="1"/>
            <c:invertIfNegative val="0"/>
            <c:bubble3D val="0"/>
            <c:spPr>
              <a:solidFill>
                <a:srgbClr val="FFC222"/>
              </a:solidFill>
              <a:ln w="3175" cmpd="sng">
                <a:noFill/>
                <a:prstDash val="solid"/>
              </a:ln>
            </c:spPr>
            <c:extLst>
              <c:ext xmlns:c16="http://schemas.microsoft.com/office/drawing/2014/chart" uri="{C3380CC4-5D6E-409C-BE32-E72D297353CC}">
                <c16:uniqueId val="{000001FA-1585-4240-9287-D8800A62180D}"/>
              </c:ext>
            </c:extLst>
          </c:dPt>
          <c:dPt>
            <c:idx val="2"/>
            <c:invertIfNegative val="0"/>
            <c:bubble3D val="0"/>
            <c:spPr>
              <a:solidFill>
                <a:srgbClr val="FFC222"/>
              </a:solidFill>
              <a:ln w="3175" cmpd="sng">
                <a:noFill/>
                <a:prstDash val="solid"/>
              </a:ln>
            </c:spPr>
            <c:extLst>
              <c:ext xmlns:c16="http://schemas.microsoft.com/office/drawing/2014/chart" uri="{C3380CC4-5D6E-409C-BE32-E72D297353CC}">
                <c16:uniqueId val="{000001FC-1585-4240-9287-D8800A62180D}"/>
              </c:ext>
            </c:extLst>
          </c:dPt>
          <c:dPt>
            <c:idx val="3"/>
            <c:invertIfNegative val="0"/>
            <c:bubble3D val="0"/>
            <c:spPr>
              <a:solidFill>
                <a:srgbClr val="FFC222"/>
              </a:solidFill>
              <a:ln w="3175" cmpd="sng">
                <a:noFill/>
                <a:prstDash val="solid"/>
              </a:ln>
            </c:spPr>
            <c:extLst>
              <c:ext xmlns:c16="http://schemas.microsoft.com/office/drawing/2014/chart" uri="{C3380CC4-5D6E-409C-BE32-E72D297353CC}">
                <c16:uniqueId val="{000001FE-1585-4240-9287-D8800A62180D}"/>
              </c:ext>
            </c:extLst>
          </c:dPt>
          <c:dPt>
            <c:idx val="4"/>
            <c:invertIfNegative val="0"/>
            <c:bubble3D val="0"/>
            <c:spPr>
              <a:solidFill>
                <a:srgbClr val="FFC222"/>
              </a:solidFill>
              <a:ln w="3175" cmpd="sng">
                <a:noFill/>
                <a:prstDash val="solid"/>
              </a:ln>
            </c:spPr>
            <c:extLst>
              <c:ext xmlns:c16="http://schemas.microsoft.com/office/drawing/2014/chart" uri="{C3380CC4-5D6E-409C-BE32-E72D297353CC}">
                <c16:uniqueId val="{00000200-1585-4240-9287-D8800A62180D}"/>
              </c:ext>
            </c:extLst>
          </c:dPt>
          <c:dPt>
            <c:idx val="5"/>
            <c:invertIfNegative val="0"/>
            <c:bubble3D val="0"/>
            <c:spPr>
              <a:solidFill>
                <a:srgbClr val="FFC222"/>
              </a:solidFill>
              <a:ln w="3175" cmpd="sng">
                <a:noFill/>
                <a:prstDash val="solid"/>
              </a:ln>
            </c:spPr>
            <c:extLst>
              <c:ext xmlns:c16="http://schemas.microsoft.com/office/drawing/2014/chart" uri="{C3380CC4-5D6E-409C-BE32-E72D297353CC}">
                <c16:uniqueId val="{00000202-1585-4240-9287-D8800A62180D}"/>
              </c:ext>
            </c:extLst>
          </c:dPt>
          <c:dPt>
            <c:idx val="6"/>
            <c:invertIfNegative val="0"/>
            <c:bubble3D val="0"/>
            <c:spPr>
              <a:solidFill>
                <a:srgbClr val="FFC222"/>
              </a:solidFill>
              <a:ln w="3175" cmpd="sng">
                <a:noFill/>
                <a:prstDash val="solid"/>
              </a:ln>
            </c:spPr>
            <c:extLst>
              <c:ext xmlns:c16="http://schemas.microsoft.com/office/drawing/2014/chart" uri="{C3380CC4-5D6E-409C-BE32-E72D297353CC}">
                <c16:uniqueId val="{00000204-1585-4240-9287-D8800A62180D}"/>
              </c:ext>
            </c:extLst>
          </c:dPt>
          <c:dPt>
            <c:idx val="7"/>
            <c:invertIfNegative val="0"/>
            <c:bubble3D val="0"/>
            <c:spPr>
              <a:solidFill>
                <a:srgbClr val="FFC222"/>
              </a:solidFill>
              <a:ln w="3175" cmpd="sng">
                <a:noFill/>
                <a:prstDash val="solid"/>
              </a:ln>
            </c:spPr>
            <c:extLst>
              <c:ext xmlns:c16="http://schemas.microsoft.com/office/drawing/2014/chart" uri="{C3380CC4-5D6E-409C-BE32-E72D297353CC}">
                <c16:uniqueId val="{00000206-1585-4240-9287-D8800A62180D}"/>
              </c:ext>
            </c:extLst>
          </c:dPt>
          <c:dPt>
            <c:idx val="8"/>
            <c:invertIfNegative val="0"/>
            <c:bubble3D val="0"/>
            <c:spPr>
              <a:solidFill>
                <a:srgbClr val="FFC222"/>
              </a:solidFill>
              <a:ln w="3175" cmpd="sng">
                <a:noFill/>
                <a:prstDash val="solid"/>
              </a:ln>
            </c:spPr>
            <c:extLst>
              <c:ext xmlns:c16="http://schemas.microsoft.com/office/drawing/2014/chart" uri="{C3380CC4-5D6E-409C-BE32-E72D297353CC}">
                <c16:uniqueId val="{00000208-1585-4240-9287-D8800A62180D}"/>
              </c:ext>
            </c:extLst>
          </c:dPt>
          <c:dPt>
            <c:idx val="9"/>
            <c:invertIfNegative val="0"/>
            <c:bubble3D val="0"/>
            <c:spPr>
              <a:solidFill>
                <a:srgbClr val="FFC222"/>
              </a:solidFill>
              <a:ln w="3175" cmpd="sng">
                <a:noFill/>
                <a:prstDash val="solid"/>
              </a:ln>
            </c:spPr>
            <c:extLst>
              <c:ext xmlns:c16="http://schemas.microsoft.com/office/drawing/2014/chart" uri="{C3380CC4-5D6E-409C-BE32-E72D297353CC}">
                <c16:uniqueId val="{0000020A-1585-4240-9287-D8800A62180D}"/>
              </c:ext>
            </c:extLst>
          </c:dPt>
          <c:dPt>
            <c:idx val="10"/>
            <c:invertIfNegative val="0"/>
            <c:bubble3D val="0"/>
            <c:spPr>
              <a:solidFill>
                <a:srgbClr val="FFC222"/>
              </a:solidFill>
              <a:ln w="3175" cmpd="sng">
                <a:noFill/>
                <a:prstDash val="solid"/>
              </a:ln>
            </c:spPr>
            <c:extLst>
              <c:ext xmlns:c16="http://schemas.microsoft.com/office/drawing/2014/chart" uri="{C3380CC4-5D6E-409C-BE32-E72D297353CC}">
                <c16:uniqueId val="{0000020C-1585-4240-9287-D8800A62180D}"/>
              </c:ext>
            </c:extLst>
          </c:dPt>
          <c:dPt>
            <c:idx val="11"/>
            <c:invertIfNegative val="0"/>
            <c:bubble3D val="0"/>
            <c:spPr>
              <a:solidFill>
                <a:srgbClr val="FFC222"/>
              </a:solidFill>
              <a:ln w="3175" cmpd="sng">
                <a:noFill/>
                <a:prstDash val="solid"/>
              </a:ln>
            </c:spPr>
            <c:extLst>
              <c:ext xmlns:c16="http://schemas.microsoft.com/office/drawing/2014/chart" uri="{C3380CC4-5D6E-409C-BE32-E72D297353CC}">
                <c16:uniqueId val="{0000020E-1585-4240-9287-D8800A62180D}"/>
              </c:ext>
            </c:extLst>
          </c:dPt>
          <c:dPt>
            <c:idx val="12"/>
            <c:invertIfNegative val="0"/>
            <c:bubble3D val="0"/>
            <c:spPr>
              <a:solidFill>
                <a:srgbClr val="FFC222"/>
              </a:solidFill>
              <a:ln w="3175" cmpd="sng">
                <a:noFill/>
                <a:prstDash val="solid"/>
              </a:ln>
            </c:spPr>
            <c:extLst>
              <c:ext xmlns:c16="http://schemas.microsoft.com/office/drawing/2014/chart" uri="{C3380CC4-5D6E-409C-BE32-E72D297353CC}">
                <c16:uniqueId val="{00000210-1585-4240-9287-D8800A62180D}"/>
              </c:ext>
            </c:extLst>
          </c:dPt>
          <c:dPt>
            <c:idx val="13"/>
            <c:invertIfNegative val="0"/>
            <c:bubble3D val="0"/>
            <c:spPr>
              <a:solidFill>
                <a:srgbClr val="FFC222"/>
              </a:solidFill>
              <a:ln w="3175" cmpd="sng">
                <a:noFill/>
                <a:prstDash val="solid"/>
              </a:ln>
            </c:spPr>
            <c:extLst>
              <c:ext xmlns:c16="http://schemas.microsoft.com/office/drawing/2014/chart" uri="{C3380CC4-5D6E-409C-BE32-E72D297353CC}">
                <c16:uniqueId val="{00000212-1585-4240-9287-D8800A62180D}"/>
              </c:ext>
            </c:extLst>
          </c:dPt>
          <c:dPt>
            <c:idx val="14"/>
            <c:invertIfNegative val="0"/>
            <c:bubble3D val="0"/>
            <c:spPr>
              <a:solidFill>
                <a:srgbClr val="FFC222"/>
              </a:solidFill>
              <a:ln w="3175" cmpd="sng">
                <a:noFill/>
                <a:prstDash val="solid"/>
              </a:ln>
            </c:spPr>
            <c:extLst>
              <c:ext xmlns:c16="http://schemas.microsoft.com/office/drawing/2014/chart" uri="{C3380CC4-5D6E-409C-BE32-E72D297353CC}">
                <c16:uniqueId val="{00000214-1585-4240-9287-D8800A62180D}"/>
              </c:ext>
            </c:extLst>
          </c:dPt>
          <c:dPt>
            <c:idx val="15"/>
            <c:invertIfNegative val="0"/>
            <c:bubble3D val="0"/>
            <c:spPr>
              <a:solidFill>
                <a:srgbClr val="FFC222"/>
              </a:solidFill>
              <a:ln w="3175" cmpd="sng">
                <a:noFill/>
                <a:prstDash val="solid"/>
              </a:ln>
            </c:spPr>
            <c:extLst>
              <c:ext xmlns:c16="http://schemas.microsoft.com/office/drawing/2014/chart" uri="{C3380CC4-5D6E-409C-BE32-E72D297353CC}">
                <c16:uniqueId val="{00000216-1585-4240-9287-D8800A62180D}"/>
              </c:ext>
            </c:extLst>
          </c:dPt>
          <c:dPt>
            <c:idx val="16"/>
            <c:invertIfNegative val="0"/>
            <c:bubble3D val="0"/>
            <c:spPr>
              <a:solidFill>
                <a:srgbClr val="FFC222"/>
              </a:solidFill>
              <a:ln w="3175" cmpd="sng">
                <a:noFill/>
                <a:prstDash val="solid"/>
              </a:ln>
            </c:spPr>
            <c:extLst>
              <c:ext xmlns:c16="http://schemas.microsoft.com/office/drawing/2014/chart" uri="{C3380CC4-5D6E-409C-BE32-E72D297353CC}">
                <c16:uniqueId val="{00000218-1585-4240-9287-D8800A62180D}"/>
              </c:ext>
            </c:extLst>
          </c:dPt>
          <c:dPt>
            <c:idx val="17"/>
            <c:invertIfNegative val="0"/>
            <c:bubble3D val="0"/>
            <c:spPr>
              <a:solidFill>
                <a:srgbClr val="FFC222"/>
              </a:solidFill>
              <a:ln w="3175" cmpd="sng">
                <a:noFill/>
                <a:prstDash val="solid"/>
              </a:ln>
            </c:spPr>
            <c:extLst>
              <c:ext xmlns:c16="http://schemas.microsoft.com/office/drawing/2014/chart" uri="{C3380CC4-5D6E-409C-BE32-E72D297353CC}">
                <c16:uniqueId val="{0000021A-1585-4240-9287-D8800A62180D}"/>
              </c:ext>
            </c:extLst>
          </c:dPt>
          <c:dPt>
            <c:idx val="18"/>
            <c:invertIfNegative val="0"/>
            <c:bubble3D val="0"/>
            <c:spPr>
              <a:solidFill>
                <a:srgbClr val="FFC222"/>
              </a:solidFill>
              <a:ln w="3175" cmpd="sng">
                <a:noFill/>
                <a:prstDash val="solid"/>
              </a:ln>
            </c:spPr>
            <c:extLst>
              <c:ext xmlns:c16="http://schemas.microsoft.com/office/drawing/2014/chart" uri="{C3380CC4-5D6E-409C-BE32-E72D297353CC}">
                <c16:uniqueId val="{0000021C-1585-4240-9287-D8800A62180D}"/>
              </c:ext>
            </c:extLst>
          </c:dPt>
          <c:dPt>
            <c:idx val="19"/>
            <c:invertIfNegative val="0"/>
            <c:bubble3D val="0"/>
            <c:spPr>
              <a:solidFill>
                <a:srgbClr val="FFC222"/>
              </a:solidFill>
              <a:ln w="3175" cmpd="sng">
                <a:noFill/>
                <a:prstDash val="solid"/>
              </a:ln>
            </c:spPr>
            <c:extLst>
              <c:ext xmlns:c16="http://schemas.microsoft.com/office/drawing/2014/chart" uri="{C3380CC4-5D6E-409C-BE32-E72D297353CC}">
                <c16:uniqueId val="{0000021E-1585-4240-9287-D8800A62180D}"/>
              </c:ext>
            </c:extLst>
          </c:dPt>
          <c:dPt>
            <c:idx val="20"/>
            <c:invertIfNegative val="0"/>
            <c:bubble3D val="0"/>
            <c:spPr>
              <a:solidFill>
                <a:srgbClr val="FFC222"/>
              </a:solidFill>
              <a:ln w="3175" cmpd="sng">
                <a:noFill/>
                <a:prstDash val="solid"/>
              </a:ln>
            </c:spPr>
            <c:extLst>
              <c:ext xmlns:c16="http://schemas.microsoft.com/office/drawing/2014/chart" uri="{C3380CC4-5D6E-409C-BE32-E72D297353CC}">
                <c16:uniqueId val="{00000220-1585-4240-9287-D8800A62180D}"/>
              </c:ext>
            </c:extLst>
          </c:dPt>
          <c:dPt>
            <c:idx val="21"/>
            <c:invertIfNegative val="0"/>
            <c:bubble3D val="0"/>
            <c:spPr>
              <a:solidFill>
                <a:srgbClr val="FFC222"/>
              </a:solidFill>
              <a:ln w="3175" cmpd="sng">
                <a:noFill/>
                <a:prstDash val="solid"/>
              </a:ln>
            </c:spPr>
            <c:extLst>
              <c:ext xmlns:c16="http://schemas.microsoft.com/office/drawing/2014/chart" uri="{C3380CC4-5D6E-409C-BE32-E72D297353CC}">
                <c16:uniqueId val="{00000222-1585-4240-9287-D8800A62180D}"/>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Data'!$B$9:$W$9</c:f>
              <c:numCache>
                <c:formatCode>#,##0_ ;\-#,##0\ </c:formatCode>
                <c:ptCount val="22"/>
                <c:pt idx="0">
                  <c:v>0</c:v>
                </c:pt>
                <c:pt idx="1">
                  <c:v>631</c:v>
                </c:pt>
                <c:pt idx="2">
                  <c:v>631</c:v>
                </c:pt>
                <c:pt idx="3">
                  <c:v>631</c:v>
                </c:pt>
                <c:pt idx="4">
                  <c:v>1060</c:v>
                </c:pt>
                <c:pt idx="5">
                  <c:v>1644</c:v>
                </c:pt>
                <c:pt idx="6">
                  <c:v>2271</c:v>
                </c:pt>
                <c:pt idx="7">
                  <c:v>3364</c:v>
                </c:pt>
                <c:pt idx="8">
                  <c:v>4101</c:v>
                </c:pt>
                <c:pt idx="9">
                  <c:v>4769</c:v>
                </c:pt>
                <c:pt idx="10">
                  <c:v>5114</c:v>
                </c:pt>
                <c:pt idx="11">
                  <c:v>5324</c:v>
                </c:pt>
                <c:pt idx="12">
                  <c:v>5324</c:v>
                </c:pt>
                <c:pt idx="13">
                  <c:v>5324</c:v>
                </c:pt>
                <c:pt idx="14">
                  <c:v>5324</c:v>
                </c:pt>
                <c:pt idx="15">
                  <c:v>5324</c:v>
                </c:pt>
                <c:pt idx="16">
                  <c:v>5324</c:v>
                </c:pt>
                <c:pt idx="17">
                  <c:v>5324</c:v>
                </c:pt>
                <c:pt idx="18">
                  <c:v>5808</c:v>
                </c:pt>
                <c:pt idx="19">
                  <c:v>5808</c:v>
                </c:pt>
                <c:pt idx="20">
                  <c:v>5841</c:v>
                </c:pt>
                <c:pt idx="21">
                  <c:v>5841</c:v>
                </c:pt>
              </c:numCache>
            </c:numRef>
          </c:val>
          <c:extLst>
            <c:ext xmlns:c16="http://schemas.microsoft.com/office/drawing/2014/chart" uri="{C3380CC4-5D6E-409C-BE32-E72D297353CC}">
              <c16:uniqueId val="{00000223-1585-4240-9287-D8800A62180D}"/>
            </c:ext>
          </c:extLst>
        </c:ser>
        <c:ser>
          <c:idx val="9"/>
          <c:order val="8"/>
          <c:tx>
            <c:strRef>
              <c:f>'NewAndRetiredCapacity Data'!$A$10</c:f>
              <c:strCache>
                <c:ptCount val="1"/>
                <c:pt idx="0">
                  <c:v>Utility storage</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25-1585-4240-9287-D8800A62180D}"/>
              </c:ext>
            </c:extLst>
          </c:dPt>
          <c:dPt>
            <c:idx val="1"/>
            <c:invertIfNegative val="0"/>
            <c:bubble3D val="0"/>
            <c:extLst>
              <c:ext xmlns:c16="http://schemas.microsoft.com/office/drawing/2014/chart" uri="{C3380CC4-5D6E-409C-BE32-E72D297353CC}">
                <c16:uniqueId val="{00000226-1585-4240-9287-D8800A62180D}"/>
              </c:ext>
            </c:extLst>
          </c:dPt>
          <c:dPt>
            <c:idx val="2"/>
            <c:invertIfNegative val="0"/>
            <c:bubble3D val="0"/>
            <c:extLst>
              <c:ext xmlns:c16="http://schemas.microsoft.com/office/drawing/2014/chart" uri="{C3380CC4-5D6E-409C-BE32-E72D297353CC}">
                <c16:uniqueId val="{00000227-1585-4240-9287-D8800A62180D}"/>
              </c:ext>
            </c:extLst>
          </c:dPt>
          <c:dPt>
            <c:idx val="3"/>
            <c:invertIfNegative val="0"/>
            <c:bubble3D val="0"/>
            <c:extLst>
              <c:ext xmlns:c16="http://schemas.microsoft.com/office/drawing/2014/chart" uri="{C3380CC4-5D6E-409C-BE32-E72D297353CC}">
                <c16:uniqueId val="{00000228-1585-4240-9287-D8800A62180D}"/>
              </c:ext>
            </c:extLst>
          </c:dPt>
          <c:dPt>
            <c:idx val="4"/>
            <c:invertIfNegative val="0"/>
            <c:bubble3D val="0"/>
            <c:extLst>
              <c:ext xmlns:c16="http://schemas.microsoft.com/office/drawing/2014/chart" uri="{C3380CC4-5D6E-409C-BE32-E72D297353CC}">
                <c16:uniqueId val="{00000229-1585-4240-9287-D8800A62180D}"/>
              </c:ext>
            </c:extLst>
          </c:dPt>
          <c:dPt>
            <c:idx val="5"/>
            <c:invertIfNegative val="0"/>
            <c:bubble3D val="0"/>
            <c:extLst>
              <c:ext xmlns:c16="http://schemas.microsoft.com/office/drawing/2014/chart" uri="{C3380CC4-5D6E-409C-BE32-E72D297353CC}">
                <c16:uniqueId val="{0000022A-1585-4240-9287-D8800A62180D}"/>
              </c:ext>
            </c:extLst>
          </c:dPt>
          <c:dPt>
            <c:idx val="6"/>
            <c:invertIfNegative val="0"/>
            <c:bubble3D val="0"/>
            <c:extLst>
              <c:ext xmlns:c16="http://schemas.microsoft.com/office/drawing/2014/chart" uri="{C3380CC4-5D6E-409C-BE32-E72D297353CC}">
                <c16:uniqueId val="{0000022B-1585-4240-9287-D8800A62180D}"/>
              </c:ext>
            </c:extLst>
          </c:dPt>
          <c:dPt>
            <c:idx val="7"/>
            <c:invertIfNegative val="0"/>
            <c:bubble3D val="0"/>
            <c:extLst>
              <c:ext xmlns:c16="http://schemas.microsoft.com/office/drawing/2014/chart" uri="{C3380CC4-5D6E-409C-BE32-E72D297353CC}">
                <c16:uniqueId val="{0000022C-1585-4240-9287-D8800A62180D}"/>
              </c:ext>
            </c:extLst>
          </c:dPt>
          <c:dPt>
            <c:idx val="8"/>
            <c:invertIfNegative val="0"/>
            <c:bubble3D val="0"/>
            <c:extLst>
              <c:ext xmlns:c16="http://schemas.microsoft.com/office/drawing/2014/chart" uri="{C3380CC4-5D6E-409C-BE32-E72D297353CC}">
                <c16:uniqueId val="{0000022D-1585-4240-9287-D8800A62180D}"/>
              </c:ext>
            </c:extLst>
          </c:dPt>
          <c:dPt>
            <c:idx val="9"/>
            <c:invertIfNegative val="0"/>
            <c:bubble3D val="0"/>
            <c:extLst>
              <c:ext xmlns:c16="http://schemas.microsoft.com/office/drawing/2014/chart" uri="{C3380CC4-5D6E-409C-BE32-E72D297353CC}">
                <c16:uniqueId val="{0000022E-1585-4240-9287-D8800A62180D}"/>
              </c:ext>
            </c:extLst>
          </c:dPt>
          <c:dPt>
            <c:idx val="10"/>
            <c:invertIfNegative val="0"/>
            <c:bubble3D val="0"/>
            <c:extLst>
              <c:ext xmlns:c16="http://schemas.microsoft.com/office/drawing/2014/chart" uri="{C3380CC4-5D6E-409C-BE32-E72D297353CC}">
                <c16:uniqueId val="{0000022F-1585-4240-9287-D8800A62180D}"/>
              </c:ext>
            </c:extLst>
          </c:dPt>
          <c:dPt>
            <c:idx val="11"/>
            <c:invertIfNegative val="0"/>
            <c:bubble3D val="0"/>
            <c:extLst>
              <c:ext xmlns:c16="http://schemas.microsoft.com/office/drawing/2014/chart" uri="{C3380CC4-5D6E-409C-BE32-E72D297353CC}">
                <c16:uniqueId val="{00000230-1585-4240-9287-D8800A62180D}"/>
              </c:ext>
            </c:extLst>
          </c:dPt>
          <c:dPt>
            <c:idx val="12"/>
            <c:invertIfNegative val="0"/>
            <c:bubble3D val="0"/>
            <c:extLst>
              <c:ext xmlns:c16="http://schemas.microsoft.com/office/drawing/2014/chart" uri="{C3380CC4-5D6E-409C-BE32-E72D297353CC}">
                <c16:uniqueId val="{00000231-1585-4240-9287-D8800A62180D}"/>
              </c:ext>
            </c:extLst>
          </c:dPt>
          <c:dPt>
            <c:idx val="13"/>
            <c:invertIfNegative val="0"/>
            <c:bubble3D val="0"/>
            <c:extLst>
              <c:ext xmlns:c16="http://schemas.microsoft.com/office/drawing/2014/chart" uri="{C3380CC4-5D6E-409C-BE32-E72D297353CC}">
                <c16:uniqueId val="{00000232-1585-4240-9287-D8800A62180D}"/>
              </c:ext>
            </c:extLst>
          </c:dPt>
          <c:dPt>
            <c:idx val="14"/>
            <c:invertIfNegative val="0"/>
            <c:bubble3D val="0"/>
            <c:extLst>
              <c:ext xmlns:c16="http://schemas.microsoft.com/office/drawing/2014/chart" uri="{C3380CC4-5D6E-409C-BE32-E72D297353CC}">
                <c16:uniqueId val="{00000233-1585-4240-9287-D8800A62180D}"/>
              </c:ext>
            </c:extLst>
          </c:dPt>
          <c:dPt>
            <c:idx val="15"/>
            <c:invertIfNegative val="0"/>
            <c:bubble3D val="0"/>
            <c:extLst>
              <c:ext xmlns:c16="http://schemas.microsoft.com/office/drawing/2014/chart" uri="{C3380CC4-5D6E-409C-BE32-E72D297353CC}">
                <c16:uniqueId val="{00000234-1585-4240-9287-D8800A62180D}"/>
              </c:ext>
            </c:extLst>
          </c:dPt>
          <c:dPt>
            <c:idx val="16"/>
            <c:invertIfNegative val="0"/>
            <c:bubble3D val="0"/>
            <c:extLst>
              <c:ext xmlns:c16="http://schemas.microsoft.com/office/drawing/2014/chart" uri="{C3380CC4-5D6E-409C-BE32-E72D297353CC}">
                <c16:uniqueId val="{00000235-1585-4240-9287-D8800A62180D}"/>
              </c:ext>
            </c:extLst>
          </c:dPt>
          <c:dPt>
            <c:idx val="17"/>
            <c:invertIfNegative val="0"/>
            <c:bubble3D val="0"/>
            <c:extLst>
              <c:ext xmlns:c16="http://schemas.microsoft.com/office/drawing/2014/chart" uri="{C3380CC4-5D6E-409C-BE32-E72D297353CC}">
                <c16:uniqueId val="{00000236-1585-4240-9287-D8800A62180D}"/>
              </c:ext>
            </c:extLst>
          </c:dPt>
          <c:dPt>
            <c:idx val="18"/>
            <c:invertIfNegative val="0"/>
            <c:bubble3D val="0"/>
            <c:extLst>
              <c:ext xmlns:c16="http://schemas.microsoft.com/office/drawing/2014/chart" uri="{C3380CC4-5D6E-409C-BE32-E72D297353CC}">
                <c16:uniqueId val="{00000237-1585-4240-9287-D8800A62180D}"/>
              </c:ext>
            </c:extLst>
          </c:dPt>
          <c:dPt>
            <c:idx val="19"/>
            <c:invertIfNegative val="0"/>
            <c:bubble3D val="0"/>
            <c:extLst>
              <c:ext xmlns:c16="http://schemas.microsoft.com/office/drawing/2014/chart" uri="{C3380CC4-5D6E-409C-BE32-E72D297353CC}">
                <c16:uniqueId val="{00000238-1585-4240-9287-D8800A62180D}"/>
              </c:ext>
            </c:extLst>
          </c:dPt>
          <c:dPt>
            <c:idx val="20"/>
            <c:invertIfNegative val="0"/>
            <c:bubble3D val="0"/>
            <c:extLst>
              <c:ext xmlns:c16="http://schemas.microsoft.com/office/drawing/2014/chart" uri="{C3380CC4-5D6E-409C-BE32-E72D297353CC}">
                <c16:uniqueId val="{00000239-1585-4240-9287-D8800A62180D}"/>
              </c:ext>
            </c:extLst>
          </c:dPt>
          <c:dPt>
            <c:idx val="21"/>
            <c:invertIfNegative val="0"/>
            <c:bubble3D val="0"/>
            <c:extLst>
              <c:ext xmlns:c16="http://schemas.microsoft.com/office/drawing/2014/chart" uri="{C3380CC4-5D6E-409C-BE32-E72D297353CC}">
                <c16:uniqueId val="{0000023A-1585-4240-9287-D8800A62180D}"/>
              </c:ext>
            </c:extLst>
          </c:dPt>
          <c:dPt>
            <c:idx val="22"/>
            <c:invertIfNegative val="0"/>
            <c:bubble3D val="0"/>
            <c:extLst>
              <c:ext xmlns:c16="http://schemas.microsoft.com/office/drawing/2014/chart" uri="{C3380CC4-5D6E-409C-BE32-E72D297353CC}">
                <c16:uniqueId val="{0000023B-1585-4240-9287-D8800A62180D}"/>
              </c:ext>
            </c:extLst>
          </c:dPt>
          <c:dPt>
            <c:idx val="23"/>
            <c:invertIfNegative val="0"/>
            <c:bubble3D val="0"/>
            <c:extLst>
              <c:ext xmlns:c16="http://schemas.microsoft.com/office/drawing/2014/chart" uri="{C3380CC4-5D6E-409C-BE32-E72D297353CC}">
                <c16:uniqueId val="{0000023C-1585-4240-9287-D8800A62180D}"/>
              </c:ext>
            </c:extLst>
          </c:dPt>
          <c:dPt>
            <c:idx val="24"/>
            <c:invertIfNegative val="0"/>
            <c:bubble3D val="0"/>
            <c:extLst>
              <c:ext xmlns:c16="http://schemas.microsoft.com/office/drawing/2014/chart" uri="{C3380CC4-5D6E-409C-BE32-E72D297353CC}">
                <c16:uniqueId val="{0000023D-1585-4240-9287-D8800A62180D}"/>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Data'!$B$10:$W$10</c:f>
              <c:numCache>
                <c:formatCode>#,##0_ ;\-#,##0\ </c:formatCode>
                <c:ptCount val="22"/>
                <c:pt idx="0">
                  <c:v>0</c:v>
                </c:pt>
                <c:pt idx="1">
                  <c:v>20</c:v>
                </c:pt>
                <c:pt idx="2">
                  <c:v>120</c:v>
                </c:pt>
                <c:pt idx="3">
                  <c:v>120</c:v>
                </c:pt>
                <c:pt idx="4">
                  <c:v>120</c:v>
                </c:pt>
                <c:pt idx="5">
                  <c:v>120</c:v>
                </c:pt>
                <c:pt idx="6">
                  <c:v>136</c:v>
                </c:pt>
                <c:pt idx="7">
                  <c:v>395</c:v>
                </c:pt>
                <c:pt idx="8">
                  <c:v>395</c:v>
                </c:pt>
                <c:pt idx="9">
                  <c:v>395</c:v>
                </c:pt>
                <c:pt idx="10">
                  <c:v>404</c:v>
                </c:pt>
                <c:pt idx="11">
                  <c:v>404</c:v>
                </c:pt>
                <c:pt idx="12">
                  <c:v>404</c:v>
                </c:pt>
                <c:pt idx="13">
                  <c:v>404</c:v>
                </c:pt>
                <c:pt idx="14">
                  <c:v>1006</c:v>
                </c:pt>
                <c:pt idx="15">
                  <c:v>1006</c:v>
                </c:pt>
                <c:pt idx="16">
                  <c:v>1006</c:v>
                </c:pt>
                <c:pt idx="17">
                  <c:v>1006</c:v>
                </c:pt>
                <c:pt idx="18">
                  <c:v>1222</c:v>
                </c:pt>
                <c:pt idx="19">
                  <c:v>1222</c:v>
                </c:pt>
                <c:pt idx="20">
                  <c:v>1222</c:v>
                </c:pt>
                <c:pt idx="21">
                  <c:v>1222</c:v>
                </c:pt>
              </c:numCache>
            </c:numRef>
          </c:val>
          <c:extLst>
            <c:ext xmlns:c16="http://schemas.microsoft.com/office/drawing/2014/chart" uri="{C3380CC4-5D6E-409C-BE32-E72D297353CC}">
              <c16:uniqueId val="{0000023E-1585-4240-9287-D8800A62180D}"/>
            </c:ext>
          </c:extLst>
        </c:ser>
        <c:ser>
          <c:idx val="6"/>
          <c:order val="9"/>
          <c:tx>
            <c:strRef>
              <c:f>'NewAndRetiredCapacity Data'!$A$12</c:f>
              <c:strCache>
                <c:ptCount val="1"/>
                <c:pt idx="0">
                  <c:v>Distributed storage</c:v>
                </c:pt>
              </c:strCache>
            </c:strRef>
          </c:tx>
          <c:spPr>
            <a:solidFill>
              <a:srgbClr val="92D050"/>
            </a:solidFill>
            <a:ln>
              <a:noFill/>
            </a:ln>
            <a:effectLst/>
          </c:spPr>
          <c:invertIfNegative val="0"/>
          <c:dPt>
            <c:idx val="0"/>
            <c:invertIfNegative val="0"/>
            <c:bubble3D val="0"/>
            <c:extLst>
              <c:ext xmlns:c16="http://schemas.microsoft.com/office/drawing/2014/chart" uri="{C3380CC4-5D6E-409C-BE32-E72D297353CC}">
                <c16:uniqueId val="{00000240-1585-4240-9287-D8800A62180D}"/>
              </c:ext>
            </c:extLst>
          </c:dPt>
          <c:dPt>
            <c:idx val="1"/>
            <c:invertIfNegative val="0"/>
            <c:bubble3D val="0"/>
            <c:extLst>
              <c:ext xmlns:c16="http://schemas.microsoft.com/office/drawing/2014/chart" uri="{C3380CC4-5D6E-409C-BE32-E72D297353CC}">
                <c16:uniqueId val="{00000241-1585-4240-9287-D8800A62180D}"/>
              </c:ext>
            </c:extLst>
          </c:dPt>
          <c:dPt>
            <c:idx val="2"/>
            <c:invertIfNegative val="0"/>
            <c:bubble3D val="0"/>
            <c:extLst>
              <c:ext xmlns:c16="http://schemas.microsoft.com/office/drawing/2014/chart" uri="{C3380CC4-5D6E-409C-BE32-E72D297353CC}">
                <c16:uniqueId val="{00000242-1585-4240-9287-D8800A62180D}"/>
              </c:ext>
            </c:extLst>
          </c:dPt>
          <c:dPt>
            <c:idx val="3"/>
            <c:invertIfNegative val="0"/>
            <c:bubble3D val="0"/>
            <c:extLst>
              <c:ext xmlns:c16="http://schemas.microsoft.com/office/drawing/2014/chart" uri="{C3380CC4-5D6E-409C-BE32-E72D297353CC}">
                <c16:uniqueId val="{00000243-1585-4240-9287-D8800A62180D}"/>
              </c:ext>
            </c:extLst>
          </c:dPt>
          <c:dPt>
            <c:idx val="4"/>
            <c:invertIfNegative val="0"/>
            <c:bubble3D val="0"/>
            <c:extLst>
              <c:ext xmlns:c16="http://schemas.microsoft.com/office/drawing/2014/chart" uri="{C3380CC4-5D6E-409C-BE32-E72D297353CC}">
                <c16:uniqueId val="{00000244-1585-4240-9287-D8800A62180D}"/>
              </c:ext>
            </c:extLst>
          </c:dPt>
          <c:dPt>
            <c:idx val="5"/>
            <c:invertIfNegative val="0"/>
            <c:bubble3D val="0"/>
            <c:extLst>
              <c:ext xmlns:c16="http://schemas.microsoft.com/office/drawing/2014/chart" uri="{C3380CC4-5D6E-409C-BE32-E72D297353CC}">
                <c16:uniqueId val="{00000245-1585-4240-9287-D8800A62180D}"/>
              </c:ext>
            </c:extLst>
          </c:dPt>
          <c:dPt>
            <c:idx val="6"/>
            <c:invertIfNegative val="0"/>
            <c:bubble3D val="0"/>
            <c:extLst>
              <c:ext xmlns:c16="http://schemas.microsoft.com/office/drawing/2014/chart" uri="{C3380CC4-5D6E-409C-BE32-E72D297353CC}">
                <c16:uniqueId val="{00000246-1585-4240-9287-D8800A62180D}"/>
              </c:ext>
            </c:extLst>
          </c:dPt>
          <c:dPt>
            <c:idx val="7"/>
            <c:invertIfNegative val="0"/>
            <c:bubble3D val="0"/>
            <c:extLst>
              <c:ext xmlns:c16="http://schemas.microsoft.com/office/drawing/2014/chart" uri="{C3380CC4-5D6E-409C-BE32-E72D297353CC}">
                <c16:uniqueId val="{00000247-1585-4240-9287-D8800A62180D}"/>
              </c:ext>
            </c:extLst>
          </c:dPt>
          <c:dPt>
            <c:idx val="8"/>
            <c:invertIfNegative val="0"/>
            <c:bubble3D val="0"/>
            <c:extLst>
              <c:ext xmlns:c16="http://schemas.microsoft.com/office/drawing/2014/chart" uri="{C3380CC4-5D6E-409C-BE32-E72D297353CC}">
                <c16:uniqueId val="{00000248-1585-4240-9287-D8800A62180D}"/>
              </c:ext>
            </c:extLst>
          </c:dPt>
          <c:dPt>
            <c:idx val="9"/>
            <c:invertIfNegative val="0"/>
            <c:bubble3D val="0"/>
            <c:extLst>
              <c:ext xmlns:c16="http://schemas.microsoft.com/office/drawing/2014/chart" uri="{C3380CC4-5D6E-409C-BE32-E72D297353CC}">
                <c16:uniqueId val="{00000249-1585-4240-9287-D8800A62180D}"/>
              </c:ext>
            </c:extLst>
          </c:dPt>
          <c:dPt>
            <c:idx val="10"/>
            <c:invertIfNegative val="0"/>
            <c:bubble3D val="0"/>
            <c:extLst>
              <c:ext xmlns:c16="http://schemas.microsoft.com/office/drawing/2014/chart" uri="{C3380CC4-5D6E-409C-BE32-E72D297353CC}">
                <c16:uniqueId val="{0000024A-1585-4240-9287-D8800A62180D}"/>
              </c:ext>
            </c:extLst>
          </c:dPt>
          <c:dPt>
            <c:idx val="11"/>
            <c:invertIfNegative val="0"/>
            <c:bubble3D val="0"/>
            <c:extLst>
              <c:ext xmlns:c16="http://schemas.microsoft.com/office/drawing/2014/chart" uri="{C3380CC4-5D6E-409C-BE32-E72D297353CC}">
                <c16:uniqueId val="{0000024B-1585-4240-9287-D8800A62180D}"/>
              </c:ext>
            </c:extLst>
          </c:dPt>
          <c:dPt>
            <c:idx val="12"/>
            <c:invertIfNegative val="0"/>
            <c:bubble3D val="0"/>
            <c:extLst>
              <c:ext xmlns:c16="http://schemas.microsoft.com/office/drawing/2014/chart" uri="{C3380CC4-5D6E-409C-BE32-E72D297353CC}">
                <c16:uniqueId val="{0000024C-1585-4240-9287-D8800A62180D}"/>
              </c:ext>
            </c:extLst>
          </c:dPt>
          <c:dPt>
            <c:idx val="13"/>
            <c:invertIfNegative val="0"/>
            <c:bubble3D val="0"/>
            <c:extLst>
              <c:ext xmlns:c16="http://schemas.microsoft.com/office/drawing/2014/chart" uri="{C3380CC4-5D6E-409C-BE32-E72D297353CC}">
                <c16:uniqueId val="{0000024D-1585-4240-9287-D8800A62180D}"/>
              </c:ext>
            </c:extLst>
          </c:dPt>
          <c:dPt>
            <c:idx val="14"/>
            <c:invertIfNegative val="0"/>
            <c:bubble3D val="0"/>
            <c:extLst>
              <c:ext xmlns:c16="http://schemas.microsoft.com/office/drawing/2014/chart" uri="{C3380CC4-5D6E-409C-BE32-E72D297353CC}">
                <c16:uniqueId val="{0000024E-1585-4240-9287-D8800A62180D}"/>
              </c:ext>
            </c:extLst>
          </c:dPt>
          <c:dPt>
            <c:idx val="15"/>
            <c:invertIfNegative val="0"/>
            <c:bubble3D val="0"/>
            <c:extLst>
              <c:ext xmlns:c16="http://schemas.microsoft.com/office/drawing/2014/chart" uri="{C3380CC4-5D6E-409C-BE32-E72D297353CC}">
                <c16:uniqueId val="{0000024F-1585-4240-9287-D8800A62180D}"/>
              </c:ext>
            </c:extLst>
          </c:dPt>
          <c:dPt>
            <c:idx val="16"/>
            <c:invertIfNegative val="0"/>
            <c:bubble3D val="0"/>
            <c:extLst>
              <c:ext xmlns:c16="http://schemas.microsoft.com/office/drawing/2014/chart" uri="{C3380CC4-5D6E-409C-BE32-E72D297353CC}">
                <c16:uniqueId val="{00000250-1585-4240-9287-D8800A62180D}"/>
              </c:ext>
            </c:extLst>
          </c:dPt>
          <c:dPt>
            <c:idx val="17"/>
            <c:invertIfNegative val="0"/>
            <c:bubble3D val="0"/>
            <c:extLst>
              <c:ext xmlns:c16="http://schemas.microsoft.com/office/drawing/2014/chart" uri="{C3380CC4-5D6E-409C-BE32-E72D297353CC}">
                <c16:uniqueId val="{00000251-1585-4240-9287-D8800A62180D}"/>
              </c:ext>
            </c:extLst>
          </c:dPt>
          <c:dPt>
            <c:idx val="18"/>
            <c:invertIfNegative val="0"/>
            <c:bubble3D val="0"/>
            <c:extLst>
              <c:ext xmlns:c16="http://schemas.microsoft.com/office/drawing/2014/chart" uri="{C3380CC4-5D6E-409C-BE32-E72D297353CC}">
                <c16:uniqueId val="{00000252-1585-4240-9287-D8800A62180D}"/>
              </c:ext>
            </c:extLst>
          </c:dPt>
          <c:dPt>
            <c:idx val="19"/>
            <c:invertIfNegative val="0"/>
            <c:bubble3D val="0"/>
            <c:extLst>
              <c:ext xmlns:c16="http://schemas.microsoft.com/office/drawing/2014/chart" uri="{C3380CC4-5D6E-409C-BE32-E72D297353CC}">
                <c16:uniqueId val="{00000253-1585-4240-9287-D8800A62180D}"/>
              </c:ext>
            </c:extLst>
          </c:dPt>
          <c:dPt>
            <c:idx val="20"/>
            <c:invertIfNegative val="0"/>
            <c:bubble3D val="0"/>
            <c:extLst>
              <c:ext xmlns:c16="http://schemas.microsoft.com/office/drawing/2014/chart" uri="{C3380CC4-5D6E-409C-BE32-E72D297353CC}">
                <c16:uniqueId val="{00000254-1585-4240-9287-D8800A62180D}"/>
              </c:ext>
            </c:extLst>
          </c:dPt>
          <c:dPt>
            <c:idx val="21"/>
            <c:invertIfNegative val="0"/>
            <c:bubble3D val="0"/>
            <c:extLst>
              <c:ext xmlns:c16="http://schemas.microsoft.com/office/drawing/2014/chart" uri="{C3380CC4-5D6E-409C-BE32-E72D297353CC}">
                <c16:uniqueId val="{00000255-1585-4240-9287-D8800A62180D}"/>
              </c:ext>
            </c:extLst>
          </c:dPt>
          <c:dPt>
            <c:idx val="22"/>
            <c:invertIfNegative val="0"/>
            <c:bubble3D val="0"/>
            <c:extLst>
              <c:ext xmlns:c16="http://schemas.microsoft.com/office/drawing/2014/chart" uri="{C3380CC4-5D6E-409C-BE32-E72D297353CC}">
                <c16:uniqueId val="{00000256-1585-4240-9287-D8800A62180D}"/>
              </c:ext>
            </c:extLst>
          </c:dPt>
          <c:dPt>
            <c:idx val="23"/>
            <c:invertIfNegative val="0"/>
            <c:bubble3D val="0"/>
            <c:extLst>
              <c:ext xmlns:c16="http://schemas.microsoft.com/office/drawing/2014/chart" uri="{C3380CC4-5D6E-409C-BE32-E72D297353CC}">
                <c16:uniqueId val="{00000257-1585-4240-9287-D8800A62180D}"/>
              </c:ext>
            </c:extLst>
          </c:dPt>
          <c:dPt>
            <c:idx val="24"/>
            <c:invertIfNegative val="0"/>
            <c:bubble3D val="0"/>
            <c:extLst>
              <c:ext xmlns:c16="http://schemas.microsoft.com/office/drawing/2014/chart" uri="{C3380CC4-5D6E-409C-BE32-E72D297353CC}">
                <c16:uniqueId val="{00000258-1585-4240-9287-D8800A62180D}"/>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Data'!$B$12:$W$12</c:f>
              <c:numCache>
                <c:formatCode>#,##0_ ;\-#,##0\ </c:formatCode>
                <c:ptCount val="22"/>
                <c:pt idx="0">
                  <c:v>0</c:v>
                </c:pt>
                <c:pt idx="1">
                  <c:v>289</c:v>
                </c:pt>
                <c:pt idx="2">
                  <c:v>665</c:v>
                </c:pt>
                <c:pt idx="3">
                  <c:v>1011</c:v>
                </c:pt>
                <c:pt idx="4">
                  <c:v>1344</c:v>
                </c:pt>
                <c:pt idx="5">
                  <c:v>1663</c:v>
                </c:pt>
                <c:pt idx="6">
                  <c:v>1976</c:v>
                </c:pt>
                <c:pt idx="7">
                  <c:v>2276</c:v>
                </c:pt>
                <c:pt idx="8">
                  <c:v>2569</c:v>
                </c:pt>
                <c:pt idx="9">
                  <c:v>2854</c:v>
                </c:pt>
                <c:pt idx="10">
                  <c:v>3134</c:v>
                </c:pt>
                <c:pt idx="11">
                  <c:v>3411</c:v>
                </c:pt>
                <c:pt idx="12">
                  <c:v>3668</c:v>
                </c:pt>
                <c:pt idx="13">
                  <c:v>3900</c:v>
                </c:pt>
                <c:pt idx="14">
                  <c:v>4124</c:v>
                </c:pt>
                <c:pt idx="15">
                  <c:v>4339</c:v>
                </c:pt>
                <c:pt idx="16">
                  <c:v>4548</c:v>
                </c:pt>
                <c:pt idx="17">
                  <c:v>4753</c:v>
                </c:pt>
                <c:pt idx="18">
                  <c:v>4950</c:v>
                </c:pt>
                <c:pt idx="19">
                  <c:v>5140</c:v>
                </c:pt>
                <c:pt idx="20">
                  <c:v>5280</c:v>
                </c:pt>
                <c:pt idx="21">
                  <c:v>5462</c:v>
                </c:pt>
              </c:numCache>
            </c:numRef>
          </c:val>
          <c:extLst>
            <c:ext xmlns:c16="http://schemas.microsoft.com/office/drawing/2014/chart" uri="{C3380CC4-5D6E-409C-BE32-E72D297353CC}">
              <c16:uniqueId val="{00000259-1585-4240-9287-D8800A62180D}"/>
            </c:ext>
          </c:extLst>
        </c:ser>
        <c:ser>
          <c:idx val="12"/>
          <c:order val="10"/>
          <c:tx>
            <c:strRef>
              <c:f>'NewAndRetiredCapacity Data'!$A$13</c:f>
              <c:strCache>
                <c:ptCount val="1"/>
                <c:pt idx="0">
                  <c:v>Rooftop PV</c:v>
                </c:pt>
              </c:strCache>
            </c:strRef>
          </c:tx>
          <c:spPr>
            <a:solidFill>
              <a:srgbClr val="FFE7A7"/>
            </a:solidFill>
            <a:ln>
              <a:noFill/>
            </a:ln>
          </c:spPr>
          <c:invertIfNegative val="0"/>
          <c:dPt>
            <c:idx val="0"/>
            <c:invertIfNegative val="0"/>
            <c:bubble3D val="0"/>
            <c:spPr>
              <a:solidFill>
                <a:srgbClr val="FFE7A7"/>
              </a:solidFill>
              <a:ln w="3175" cmpd="sng">
                <a:noFill/>
                <a:prstDash val="solid"/>
              </a:ln>
            </c:spPr>
            <c:extLst>
              <c:ext xmlns:c16="http://schemas.microsoft.com/office/drawing/2014/chart" uri="{C3380CC4-5D6E-409C-BE32-E72D297353CC}">
                <c16:uniqueId val="{0000025C-1585-4240-9287-D8800A62180D}"/>
              </c:ext>
            </c:extLst>
          </c:dPt>
          <c:dPt>
            <c:idx val="1"/>
            <c:invertIfNegative val="0"/>
            <c:bubble3D val="0"/>
            <c:spPr>
              <a:solidFill>
                <a:srgbClr val="FFE7A7"/>
              </a:solidFill>
              <a:ln w="3175" cmpd="sng">
                <a:noFill/>
                <a:prstDash val="solid"/>
              </a:ln>
            </c:spPr>
            <c:extLst>
              <c:ext xmlns:c16="http://schemas.microsoft.com/office/drawing/2014/chart" uri="{C3380CC4-5D6E-409C-BE32-E72D297353CC}">
                <c16:uniqueId val="{0000025E-1585-4240-9287-D8800A62180D}"/>
              </c:ext>
            </c:extLst>
          </c:dPt>
          <c:dPt>
            <c:idx val="2"/>
            <c:invertIfNegative val="0"/>
            <c:bubble3D val="0"/>
            <c:spPr>
              <a:solidFill>
                <a:srgbClr val="FFE7A7"/>
              </a:solidFill>
              <a:ln w="3175" cmpd="sng">
                <a:noFill/>
                <a:prstDash val="solid"/>
              </a:ln>
            </c:spPr>
            <c:extLst>
              <c:ext xmlns:c16="http://schemas.microsoft.com/office/drawing/2014/chart" uri="{C3380CC4-5D6E-409C-BE32-E72D297353CC}">
                <c16:uniqueId val="{00000260-1585-4240-9287-D8800A62180D}"/>
              </c:ext>
            </c:extLst>
          </c:dPt>
          <c:dPt>
            <c:idx val="3"/>
            <c:invertIfNegative val="0"/>
            <c:bubble3D val="0"/>
            <c:spPr>
              <a:solidFill>
                <a:srgbClr val="FFE7A7"/>
              </a:solidFill>
              <a:ln w="3175" cmpd="sng">
                <a:noFill/>
                <a:prstDash val="solid"/>
              </a:ln>
            </c:spPr>
            <c:extLst>
              <c:ext xmlns:c16="http://schemas.microsoft.com/office/drawing/2014/chart" uri="{C3380CC4-5D6E-409C-BE32-E72D297353CC}">
                <c16:uniqueId val="{00000262-1585-4240-9287-D8800A62180D}"/>
              </c:ext>
            </c:extLst>
          </c:dPt>
          <c:dPt>
            <c:idx val="4"/>
            <c:invertIfNegative val="0"/>
            <c:bubble3D val="0"/>
            <c:spPr>
              <a:solidFill>
                <a:srgbClr val="FFE7A7"/>
              </a:solidFill>
              <a:ln w="3175" cmpd="sng">
                <a:noFill/>
                <a:prstDash val="solid"/>
              </a:ln>
            </c:spPr>
            <c:extLst>
              <c:ext xmlns:c16="http://schemas.microsoft.com/office/drawing/2014/chart" uri="{C3380CC4-5D6E-409C-BE32-E72D297353CC}">
                <c16:uniqueId val="{00000264-1585-4240-9287-D8800A62180D}"/>
              </c:ext>
            </c:extLst>
          </c:dPt>
          <c:dPt>
            <c:idx val="5"/>
            <c:invertIfNegative val="0"/>
            <c:bubble3D val="0"/>
            <c:spPr>
              <a:solidFill>
                <a:srgbClr val="FFE7A7"/>
              </a:solidFill>
              <a:ln w="3175" cmpd="sng">
                <a:noFill/>
                <a:prstDash val="solid"/>
              </a:ln>
            </c:spPr>
            <c:extLst>
              <c:ext xmlns:c16="http://schemas.microsoft.com/office/drawing/2014/chart" uri="{C3380CC4-5D6E-409C-BE32-E72D297353CC}">
                <c16:uniqueId val="{00000266-1585-4240-9287-D8800A62180D}"/>
              </c:ext>
            </c:extLst>
          </c:dPt>
          <c:dPt>
            <c:idx val="6"/>
            <c:invertIfNegative val="0"/>
            <c:bubble3D val="0"/>
            <c:spPr>
              <a:solidFill>
                <a:srgbClr val="FFE7A7"/>
              </a:solidFill>
              <a:ln w="3175" cmpd="sng">
                <a:noFill/>
                <a:prstDash val="solid"/>
              </a:ln>
            </c:spPr>
            <c:extLst>
              <c:ext xmlns:c16="http://schemas.microsoft.com/office/drawing/2014/chart" uri="{C3380CC4-5D6E-409C-BE32-E72D297353CC}">
                <c16:uniqueId val="{00000268-1585-4240-9287-D8800A62180D}"/>
              </c:ext>
            </c:extLst>
          </c:dPt>
          <c:dPt>
            <c:idx val="7"/>
            <c:invertIfNegative val="0"/>
            <c:bubble3D val="0"/>
            <c:spPr>
              <a:solidFill>
                <a:srgbClr val="FFE7A7"/>
              </a:solidFill>
              <a:ln w="3175" cmpd="sng">
                <a:noFill/>
                <a:prstDash val="solid"/>
              </a:ln>
            </c:spPr>
            <c:extLst>
              <c:ext xmlns:c16="http://schemas.microsoft.com/office/drawing/2014/chart" uri="{C3380CC4-5D6E-409C-BE32-E72D297353CC}">
                <c16:uniqueId val="{0000026A-1585-4240-9287-D8800A62180D}"/>
              </c:ext>
            </c:extLst>
          </c:dPt>
          <c:dPt>
            <c:idx val="8"/>
            <c:invertIfNegative val="0"/>
            <c:bubble3D val="0"/>
            <c:spPr>
              <a:solidFill>
                <a:srgbClr val="FFE7A7"/>
              </a:solidFill>
              <a:ln w="3175" cmpd="sng">
                <a:noFill/>
                <a:prstDash val="solid"/>
              </a:ln>
            </c:spPr>
            <c:extLst>
              <c:ext xmlns:c16="http://schemas.microsoft.com/office/drawing/2014/chart" uri="{C3380CC4-5D6E-409C-BE32-E72D297353CC}">
                <c16:uniqueId val="{0000026C-1585-4240-9287-D8800A62180D}"/>
              </c:ext>
            </c:extLst>
          </c:dPt>
          <c:dPt>
            <c:idx val="9"/>
            <c:invertIfNegative val="0"/>
            <c:bubble3D val="0"/>
            <c:spPr>
              <a:solidFill>
                <a:srgbClr val="FFE7A7"/>
              </a:solidFill>
              <a:ln w="3175" cmpd="sng">
                <a:noFill/>
                <a:prstDash val="solid"/>
              </a:ln>
            </c:spPr>
            <c:extLst>
              <c:ext xmlns:c16="http://schemas.microsoft.com/office/drawing/2014/chart" uri="{C3380CC4-5D6E-409C-BE32-E72D297353CC}">
                <c16:uniqueId val="{0000026E-1585-4240-9287-D8800A62180D}"/>
              </c:ext>
            </c:extLst>
          </c:dPt>
          <c:dPt>
            <c:idx val="10"/>
            <c:invertIfNegative val="0"/>
            <c:bubble3D val="0"/>
            <c:spPr>
              <a:solidFill>
                <a:srgbClr val="FFE7A7"/>
              </a:solidFill>
              <a:ln w="3175" cmpd="sng">
                <a:noFill/>
                <a:prstDash val="solid"/>
              </a:ln>
            </c:spPr>
            <c:extLst>
              <c:ext xmlns:c16="http://schemas.microsoft.com/office/drawing/2014/chart" uri="{C3380CC4-5D6E-409C-BE32-E72D297353CC}">
                <c16:uniqueId val="{00000270-1585-4240-9287-D8800A62180D}"/>
              </c:ext>
            </c:extLst>
          </c:dPt>
          <c:dPt>
            <c:idx val="11"/>
            <c:invertIfNegative val="0"/>
            <c:bubble3D val="0"/>
            <c:spPr>
              <a:solidFill>
                <a:srgbClr val="FFE7A7"/>
              </a:solidFill>
              <a:ln w="3175" cmpd="sng">
                <a:noFill/>
                <a:prstDash val="solid"/>
              </a:ln>
            </c:spPr>
            <c:extLst>
              <c:ext xmlns:c16="http://schemas.microsoft.com/office/drawing/2014/chart" uri="{C3380CC4-5D6E-409C-BE32-E72D297353CC}">
                <c16:uniqueId val="{00000272-1585-4240-9287-D8800A62180D}"/>
              </c:ext>
            </c:extLst>
          </c:dPt>
          <c:dPt>
            <c:idx val="12"/>
            <c:invertIfNegative val="0"/>
            <c:bubble3D val="0"/>
            <c:spPr>
              <a:solidFill>
                <a:srgbClr val="FFE7A7"/>
              </a:solidFill>
              <a:ln w="3175" cmpd="sng">
                <a:noFill/>
                <a:prstDash val="solid"/>
              </a:ln>
            </c:spPr>
            <c:extLst>
              <c:ext xmlns:c16="http://schemas.microsoft.com/office/drawing/2014/chart" uri="{C3380CC4-5D6E-409C-BE32-E72D297353CC}">
                <c16:uniqueId val="{00000274-1585-4240-9287-D8800A62180D}"/>
              </c:ext>
            </c:extLst>
          </c:dPt>
          <c:dPt>
            <c:idx val="13"/>
            <c:invertIfNegative val="0"/>
            <c:bubble3D val="0"/>
            <c:spPr>
              <a:solidFill>
                <a:srgbClr val="FFE7A7"/>
              </a:solidFill>
              <a:ln w="3175" cmpd="sng">
                <a:noFill/>
                <a:prstDash val="solid"/>
              </a:ln>
            </c:spPr>
            <c:extLst>
              <c:ext xmlns:c16="http://schemas.microsoft.com/office/drawing/2014/chart" uri="{C3380CC4-5D6E-409C-BE32-E72D297353CC}">
                <c16:uniqueId val="{00000276-1585-4240-9287-D8800A62180D}"/>
              </c:ext>
            </c:extLst>
          </c:dPt>
          <c:dPt>
            <c:idx val="14"/>
            <c:invertIfNegative val="0"/>
            <c:bubble3D val="0"/>
            <c:spPr>
              <a:solidFill>
                <a:srgbClr val="FFE7A7"/>
              </a:solidFill>
              <a:ln w="3175" cmpd="sng">
                <a:noFill/>
                <a:prstDash val="solid"/>
              </a:ln>
            </c:spPr>
            <c:extLst>
              <c:ext xmlns:c16="http://schemas.microsoft.com/office/drawing/2014/chart" uri="{C3380CC4-5D6E-409C-BE32-E72D297353CC}">
                <c16:uniqueId val="{00000278-1585-4240-9287-D8800A62180D}"/>
              </c:ext>
            </c:extLst>
          </c:dPt>
          <c:dPt>
            <c:idx val="15"/>
            <c:invertIfNegative val="0"/>
            <c:bubble3D val="0"/>
            <c:spPr>
              <a:solidFill>
                <a:srgbClr val="FFE7A7"/>
              </a:solidFill>
              <a:ln w="3175" cmpd="sng">
                <a:noFill/>
                <a:prstDash val="solid"/>
              </a:ln>
            </c:spPr>
            <c:extLst>
              <c:ext xmlns:c16="http://schemas.microsoft.com/office/drawing/2014/chart" uri="{C3380CC4-5D6E-409C-BE32-E72D297353CC}">
                <c16:uniqueId val="{0000027A-1585-4240-9287-D8800A62180D}"/>
              </c:ext>
            </c:extLst>
          </c:dPt>
          <c:dPt>
            <c:idx val="16"/>
            <c:invertIfNegative val="0"/>
            <c:bubble3D val="0"/>
            <c:spPr>
              <a:solidFill>
                <a:srgbClr val="FFE7A7"/>
              </a:solidFill>
              <a:ln w="3175" cmpd="sng">
                <a:noFill/>
                <a:prstDash val="solid"/>
              </a:ln>
            </c:spPr>
            <c:extLst>
              <c:ext xmlns:c16="http://schemas.microsoft.com/office/drawing/2014/chart" uri="{C3380CC4-5D6E-409C-BE32-E72D297353CC}">
                <c16:uniqueId val="{0000027C-1585-4240-9287-D8800A62180D}"/>
              </c:ext>
            </c:extLst>
          </c:dPt>
          <c:dPt>
            <c:idx val="17"/>
            <c:invertIfNegative val="0"/>
            <c:bubble3D val="0"/>
            <c:spPr>
              <a:solidFill>
                <a:srgbClr val="FFE7A7"/>
              </a:solidFill>
              <a:ln w="3175" cmpd="sng">
                <a:noFill/>
                <a:prstDash val="solid"/>
              </a:ln>
            </c:spPr>
            <c:extLst>
              <c:ext xmlns:c16="http://schemas.microsoft.com/office/drawing/2014/chart" uri="{C3380CC4-5D6E-409C-BE32-E72D297353CC}">
                <c16:uniqueId val="{0000027E-1585-4240-9287-D8800A62180D}"/>
              </c:ext>
            </c:extLst>
          </c:dPt>
          <c:dPt>
            <c:idx val="18"/>
            <c:invertIfNegative val="0"/>
            <c:bubble3D val="0"/>
            <c:spPr>
              <a:solidFill>
                <a:srgbClr val="FFE7A7"/>
              </a:solidFill>
              <a:ln w="3175" cmpd="sng">
                <a:noFill/>
                <a:prstDash val="solid"/>
              </a:ln>
            </c:spPr>
            <c:extLst>
              <c:ext xmlns:c16="http://schemas.microsoft.com/office/drawing/2014/chart" uri="{C3380CC4-5D6E-409C-BE32-E72D297353CC}">
                <c16:uniqueId val="{00000280-1585-4240-9287-D8800A62180D}"/>
              </c:ext>
            </c:extLst>
          </c:dPt>
          <c:dPt>
            <c:idx val="19"/>
            <c:invertIfNegative val="0"/>
            <c:bubble3D val="0"/>
            <c:spPr>
              <a:solidFill>
                <a:srgbClr val="FFE7A7"/>
              </a:solidFill>
              <a:ln w="3175" cmpd="sng">
                <a:noFill/>
                <a:prstDash val="solid"/>
              </a:ln>
            </c:spPr>
            <c:extLst>
              <c:ext xmlns:c16="http://schemas.microsoft.com/office/drawing/2014/chart" uri="{C3380CC4-5D6E-409C-BE32-E72D297353CC}">
                <c16:uniqueId val="{00000282-1585-4240-9287-D8800A62180D}"/>
              </c:ext>
            </c:extLst>
          </c:dPt>
          <c:dPt>
            <c:idx val="20"/>
            <c:invertIfNegative val="0"/>
            <c:bubble3D val="0"/>
            <c:spPr>
              <a:solidFill>
                <a:srgbClr val="FFE7A7"/>
              </a:solidFill>
              <a:ln w="3175" cmpd="sng">
                <a:noFill/>
                <a:prstDash val="solid"/>
              </a:ln>
            </c:spPr>
            <c:extLst>
              <c:ext xmlns:c16="http://schemas.microsoft.com/office/drawing/2014/chart" uri="{C3380CC4-5D6E-409C-BE32-E72D297353CC}">
                <c16:uniqueId val="{00000284-1585-4240-9287-D8800A62180D}"/>
              </c:ext>
            </c:extLst>
          </c:dPt>
          <c:dPt>
            <c:idx val="21"/>
            <c:invertIfNegative val="0"/>
            <c:bubble3D val="0"/>
            <c:spPr>
              <a:solidFill>
                <a:srgbClr val="FFE7A7"/>
              </a:solidFill>
              <a:ln w="3175" cmpd="sng">
                <a:noFill/>
                <a:prstDash val="solid"/>
              </a:ln>
            </c:spPr>
            <c:extLst>
              <c:ext xmlns:c16="http://schemas.microsoft.com/office/drawing/2014/chart" uri="{C3380CC4-5D6E-409C-BE32-E72D297353CC}">
                <c16:uniqueId val="{00000286-1585-4240-9287-D8800A62180D}"/>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Data'!$B$13:$W$13</c:f>
              <c:numCache>
                <c:formatCode>#,##0_ ;\-#,##0\ </c:formatCode>
                <c:ptCount val="22"/>
                <c:pt idx="0">
                  <c:v>0</c:v>
                </c:pt>
                <c:pt idx="1">
                  <c:v>940</c:v>
                </c:pt>
                <c:pt idx="2">
                  <c:v>1862</c:v>
                </c:pt>
                <c:pt idx="3">
                  <c:v>2758</c:v>
                </c:pt>
                <c:pt idx="4">
                  <c:v>3634</c:v>
                </c:pt>
                <c:pt idx="5">
                  <c:v>4493</c:v>
                </c:pt>
                <c:pt idx="6">
                  <c:v>5327</c:v>
                </c:pt>
                <c:pt idx="7">
                  <c:v>6135</c:v>
                </c:pt>
                <c:pt idx="8">
                  <c:v>6924</c:v>
                </c:pt>
                <c:pt idx="9">
                  <c:v>7686</c:v>
                </c:pt>
                <c:pt idx="10">
                  <c:v>8415</c:v>
                </c:pt>
                <c:pt idx="11">
                  <c:v>9115</c:v>
                </c:pt>
                <c:pt idx="12">
                  <c:v>9768</c:v>
                </c:pt>
                <c:pt idx="13">
                  <c:v>10377</c:v>
                </c:pt>
                <c:pt idx="14">
                  <c:v>10921</c:v>
                </c:pt>
                <c:pt idx="15">
                  <c:v>11420</c:v>
                </c:pt>
                <c:pt idx="16">
                  <c:v>11890</c:v>
                </c:pt>
                <c:pt idx="17">
                  <c:v>12331</c:v>
                </c:pt>
                <c:pt idx="18">
                  <c:v>12734</c:v>
                </c:pt>
                <c:pt idx="19">
                  <c:v>13062</c:v>
                </c:pt>
                <c:pt idx="20">
                  <c:v>13400</c:v>
                </c:pt>
                <c:pt idx="21">
                  <c:v>13694</c:v>
                </c:pt>
              </c:numCache>
            </c:numRef>
          </c:val>
          <c:extLst>
            <c:ext xmlns:c16="http://schemas.microsoft.com/office/drawing/2014/chart" uri="{C3380CC4-5D6E-409C-BE32-E72D297353CC}">
              <c16:uniqueId val="{00000287-1585-4240-9287-D8800A62180D}"/>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7444615998323514"/>
              <c:y val="0.76911129272482814"/>
            </c:manualLayout>
          </c:layout>
          <c:overlay val="0"/>
          <c:spPr>
            <a:noFill/>
            <a:ln>
              <a:noFill/>
            </a:ln>
            <a:effectLst/>
          </c:sp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Installed capacity (MW)</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0.18732249658749447"/>
          <c:y val="0.80852191077053737"/>
          <c:w val="0.68014288900533126"/>
          <c:h val="0.17080466276210157"/>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chartsheets/sheet1.xml><?xml version="1.0" encoding="utf-8"?>
<chartsheet xmlns="http://schemas.openxmlformats.org/spreadsheetml/2006/main" xmlns:r="http://schemas.openxmlformats.org/officeDocument/2006/relationships">
  <sheetPr codeName="Chart2"/>
  <sheetViews>
    <sheetView zoomScale="130" workbookViewId="0"/>
  </sheetViews>
  <pageMargins left="2.6181102362204722" right="2.6181102362204722" top="1.734251968503937" bottom="1.734251968503937"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sheetPr codeName="Chart3"/>
  <sheetViews>
    <sheetView zoomScale="145" workbookViewId="0"/>
  </sheetViews>
  <pageMargins left="2.6181102362204722" right="2.6181102362204722" top="1.734251968503937" bottom="1.734251968503937"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sheetPr codeName="Chart1"/>
  <sheetViews>
    <sheetView zoomScale="130" workbookViewId="0"/>
  </sheetViews>
  <pageMargins left="2.6181102362204722" right="2.6181102362204722" top="1.734251968503937" bottom="1.734251968503937" header="0.3" footer="0.3"/>
  <pageSetup paperSize="9" orientation="landscape" verticalDpi="1200"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5788269" cy="4278923"/>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5800397" cy="4289534"/>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5788269" cy="4278923"/>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NewAEMOtheme">
  <a:themeElements>
    <a:clrScheme name="AEMO">
      <a:dk1>
        <a:srgbClr val="222324"/>
      </a:dk1>
      <a:lt1>
        <a:sysClr val="window" lastClr="FFFFFF"/>
      </a:lt1>
      <a:dk2>
        <a:srgbClr val="000000"/>
      </a:dk2>
      <a:lt2>
        <a:srgbClr val="E0E8EA"/>
      </a:lt2>
      <a:accent1>
        <a:srgbClr val="C41230"/>
      </a:accent1>
      <a:accent2>
        <a:srgbClr val="360F3C"/>
      </a:accent2>
      <a:accent3>
        <a:srgbClr val="F37421"/>
      </a:accent3>
      <a:accent4>
        <a:srgbClr val="FFC222"/>
      </a:accent4>
      <a:accent5>
        <a:srgbClr val="82859C"/>
      </a:accent5>
      <a:accent6>
        <a:srgbClr val="B3E0EE"/>
      </a:accent6>
      <a:hlink>
        <a:srgbClr val="C41230"/>
      </a:hlink>
      <a:folHlink>
        <a:srgbClr val="C41230"/>
      </a:folHlink>
    </a:clrScheme>
    <a:fontScheme name="AEMO">
      <a:majorFont>
        <a:latin typeface="Tw Cen MT"/>
        <a:ea typeface=""/>
        <a:cs typeface=""/>
      </a:majorFont>
      <a:minorFont>
        <a:latin typeface="Tw Cen M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solidFill>
        <a:ln>
          <a:noFill/>
        </a:ln>
      </a:spPr>
      <a:bodyPr rtlCol="0" anchor="ct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G27"/>
  <sheetViews>
    <sheetView tabSelected="1" zoomScaleNormal="100" workbookViewId="0"/>
  </sheetViews>
  <sheetFormatPr defaultColWidth="9.140625" defaultRowHeight="12.75" x14ac:dyDescent="0.2"/>
  <cols>
    <col min="1" max="1" width="3.140625" style="47" customWidth="1"/>
    <col min="2" max="2" width="30" style="47" customWidth="1"/>
    <col min="3" max="3" width="52.42578125" style="47" customWidth="1"/>
    <col min="4" max="16384" width="9.140625" style="47"/>
  </cols>
  <sheetData>
    <row r="2" spans="2:7" ht="25.5" x14ac:dyDescent="0.2">
      <c r="B2" s="48" t="s">
        <v>71</v>
      </c>
      <c r="C2" s="3"/>
      <c r="F2" s="89"/>
      <c r="G2" s="89"/>
    </row>
    <row r="3" spans="2:7" x14ac:dyDescent="0.2">
      <c r="B3" s="88"/>
      <c r="C3" s="88"/>
    </row>
    <row r="4" spans="2:7" ht="49.5" customHeight="1" x14ac:dyDescent="0.2">
      <c r="B4" s="89" t="s">
        <v>23</v>
      </c>
      <c r="C4" s="89"/>
    </row>
    <row r="5" spans="2:7" ht="18" customHeight="1" x14ac:dyDescent="0.2">
      <c r="B5" s="79"/>
      <c r="C5" s="79"/>
    </row>
    <row r="6" spans="2:7" ht="18" customHeight="1" x14ac:dyDescent="0.2">
      <c r="B6" s="49" t="s">
        <v>98</v>
      </c>
      <c r="C6" s="80"/>
    </row>
    <row r="7" spans="2:7" ht="16.5" customHeight="1" x14ac:dyDescent="0.2">
      <c r="B7" s="49"/>
      <c r="C7" s="80"/>
    </row>
    <row r="8" spans="2:7" ht="18" customHeight="1" x14ac:dyDescent="0.25">
      <c r="B8" s="99" t="s">
        <v>99</v>
      </c>
      <c r="C8" s="52" t="s">
        <v>100</v>
      </c>
    </row>
    <row r="9" spans="2:7" ht="18" customHeight="1" x14ac:dyDescent="0.2">
      <c r="B9" s="100" t="s">
        <v>101</v>
      </c>
      <c r="C9" s="54" t="s">
        <v>102</v>
      </c>
    </row>
    <row r="10" spans="2:7" ht="48" customHeight="1" x14ac:dyDescent="0.2">
      <c r="B10" s="101" t="s">
        <v>103</v>
      </c>
      <c r="C10" s="57" t="s">
        <v>104</v>
      </c>
    </row>
    <row r="11" spans="2:7" x14ac:dyDescent="0.2">
      <c r="B11" s="102"/>
      <c r="C11" s="50"/>
    </row>
    <row r="12" spans="2:7" ht="18" customHeight="1" x14ac:dyDescent="0.2">
      <c r="B12" s="79"/>
      <c r="C12" s="79"/>
    </row>
    <row r="13" spans="2:7" ht="18" customHeight="1" x14ac:dyDescent="0.2">
      <c r="B13" s="49" t="s">
        <v>43</v>
      </c>
      <c r="C13" s="79"/>
    </row>
    <row r="14" spans="2:7" ht="45" customHeight="1" x14ac:dyDescent="0.2">
      <c r="B14" s="89" t="s">
        <v>77</v>
      </c>
      <c r="C14" s="89"/>
    </row>
    <row r="15" spans="2:7" ht="15" x14ac:dyDescent="0.2">
      <c r="C15" s="4"/>
    </row>
    <row r="16" spans="2:7" ht="18.75" x14ac:dyDescent="0.2">
      <c r="B16" s="49" t="s">
        <v>24</v>
      </c>
      <c r="C16" s="4"/>
    </row>
    <row r="17" spans="1:3" ht="11.25" customHeight="1" x14ac:dyDescent="0.2">
      <c r="B17" s="49"/>
      <c r="C17" s="4"/>
    </row>
    <row r="18" spans="1:3" ht="15.75" x14ac:dyDescent="0.25">
      <c r="A18" s="50"/>
      <c r="B18" s="51" t="s">
        <v>25</v>
      </c>
      <c r="C18" s="52" t="s">
        <v>26</v>
      </c>
    </row>
    <row r="19" spans="1:3" ht="34.5" customHeight="1" x14ac:dyDescent="0.2">
      <c r="A19" s="50"/>
      <c r="B19" s="53" t="s">
        <v>78</v>
      </c>
      <c r="C19" s="54" t="s">
        <v>79</v>
      </c>
    </row>
    <row r="20" spans="1:3" ht="37.5" customHeight="1" x14ac:dyDescent="0.2">
      <c r="A20" s="50"/>
      <c r="B20" s="56" t="s">
        <v>105</v>
      </c>
      <c r="C20" s="78" t="s">
        <v>73</v>
      </c>
    </row>
    <row r="21" spans="1:3" ht="33.75" customHeight="1" x14ac:dyDescent="0.2">
      <c r="A21" s="50"/>
      <c r="B21" s="55" t="s">
        <v>27</v>
      </c>
      <c r="C21" s="87" t="s">
        <v>51</v>
      </c>
    </row>
    <row r="22" spans="1:3" ht="33.75" customHeight="1" x14ac:dyDescent="0.2">
      <c r="A22" s="50"/>
      <c r="B22" s="56" t="s">
        <v>28</v>
      </c>
      <c r="C22" s="90"/>
    </row>
    <row r="23" spans="1:3" ht="33.75" customHeight="1" x14ac:dyDescent="0.2">
      <c r="A23" s="50"/>
      <c r="B23" s="56" t="s">
        <v>29</v>
      </c>
      <c r="C23" s="86" t="s">
        <v>72</v>
      </c>
    </row>
    <row r="24" spans="1:3" ht="33.75" customHeight="1" x14ac:dyDescent="0.2">
      <c r="A24" s="50"/>
      <c r="B24" s="56" t="s">
        <v>30</v>
      </c>
      <c r="C24" s="86"/>
    </row>
    <row r="25" spans="1:3" ht="33.75" customHeight="1" x14ac:dyDescent="0.2">
      <c r="A25" s="50"/>
      <c r="B25" s="55" t="s">
        <v>31</v>
      </c>
      <c r="C25" s="87" t="s">
        <v>52</v>
      </c>
    </row>
    <row r="26" spans="1:3" ht="33.75" customHeight="1" x14ac:dyDescent="0.2">
      <c r="A26" s="50"/>
      <c r="B26" s="56" t="s">
        <v>32</v>
      </c>
      <c r="C26" s="86"/>
    </row>
    <row r="27" spans="1:3" ht="33.75" customHeight="1" x14ac:dyDescent="0.2">
      <c r="A27" s="50"/>
      <c r="B27" s="56" t="s">
        <v>33</v>
      </c>
      <c r="C27" s="57" t="s">
        <v>53</v>
      </c>
    </row>
  </sheetData>
  <mergeCells count="7">
    <mergeCell ref="C21:C22"/>
    <mergeCell ref="C23:C24"/>
    <mergeCell ref="C25:C26"/>
    <mergeCell ref="F2:G2"/>
    <mergeCell ref="B3:C3"/>
    <mergeCell ref="B4:C4"/>
    <mergeCell ref="B14: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T24"/>
  <sheetViews>
    <sheetView zoomScale="90" zoomScaleNormal="90" workbookViewId="0"/>
  </sheetViews>
  <sheetFormatPr defaultRowHeight="14.25" x14ac:dyDescent="0.2"/>
  <cols>
    <col min="1" max="1" width="2.28515625" style="58" customWidth="1"/>
    <col min="2" max="2" width="3.5703125" style="58" customWidth="1"/>
    <col min="3" max="6" width="22.7109375" style="58" customWidth="1"/>
    <col min="7" max="9" width="2.140625" style="58" customWidth="1"/>
    <col min="10" max="13" width="22.7109375" style="58" customWidth="1"/>
    <col min="14" max="16" width="2.140625" style="58" customWidth="1"/>
    <col min="17" max="20" width="22.7109375" style="58" customWidth="1"/>
    <col min="21" max="21" width="2.5703125" style="58" customWidth="1"/>
    <col min="22" max="16384" width="9.140625" style="58"/>
  </cols>
  <sheetData>
    <row r="2" spans="3:20" x14ac:dyDescent="0.2">
      <c r="I2" s="59"/>
      <c r="J2" s="59"/>
      <c r="K2" s="59"/>
      <c r="L2" s="59"/>
      <c r="M2" s="59"/>
      <c r="N2" s="59"/>
    </row>
    <row r="3" spans="3:20" ht="18.75" customHeight="1" x14ac:dyDescent="0.25">
      <c r="C3" s="60" t="s">
        <v>80</v>
      </c>
      <c r="D3" s="61"/>
      <c r="E3" s="59"/>
      <c r="F3" s="59"/>
      <c r="G3" s="59"/>
      <c r="I3" s="59"/>
      <c r="J3" s="60" t="s">
        <v>81</v>
      </c>
      <c r="K3" s="61"/>
      <c r="N3" s="59"/>
      <c r="Q3" s="60" t="s">
        <v>82</v>
      </c>
      <c r="R3" s="61"/>
    </row>
    <row r="4" spans="3:20" ht="26.25" x14ac:dyDescent="0.25">
      <c r="C4" s="62"/>
      <c r="D4" s="63" t="s">
        <v>83</v>
      </c>
      <c r="E4" s="63" t="s">
        <v>84</v>
      </c>
      <c r="F4" s="64" t="s">
        <v>75</v>
      </c>
      <c r="G4" s="59"/>
      <c r="I4" s="59"/>
      <c r="J4" s="62"/>
      <c r="K4" s="63" t="s">
        <v>85</v>
      </c>
      <c r="L4" s="63" t="s">
        <v>86</v>
      </c>
      <c r="M4" s="64" t="s">
        <v>75</v>
      </c>
      <c r="N4" s="59"/>
      <c r="Q4" s="65"/>
      <c r="R4" s="63" t="s">
        <v>87</v>
      </c>
      <c r="S4" s="63" t="s">
        <v>88</v>
      </c>
      <c r="T4" s="64" t="s">
        <v>75</v>
      </c>
    </row>
    <row r="5" spans="3:20" ht="18.75" customHeight="1" x14ac:dyDescent="0.2">
      <c r="C5" s="66" t="s">
        <v>46</v>
      </c>
      <c r="D5" s="67">
        <v>41916.916936302674</v>
      </c>
      <c r="E5" s="67">
        <v>39961.171508822546</v>
      </c>
      <c r="F5" s="67">
        <v>1955.7454274801275</v>
      </c>
      <c r="G5" s="59"/>
      <c r="I5" s="59"/>
      <c r="J5" s="66" t="s">
        <v>46</v>
      </c>
      <c r="K5" s="67">
        <v>43176.829879668308</v>
      </c>
      <c r="L5" s="67">
        <v>41738.953859835477</v>
      </c>
      <c r="M5" s="67">
        <v>1437.8760198328309</v>
      </c>
      <c r="N5" s="59"/>
      <c r="Q5" s="66" t="s">
        <v>46</v>
      </c>
      <c r="R5" s="67">
        <v>34757.909560715358</v>
      </c>
      <c r="S5" s="67">
        <v>32876.768527767286</v>
      </c>
      <c r="T5" s="67">
        <f>R5-S5</f>
        <v>1881.1410329480714</v>
      </c>
    </row>
    <row r="6" spans="3:20" ht="18.75" customHeight="1" x14ac:dyDescent="0.2">
      <c r="C6" s="66" t="s">
        <v>47</v>
      </c>
      <c r="D6" s="67">
        <v>33920.684891933444</v>
      </c>
      <c r="E6" s="67">
        <v>33899.236952430125</v>
      </c>
      <c r="F6" s="67">
        <v>21.447939503319503</v>
      </c>
      <c r="G6" s="59"/>
      <c r="I6" s="59"/>
      <c r="J6" s="66" t="s">
        <v>47</v>
      </c>
      <c r="K6" s="67">
        <v>35760.208656527386</v>
      </c>
      <c r="L6" s="67">
        <v>35490.113604422251</v>
      </c>
      <c r="M6" s="67">
        <v>270.09505210513453</v>
      </c>
      <c r="N6" s="59"/>
      <c r="Q6" s="66" t="s">
        <v>47</v>
      </c>
      <c r="R6" s="67">
        <v>31879.247558175241</v>
      </c>
      <c r="S6" s="67">
        <v>31494.012745047821</v>
      </c>
      <c r="T6" s="67">
        <f t="shared" ref="T6:T10" si="0">R6-S6</f>
        <v>385.23481312741933</v>
      </c>
    </row>
    <row r="7" spans="3:20" ht="18.75" customHeight="1" x14ac:dyDescent="0.2">
      <c r="C7" s="66" t="s">
        <v>48</v>
      </c>
      <c r="D7" s="67">
        <v>13647.120628245948</v>
      </c>
      <c r="E7" s="67">
        <v>13457.961111861057</v>
      </c>
      <c r="F7" s="67">
        <v>189.15951638489059</v>
      </c>
      <c r="G7" s="59"/>
      <c r="I7" s="59"/>
      <c r="J7" s="66" t="s">
        <v>48</v>
      </c>
      <c r="K7" s="67">
        <v>25498.004789199185</v>
      </c>
      <c r="L7" s="67">
        <v>24823.280490778085</v>
      </c>
      <c r="M7" s="67">
        <v>674.72429842110068</v>
      </c>
      <c r="N7" s="59"/>
      <c r="Q7" s="66" t="s">
        <v>48</v>
      </c>
      <c r="R7" s="67">
        <v>7469.9293274226138</v>
      </c>
      <c r="S7" s="67">
        <v>6813.3785094962204</v>
      </c>
      <c r="T7" s="67">
        <f t="shared" si="0"/>
        <v>656.55081792639339</v>
      </c>
    </row>
    <row r="8" spans="3:20" ht="18.75" customHeight="1" x14ac:dyDescent="0.2">
      <c r="C8" s="66" t="s">
        <v>49</v>
      </c>
      <c r="D8" s="67">
        <v>482.37560886662567</v>
      </c>
      <c r="E8" s="67">
        <v>259.11852081983278</v>
      </c>
      <c r="F8" s="67">
        <v>223.25708804679289</v>
      </c>
      <c r="G8" s="59"/>
      <c r="I8" s="59"/>
      <c r="J8" s="66" t="s">
        <v>49</v>
      </c>
      <c r="K8" s="67">
        <v>1336.0438082055946</v>
      </c>
      <c r="L8" s="67">
        <v>1021.902430177951</v>
      </c>
      <c r="M8" s="67">
        <v>314.14137802764355</v>
      </c>
      <c r="N8" s="59"/>
      <c r="Q8" s="66" t="s">
        <v>49</v>
      </c>
      <c r="R8" s="67">
        <v>156.11488308195149</v>
      </c>
      <c r="S8" s="67">
        <v>103.68994256141953</v>
      </c>
      <c r="T8" s="67">
        <f t="shared" si="0"/>
        <v>52.424940520531962</v>
      </c>
    </row>
    <row r="9" spans="3:20" ht="18.75" customHeight="1" x14ac:dyDescent="0.2">
      <c r="C9" s="66" t="s">
        <v>50</v>
      </c>
      <c r="D9" s="67">
        <v>0</v>
      </c>
      <c r="E9" s="67">
        <v>1198.0852865656811</v>
      </c>
      <c r="F9" s="67">
        <v>-1198.0852865656811</v>
      </c>
      <c r="G9" s="59"/>
      <c r="I9" s="59"/>
      <c r="J9" s="66" t="s">
        <v>50</v>
      </c>
      <c r="K9" s="67">
        <v>0</v>
      </c>
      <c r="L9" s="67">
        <v>1198.0852865656811</v>
      </c>
      <c r="M9" s="67">
        <v>-1198.0852865656811</v>
      </c>
      <c r="N9" s="59"/>
      <c r="Q9" s="66" t="s">
        <v>50</v>
      </c>
      <c r="R9" s="67">
        <v>0</v>
      </c>
      <c r="S9" s="67">
        <v>1198.0852865656811</v>
      </c>
      <c r="T9" s="67">
        <f t="shared" si="0"/>
        <v>-1198.0852865656811</v>
      </c>
    </row>
    <row r="10" spans="3:20" ht="18.75" customHeight="1" x14ac:dyDescent="0.2">
      <c r="C10" s="68" t="s">
        <v>19</v>
      </c>
      <c r="D10" s="69">
        <v>90274.939204871393</v>
      </c>
      <c r="E10" s="69">
        <v>89083.41452002195</v>
      </c>
      <c r="F10" s="69">
        <v>1191.5246848494426</v>
      </c>
      <c r="G10" s="59"/>
      <c r="I10" s="59"/>
      <c r="J10" s="68" t="s">
        <v>19</v>
      </c>
      <c r="K10" s="69">
        <v>106146.24184886776</v>
      </c>
      <c r="L10" s="69">
        <v>104647.49038704675</v>
      </c>
      <c r="M10" s="69">
        <v>1498.7514618210116</v>
      </c>
      <c r="N10" s="59"/>
      <c r="Q10" s="68" t="s">
        <v>19</v>
      </c>
      <c r="R10" s="69">
        <v>74612.667719498902</v>
      </c>
      <c r="S10" s="69">
        <v>72835.401401542156</v>
      </c>
      <c r="T10" s="69">
        <f t="shared" si="0"/>
        <v>1777.2663179567462</v>
      </c>
    </row>
    <row r="11" spans="3:20" x14ac:dyDescent="0.2">
      <c r="C11" s="59"/>
      <c r="D11" s="59"/>
      <c r="E11" s="59"/>
      <c r="F11" s="59"/>
      <c r="G11" s="59"/>
      <c r="I11" s="59"/>
      <c r="N11" s="59"/>
    </row>
    <row r="12" spans="3:20" ht="18.75" customHeight="1" x14ac:dyDescent="0.2">
      <c r="C12" s="82" t="s">
        <v>89</v>
      </c>
      <c r="D12" s="81">
        <f>SUM(D7:D9)</f>
        <v>14129.496237112573</v>
      </c>
      <c r="E12" s="81">
        <f>SUM(E7:E9)</f>
        <v>14915.164919246572</v>
      </c>
      <c r="F12" s="67"/>
      <c r="G12" s="59"/>
      <c r="I12" s="59"/>
      <c r="J12" s="82" t="s">
        <v>89</v>
      </c>
      <c r="K12" s="81">
        <f>SUM(K7:K9)</f>
        <v>26834.048597404781</v>
      </c>
      <c r="L12" s="81">
        <f>SUM(L7:L9)</f>
        <v>27043.268207521716</v>
      </c>
      <c r="N12" s="59"/>
      <c r="Q12" s="82" t="s">
        <v>89</v>
      </c>
      <c r="R12" s="81">
        <f>SUM(R7:R9)</f>
        <v>7626.0442105045649</v>
      </c>
      <c r="S12" s="81">
        <f>SUM(S7:S9)</f>
        <v>8115.1537386233213</v>
      </c>
    </row>
    <row r="13" spans="3:20" ht="18.75" customHeight="1" thickBot="1" x14ac:dyDescent="0.25">
      <c r="C13" s="66"/>
      <c r="D13" s="67"/>
      <c r="E13" s="67"/>
      <c r="F13" s="67"/>
      <c r="G13" s="59"/>
      <c r="I13" s="59"/>
      <c r="J13" s="66"/>
      <c r="K13" s="67"/>
      <c r="L13" s="67"/>
      <c r="N13" s="59"/>
      <c r="Q13" s="66"/>
      <c r="R13" s="67"/>
      <c r="S13" s="67"/>
    </row>
    <row r="14" spans="3:20" ht="18.75" customHeight="1" x14ac:dyDescent="0.2">
      <c r="I14" s="70"/>
      <c r="J14" s="71"/>
      <c r="K14" s="71"/>
      <c r="L14" s="71"/>
      <c r="M14" s="71"/>
      <c r="N14" s="72"/>
    </row>
    <row r="15" spans="3:20" ht="18.75" customHeight="1" x14ac:dyDescent="0.25">
      <c r="C15" s="60" t="s">
        <v>90</v>
      </c>
      <c r="D15" s="61"/>
      <c r="I15" s="73"/>
      <c r="J15" s="60" t="s">
        <v>74</v>
      </c>
      <c r="K15" s="61"/>
      <c r="L15" s="59"/>
      <c r="M15" s="59"/>
      <c r="N15" s="74"/>
      <c r="P15" s="60"/>
      <c r="Q15" s="60" t="s">
        <v>91</v>
      </c>
      <c r="T15" s="60"/>
    </row>
    <row r="16" spans="3:20" ht="39" x14ac:dyDescent="0.25">
      <c r="C16" s="62"/>
      <c r="D16" s="63" t="s">
        <v>92</v>
      </c>
      <c r="E16" s="63" t="s">
        <v>93</v>
      </c>
      <c r="F16" s="64" t="s">
        <v>75</v>
      </c>
      <c r="I16" s="73"/>
      <c r="J16" s="62"/>
      <c r="K16" s="63" t="s">
        <v>94</v>
      </c>
      <c r="L16" s="63" t="s">
        <v>95</v>
      </c>
      <c r="M16" s="64" t="s">
        <v>75</v>
      </c>
      <c r="N16" s="74"/>
      <c r="P16" s="62"/>
      <c r="Q16" s="63"/>
      <c r="R16" s="63" t="s">
        <v>96</v>
      </c>
      <c r="S16" s="63" t="s">
        <v>97</v>
      </c>
      <c r="T16" s="85" t="s">
        <v>75</v>
      </c>
    </row>
    <row r="17" spans="3:20" ht="18.75" customHeight="1" x14ac:dyDescent="0.2">
      <c r="C17" s="66" t="s">
        <v>46</v>
      </c>
      <c r="D17" s="67">
        <v>41129.068367881271</v>
      </c>
      <c r="E17" s="67">
        <v>39483.692500440178</v>
      </c>
      <c r="F17" s="67">
        <v>1645.3758674410929</v>
      </c>
      <c r="I17" s="73"/>
      <c r="J17" s="66" t="s">
        <v>46</v>
      </c>
      <c r="K17" s="67">
        <v>42806.617149024001</v>
      </c>
      <c r="L17" s="67">
        <v>41899.658348325582</v>
      </c>
      <c r="M17" s="67">
        <v>906.95880069841951</v>
      </c>
      <c r="N17" s="74"/>
      <c r="P17" s="66"/>
      <c r="Q17" s="67" t="s">
        <v>46</v>
      </c>
      <c r="R17" s="67">
        <v>40777.839190312872</v>
      </c>
      <c r="S17" s="67">
        <v>39142.285437276907</v>
      </c>
      <c r="T17" s="67">
        <v>1635.5537530359652</v>
      </c>
    </row>
    <row r="18" spans="3:20" ht="18.75" customHeight="1" x14ac:dyDescent="0.2">
      <c r="C18" s="66" t="s">
        <v>47</v>
      </c>
      <c r="D18" s="67">
        <v>34069.113406172262</v>
      </c>
      <c r="E18" s="67">
        <v>33832.037733368037</v>
      </c>
      <c r="F18" s="67">
        <v>237.07567280422518</v>
      </c>
      <c r="I18" s="73"/>
      <c r="J18" s="66" t="s">
        <v>47</v>
      </c>
      <c r="K18" s="67">
        <v>32811.256896692023</v>
      </c>
      <c r="L18" s="67">
        <v>32478.794938746654</v>
      </c>
      <c r="M18" s="67">
        <v>332.46195794536834</v>
      </c>
      <c r="N18" s="74"/>
      <c r="P18" s="66"/>
      <c r="Q18" s="67" t="s">
        <v>47</v>
      </c>
      <c r="R18" s="67">
        <v>33550.659467371901</v>
      </c>
      <c r="S18" s="67">
        <v>33156.007060544202</v>
      </c>
      <c r="T18" s="67">
        <v>394.65240682769945</v>
      </c>
    </row>
    <row r="19" spans="3:20" ht="18.75" customHeight="1" x14ac:dyDescent="0.2">
      <c r="C19" s="66" t="s">
        <v>48</v>
      </c>
      <c r="D19" s="67">
        <v>14306.206083922347</v>
      </c>
      <c r="E19" s="67">
        <v>14009.286175294425</v>
      </c>
      <c r="F19" s="67">
        <v>296.91990862792227</v>
      </c>
      <c r="I19" s="73"/>
      <c r="J19" s="66" t="s">
        <v>48</v>
      </c>
      <c r="K19" s="67">
        <v>9724.3583089290314</v>
      </c>
      <c r="L19" s="67">
        <v>9236.0421884114585</v>
      </c>
      <c r="M19" s="67">
        <v>488.31612051757293</v>
      </c>
      <c r="N19" s="74"/>
      <c r="P19" s="66"/>
      <c r="Q19" s="67" t="s">
        <v>48</v>
      </c>
      <c r="R19" s="67">
        <v>12085.4530990489</v>
      </c>
      <c r="S19" s="67">
        <v>11178.450977064695</v>
      </c>
      <c r="T19" s="67">
        <v>907.00212198420559</v>
      </c>
    </row>
    <row r="20" spans="3:20" ht="18.75" customHeight="1" x14ac:dyDescent="0.2">
      <c r="C20" s="66" t="s">
        <v>49</v>
      </c>
      <c r="D20" s="67">
        <v>510.83656847194226</v>
      </c>
      <c r="E20" s="67">
        <v>243.14726214592395</v>
      </c>
      <c r="F20" s="67">
        <v>267.68930632601831</v>
      </c>
      <c r="I20" s="73"/>
      <c r="J20" s="66" t="s">
        <v>49</v>
      </c>
      <c r="K20" s="67">
        <v>162.52368768906334</v>
      </c>
      <c r="L20" s="67">
        <v>148.27811526915679</v>
      </c>
      <c r="M20" s="67">
        <v>14.245572419906551</v>
      </c>
      <c r="N20" s="74"/>
      <c r="P20" s="66"/>
      <c r="Q20" s="67" t="s">
        <v>49</v>
      </c>
      <c r="R20" s="67">
        <v>417.09090399830336</v>
      </c>
      <c r="S20" s="67">
        <v>170.91702070329706</v>
      </c>
      <c r="T20" s="67">
        <v>246.17388329500631</v>
      </c>
    </row>
    <row r="21" spans="3:20" ht="18.75" customHeight="1" x14ac:dyDescent="0.2">
      <c r="C21" s="66" t="s">
        <v>50</v>
      </c>
      <c r="D21" s="67">
        <v>0</v>
      </c>
      <c r="E21" s="67">
        <v>1198.0852865656811</v>
      </c>
      <c r="F21" s="67">
        <v>-1198.0852865656811</v>
      </c>
      <c r="I21" s="73"/>
      <c r="J21" s="66" t="s">
        <v>50</v>
      </c>
      <c r="K21" s="67">
        <v>0</v>
      </c>
      <c r="L21" s="67">
        <v>1198.0852865656811</v>
      </c>
      <c r="M21" s="67">
        <v>-1198.0852865656811</v>
      </c>
      <c r="N21" s="74"/>
      <c r="P21" s="66"/>
      <c r="Q21" s="67" t="s">
        <v>50</v>
      </c>
      <c r="R21" s="67">
        <v>0</v>
      </c>
      <c r="S21" s="67">
        <v>1198.0852865656811</v>
      </c>
      <c r="T21" s="67">
        <v>-1198.0852865656811</v>
      </c>
    </row>
    <row r="22" spans="3:20" ht="18.75" customHeight="1" x14ac:dyDescent="0.2">
      <c r="C22" s="68" t="s">
        <v>19</v>
      </c>
      <c r="D22" s="69">
        <v>90323.065565970523</v>
      </c>
      <c r="E22" s="69">
        <v>89074.090097336957</v>
      </c>
      <c r="F22" s="69">
        <v>1248.9754686335655</v>
      </c>
      <c r="I22" s="73"/>
      <c r="J22" s="68" t="s">
        <v>19</v>
      </c>
      <c r="K22" s="69">
        <v>85812.597181856821</v>
      </c>
      <c r="L22" s="69">
        <v>85268.700016841234</v>
      </c>
      <c r="M22" s="69">
        <v>543.89716501558723</v>
      </c>
      <c r="N22" s="74"/>
      <c r="P22" s="68"/>
      <c r="Q22" s="69" t="s">
        <v>19</v>
      </c>
      <c r="R22" s="69">
        <v>87149.294998866375</v>
      </c>
      <c r="S22" s="69">
        <v>85163.998120289165</v>
      </c>
      <c r="T22" s="69">
        <v>1985.29687857721</v>
      </c>
    </row>
    <row r="23" spans="3:20" x14ac:dyDescent="0.2">
      <c r="I23" s="73"/>
      <c r="J23" s="59"/>
      <c r="K23" s="59"/>
      <c r="L23" s="59"/>
      <c r="M23" s="59"/>
      <c r="N23" s="74"/>
    </row>
    <row r="24" spans="3:20" ht="15" thickBot="1" x14ac:dyDescent="0.25">
      <c r="C24" s="82" t="s">
        <v>89</v>
      </c>
      <c r="D24" s="81">
        <f>SUM(D19:D21)</f>
        <v>14817.04265239429</v>
      </c>
      <c r="E24" s="81">
        <f>SUM(E19:E21)</f>
        <v>15450.51872400603</v>
      </c>
      <c r="I24" s="75"/>
      <c r="J24" s="83" t="s">
        <v>89</v>
      </c>
      <c r="K24" s="84">
        <f>SUM(K19:K21)</f>
        <v>9886.8819966180945</v>
      </c>
      <c r="L24" s="84">
        <f>SUM(L19:L21)</f>
        <v>10582.405590246297</v>
      </c>
      <c r="M24" s="76"/>
      <c r="N24" s="77"/>
      <c r="P24" s="66"/>
      <c r="Q24" s="81" t="s">
        <v>89</v>
      </c>
      <c r="R24" s="81">
        <f>SUM(R19:R21)</f>
        <v>12502.544003047204</v>
      </c>
      <c r="S24" s="81">
        <f>SUM(S19:S21)</f>
        <v>12547.453284333673</v>
      </c>
      <c r="T24" s="66"/>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C9"/>
  <sheetViews>
    <sheetView zoomScaleNormal="100" workbookViewId="0"/>
  </sheetViews>
  <sheetFormatPr defaultColWidth="9.140625" defaultRowHeight="16.5" customHeight="1" x14ac:dyDescent="0.2"/>
  <cols>
    <col min="1" max="1" width="34.42578125" style="2" customWidth="1"/>
    <col min="2" max="2" width="17.28515625" style="2" bestFit="1" customWidth="1"/>
    <col min="3" max="6" width="12.28515625" style="2" customWidth="1"/>
    <col min="7" max="16384" width="9.140625" style="2"/>
  </cols>
  <sheetData>
    <row r="1" spans="1:3" ht="16.5" customHeight="1" x14ac:dyDescent="0.25">
      <c r="A1" s="7" t="s">
        <v>106</v>
      </c>
      <c r="B1" s="39"/>
    </row>
    <row r="2" spans="1:3" ht="16.5" customHeight="1" x14ac:dyDescent="0.25">
      <c r="A2" s="40"/>
      <c r="B2" s="41" t="s">
        <v>75</v>
      </c>
      <c r="C2" s="42"/>
    </row>
    <row r="3" spans="1:3" ht="16.5" customHeight="1" x14ac:dyDescent="0.2">
      <c r="A3" s="43" t="s">
        <v>46</v>
      </c>
      <c r="B3" s="44">
        <v>906.95880069841951</v>
      </c>
      <c r="C3" s="42"/>
    </row>
    <row r="4" spans="1:3" ht="16.5" customHeight="1" x14ac:dyDescent="0.2">
      <c r="A4" s="43" t="s">
        <v>47</v>
      </c>
      <c r="B4" s="44">
        <v>332.46195794536834</v>
      </c>
      <c r="C4" s="42"/>
    </row>
    <row r="5" spans="1:3" ht="16.5" customHeight="1" x14ac:dyDescent="0.2">
      <c r="A5" s="43" t="s">
        <v>48</v>
      </c>
      <c r="B5" s="44">
        <v>488.31612051757293</v>
      </c>
      <c r="C5" s="42"/>
    </row>
    <row r="6" spans="1:3" ht="16.5" customHeight="1" x14ac:dyDescent="0.2">
      <c r="A6" s="43" t="s">
        <v>49</v>
      </c>
      <c r="B6" s="44">
        <v>14.245572419906551</v>
      </c>
      <c r="C6" s="42"/>
    </row>
    <row r="7" spans="1:3" ht="16.5" customHeight="1" x14ac:dyDescent="0.2">
      <c r="A7" s="43" t="s">
        <v>50</v>
      </c>
      <c r="B7" s="44">
        <v>-1198.0852865656811</v>
      </c>
      <c r="C7" s="42"/>
    </row>
    <row r="8" spans="1:3" ht="16.5" customHeight="1" x14ac:dyDescent="0.2">
      <c r="A8" s="45" t="s">
        <v>19</v>
      </c>
      <c r="B8" s="46">
        <v>543.89716501558723</v>
      </c>
      <c r="C8" s="42"/>
    </row>
    <row r="9" spans="1:3" ht="16.5" customHeight="1" x14ac:dyDescent="0.2">
      <c r="A9" s="42"/>
      <c r="B9" s="42"/>
      <c r="C9" s="4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R73"/>
  <sheetViews>
    <sheetView zoomScaleNormal="100" workbookViewId="0"/>
  </sheetViews>
  <sheetFormatPr defaultColWidth="9.140625" defaultRowHeight="16.5" customHeight="1" x14ac:dyDescent="0.2"/>
  <cols>
    <col min="1" max="1" width="24.28515625" style="11" customWidth="1"/>
    <col min="2" max="2" width="27.85546875" style="11" customWidth="1"/>
    <col min="3" max="24" width="10.42578125" style="11" customWidth="1"/>
    <col min="25" max="16384" width="9.140625" style="11"/>
  </cols>
  <sheetData>
    <row r="1" spans="1:44" s="30" customFormat="1" ht="16.5" customHeight="1" x14ac:dyDescent="0.25">
      <c r="A1" s="25" t="s">
        <v>22</v>
      </c>
      <c r="F1" s="31"/>
    </row>
    <row r="2" spans="1:44" ht="16.5" customHeight="1" x14ac:dyDescent="0.2">
      <c r="A2" s="27" t="s">
        <v>34</v>
      </c>
      <c r="B2" s="8" t="s">
        <v>20</v>
      </c>
      <c r="C2" s="32" t="s">
        <v>0</v>
      </c>
      <c r="D2" s="33" t="s">
        <v>1</v>
      </c>
      <c r="E2" s="32" t="s">
        <v>2</v>
      </c>
      <c r="F2" s="33" t="s">
        <v>3</v>
      </c>
      <c r="G2" s="32" t="s">
        <v>4</v>
      </c>
      <c r="H2" s="33" t="s">
        <v>5</v>
      </c>
      <c r="I2" s="32" t="s">
        <v>6</v>
      </c>
      <c r="J2" s="33" t="s">
        <v>7</v>
      </c>
      <c r="K2" s="32" t="s">
        <v>8</v>
      </c>
      <c r="L2" s="33" t="s">
        <v>9</v>
      </c>
      <c r="M2" s="32" t="s">
        <v>10</v>
      </c>
      <c r="N2" s="33" t="s">
        <v>11</v>
      </c>
      <c r="O2" s="32" t="s">
        <v>12</v>
      </c>
      <c r="P2" s="33" t="s">
        <v>13</v>
      </c>
      <c r="Q2" s="32" t="s">
        <v>14</v>
      </c>
      <c r="R2" s="33" t="s">
        <v>15</v>
      </c>
      <c r="S2" s="32" t="s">
        <v>16</v>
      </c>
      <c r="T2" s="33" t="s">
        <v>45</v>
      </c>
      <c r="U2" s="32" t="s">
        <v>61</v>
      </c>
      <c r="V2" s="33" t="s">
        <v>62</v>
      </c>
      <c r="W2" s="32" t="s">
        <v>63</v>
      </c>
      <c r="X2" s="33" t="s">
        <v>64</v>
      </c>
    </row>
    <row r="3" spans="1:44" s="34" customFormat="1" ht="16.5" customHeight="1" x14ac:dyDescent="0.2">
      <c r="A3" s="91" t="s">
        <v>42</v>
      </c>
      <c r="B3" s="12" t="s">
        <v>54</v>
      </c>
      <c r="C3" s="13">
        <v>18219</v>
      </c>
      <c r="D3" s="14">
        <v>18219</v>
      </c>
      <c r="E3" s="13">
        <v>18219</v>
      </c>
      <c r="F3" s="14">
        <v>18219</v>
      </c>
      <c r="G3" s="13">
        <v>16419</v>
      </c>
      <c r="H3" s="14">
        <v>16419</v>
      </c>
      <c r="I3" s="13">
        <v>16419</v>
      </c>
      <c r="J3" s="14">
        <v>16419</v>
      </c>
      <c r="K3" s="13">
        <v>16054</v>
      </c>
      <c r="L3" s="14">
        <v>16054</v>
      </c>
      <c r="M3" s="13">
        <v>14734</v>
      </c>
      <c r="N3" s="14">
        <v>13054</v>
      </c>
      <c r="O3" s="13">
        <v>13054</v>
      </c>
      <c r="P3" s="14">
        <v>13054</v>
      </c>
      <c r="Q3" s="13">
        <v>13054</v>
      </c>
      <c r="R3" s="14">
        <v>13054</v>
      </c>
      <c r="S3" s="13">
        <v>10174</v>
      </c>
      <c r="T3" s="14">
        <v>7534</v>
      </c>
      <c r="U3" s="13">
        <v>6134</v>
      </c>
      <c r="V3" s="14">
        <v>6134</v>
      </c>
      <c r="W3" s="13">
        <v>5434</v>
      </c>
      <c r="X3" s="14">
        <v>5434</v>
      </c>
    </row>
    <row r="4" spans="1:44" s="34" customFormat="1" ht="16.5" customHeight="1" x14ac:dyDescent="0.2">
      <c r="A4" s="91"/>
      <c r="B4" s="12" t="s">
        <v>55</v>
      </c>
      <c r="C4" s="13">
        <v>4808</v>
      </c>
      <c r="D4" s="14">
        <v>4808</v>
      </c>
      <c r="E4" s="13">
        <v>4808</v>
      </c>
      <c r="F4" s="14">
        <v>4808</v>
      </c>
      <c r="G4" s="13">
        <v>4808</v>
      </c>
      <c r="H4" s="14">
        <v>4808</v>
      </c>
      <c r="I4" s="13">
        <v>4808</v>
      </c>
      <c r="J4" s="14">
        <v>4808</v>
      </c>
      <c r="K4" s="13">
        <v>4808</v>
      </c>
      <c r="L4" s="14">
        <v>4808</v>
      </c>
      <c r="M4" s="13">
        <v>4808</v>
      </c>
      <c r="N4" s="14">
        <v>4808</v>
      </c>
      <c r="O4" s="13">
        <v>4808</v>
      </c>
      <c r="P4" s="14">
        <v>4808</v>
      </c>
      <c r="Q4" s="13">
        <v>3280</v>
      </c>
      <c r="R4" s="14">
        <v>3280</v>
      </c>
      <c r="S4" s="13">
        <v>3280</v>
      </c>
      <c r="T4" s="14">
        <v>3280</v>
      </c>
      <c r="U4" s="13">
        <v>3280</v>
      </c>
      <c r="V4" s="14">
        <v>3280</v>
      </c>
      <c r="W4" s="13">
        <v>3280</v>
      </c>
      <c r="X4" s="14">
        <v>3280</v>
      </c>
    </row>
    <row r="5" spans="1:44" s="34" customFormat="1" ht="16.5" customHeight="1" x14ac:dyDescent="0.2">
      <c r="A5" s="91"/>
      <c r="B5" s="12" t="s">
        <v>17</v>
      </c>
      <c r="C5" s="13">
        <v>5363.5</v>
      </c>
      <c r="D5" s="14">
        <v>5363.5</v>
      </c>
      <c r="E5" s="13">
        <v>5363.5</v>
      </c>
      <c r="F5" s="14">
        <v>5363.5</v>
      </c>
      <c r="G5" s="13">
        <v>5363.5</v>
      </c>
      <c r="H5" s="14">
        <v>5363.5</v>
      </c>
      <c r="I5" s="13">
        <v>5363.5</v>
      </c>
      <c r="J5" s="14">
        <v>5363.5</v>
      </c>
      <c r="K5" s="13">
        <v>5363.5</v>
      </c>
      <c r="L5" s="14">
        <v>5363.5</v>
      </c>
      <c r="M5" s="13">
        <v>5363.5</v>
      </c>
      <c r="N5" s="14">
        <v>5363.5</v>
      </c>
      <c r="O5" s="13">
        <v>5363.5</v>
      </c>
      <c r="P5" s="14">
        <v>5363.5</v>
      </c>
      <c r="Q5" s="13">
        <v>5363.5</v>
      </c>
      <c r="R5" s="14">
        <v>5363.5</v>
      </c>
      <c r="S5" s="13">
        <v>5363.5</v>
      </c>
      <c r="T5" s="14">
        <v>5363.5</v>
      </c>
      <c r="U5" s="13">
        <v>5363.5</v>
      </c>
      <c r="V5" s="14">
        <v>5363.5</v>
      </c>
      <c r="W5" s="13">
        <v>5363.5</v>
      </c>
      <c r="X5" s="14">
        <v>5363.5</v>
      </c>
    </row>
    <row r="6" spans="1:44" s="34" customFormat="1" ht="16.5" customHeight="1" x14ac:dyDescent="0.2">
      <c r="A6" s="91"/>
      <c r="B6" s="12" t="s">
        <v>44</v>
      </c>
      <c r="C6" s="13">
        <v>4111</v>
      </c>
      <c r="D6" s="14">
        <v>4111</v>
      </c>
      <c r="E6" s="13">
        <v>4111</v>
      </c>
      <c r="F6" s="14">
        <v>4111</v>
      </c>
      <c r="G6" s="13">
        <v>4111</v>
      </c>
      <c r="H6" s="14">
        <v>4111</v>
      </c>
      <c r="I6" s="13">
        <v>2649</v>
      </c>
      <c r="J6" s="14">
        <v>2649</v>
      </c>
      <c r="K6" s="13">
        <v>2649</v>
      </c>
      <c r="L6" s="14">
        <v>2649</v>
      </c>
      <c r="M6" s="13">
        <v>2649</v>
      </c>
      <c r="N6" s="14">
        <v>2649</v>
      </c>
      <c r="O6" s="13">
        <v>2649</v>
      </c>
      <c r="P6" s="14">
        <v>2539</v>
      </c>
      <c r="Q6" s="13">
        <v>3339</v>
      </c>
      <c r="R6" s="14">
        <v>3339</v>
      </c>
      <c r="S6" s="13">
        <v>5339</v>
      </c>
      <c r="T6" s="14">
        <v>8539</v>
      </c>
      <c r="U6" s="13">
        <v>8539</v>
      </c>
      <c r="V6" s="14">
        <v>8539</v>
      </c>
      <c r="W6" s="13">
        <v>8539</v>
      </c>
      <c r="X6" s="14">
        <v>8539</v>
      </c>
    </row>
    <row r="7" spans="1:44" s="34" customFormat="1" ht="16.5" customHeight="1" x14ac:dyDescent="0.2">
      <c r="A7" s="91"/>
      <c r="B7" s="12" t="s">
        <v>56</v>
      </c>
      <c r="C7" s="13">
        <v>6967</v>
      </c>
      <c r="D7" s="14">
        <v>6943</v>
      </c>
      <c r="E7" s="13">
        <v>6943</v>
      </c>
      <c r="F7" s="14">
        <v>6669</v>
      </c>
      <c r="G7" s="13">
        <v>7122</v>
      </c>
      <c r="H7" s="14">
        <v>7122</v>
      </c>
      <c r="I7" s="13">
        <v>7787</v>
      </c>
      <c r="J7" s="14">
        <v>7787</v>
      </c>
      <c r="K7" s="13">
        <v>7787</v>
      </c>
      <c r="L7" s="14">
        <v>7787</v>
      </c>
      <c r="M7" s="13">
        <v>7787</v>
      </c>
      <c r="N7" s="14">
        <v>7787</v>
      </c>
      <c r="O7" s="13">
        <v>7787</v>
      </c>
      <c r="P7" s="14">
        <v>7787</v>
      </c>
      <c r="Q7" s="13">
        <v>7943</v>
      </c>
      <c r="R7" s="14">
        <v>7943</v>
      </c>
      <c r="S7" s="13">
        <v>8416</v>
      </c>
      <c r="T7" s="14">
        <v>8416</v>
      </c>
      <c r="U7" s="13">
        <v>8590</v>
      </c>
      <c r="V7" s="14">
        <v>8912</v>
      </c>
      <c r="W7" s="13">
        <v>9264</v>
      </c>
      <c r="X7" s="14">
        <v>9354</v>
      </c>
    </row>
    <row r="8" spans="1:44" s="34" customFormat="1" ht="16.5" customHeight="1" x14ac:dyDescent="0.2">
      <c r="A8" s="91"/>
      <c r="B8" s="12" t="s">
        <v>18</v>
      </c>
      <c r="C8" s="13">
        <v>5824.2999999999993</v>
      </c>
      <c r="D8" s="14">
        <v>7718.3</v>
      </c>
      <c r="E8" s="13">
        <v>8118.3</v>
      </c>
      <c r="F8" s="14">
        <v>8518.2999999999993</v>
      </c>
      <c r="G8" s="13">
        <v>8918.2999999999993</v>
      </c>
      <c r="H8" s="14">
        <v>9811.2999999999993</v>
      </c>
      <c r="I8" s="13">
        <v>10211.299999999999</v>
      </c>
      <c r="J8" s="14">
        <v>10211.299999999999</v>
      </c>
      <c r="K8" s="13">
        <v>10301.787195910001</v>
      </c>
      <c r="L8" s="14">
        <v>10464.448918329999</v>
      </c>
      <c r="M8" s="13">
        <v>10951.675510960002</v>
      </c>
      <c r="N8" s="14">
        <v>11437.43588669</v>
      </c>
      <c r="O8" s="13">
        <v>11437.43588669</v>
      </c>
      <c r="P8" s="14">
        <v>11437.43588669</v>
      </c>
      <c r="Q8" s="13">
        <v>11592.52544053</v>
      </c>
      <c r="R8" s="14">
        <v>11603.68447086</v>
      </c>
      <c r="S8" s="13">
        <v>11603.68447086</v>
      </c>
      <c r="T8" s="14">
        <v>11603.68447086</v>
      </c>
      <c r="U8" s="13">
        <v>11666.52059108</v>
      </c>
      <c r="V8" s="14">
        <v>11666.52059108</v>
      </c>
      <c r="W8" s="13">
        <v>11749.06708599</v>
      </c>
      <c r="X8" s="14">
        <v>11749.297966600001</v>
      </c>
    </row>
    <row r="9" spans="1:44" s="34" customFormat="1" ht="16.5" customHeight="1" x14ac:dyDescent="0.2">
      <c r="A9" s="91"/>
      <c r="B9" s="12" t="s">
        <v>57</v>
      </c>
      <c r="C9" s="13">
        <v>2211.9</v>
      </c>
      <c r="D9" s="14">
        <v>2843.0275108999999</v>
      </c>
      <c r="E9" s="13">
        <v>2843.0275108999999</v>
      </c>
      <c r="F9" s="14">
        <v>2843.0275108999999</v>
      </c>
      <c r="G9" s="13">
        <v>3271.4812381900001</v>
      </c>
      <c r="H9" s="14">
        <v>3855.4812381900001</v>
      </c>
      <c r="I9" s="13">
        <v>4483.0890478099991</v>
      </c>
      <c r="J9" s="14">
        <v>5575.7753757100008</v>
      </c>
      <c r="K9" s="13">
        <v>6312.6695742399997</v>
      </c>
      <c r="L9" s="14">
        <v>6980.4717211100005</v>
      </c>
      <c r="M9" s="13">
        <v>7325.5088441700009</v>
      </c>
      <c r="N9" s="14">
        <v>7535.6449301900002</v>
      </c>
      <c r="O9" s="13">
        <v>7535.6449301900002</v>
      </c>
      <c r="P9" s="14">
        <v>7535.6449301900002</v>
      </c>
      <c r="Q9" s="13">
        <v>7535.6449301900002</v>
      </c>
      <c r="R9" s="14">
        <v>7535.6449301900002</v>
      </c>
      <c r="S9" s="13">
        <v>7535.6449301900002</v>
      </c>
      <c r="T9" s="14">
        <v>7535.6449301900002</v>
      </c>
      <c r="U9" s="13">
        <v>8020.2437537899996</v>
      </c>
      <c r="V9" s="14">
        <v>8020.2437537899996</v>
      </c>
      <c r="W9" s="13">
        <v>8052.4856415699996</v>
      </c>
      <c r="X9" s="14">
        <v>8052.4856415699996</v>
      </c>
    </row>
    <row r="10" spans="1:44" s="34" customFormat="1" ht="16.5" customHeight="1" x14ac:dyDescent="0.2">
      <c r="A10" s="91"/>
      <c r="B10" s="12" t="s">
        <v>58</v>
      </c>
      <c r="C10" s="13">
        <v>2681.4</v>
      </c>
      <c r="D10" s="14">
        <v>2701.4</v>
      </c>
      <c r="E10" s="13">
        <v>2801.4</v>
      </c>
      <c r="F10" s="14">
        <v>2801.4</v>
      </c>
      <c r="G10" s="13">
        <v>2801.4</v>
      </c>
      <c r="H10" s="14">
        <v>2801.4</v>
      </c>
      <c r="I10" s="13">
        <v>2817.4440549999999</v>
      </c>
      <c r="J10" s="14">
        <v>3076.64977</v>
      </c>
      <c r="K10" s="13">
        <v>3076.64977</v>
      </c>
      <c r="L10" s="14">
        <v>3076.64977</v>
      </c>
      <c r="M10" s="13">
        <v>3084.9266010000001</v>
      </c>
      <c r="N10" s="14">
        <v>3084.9266010000001</v>
      </c>
      <c r="O10" s="13">
        <v>3084.9266010000001</v>
      </c>
      <c r="P10" s="14">
        <v>3084.9266010000001</v>
      </c>
      <c r="Q10" s="13">
        <v>3687.6251229999998</v>
      </c>
      <c r="R10" s="14">
        <v>3687.6251229999998</v>
      </c>
      <c r="S10" s="13">
        <v>3687.6251229999998</v>
      </c>
      <c r="T10" s="14">
        <v>3687.6251229999998</v>
      </c>
      <c r="U10" s="13">
        <v>3903.1415189999998</v>
      </c>
      <c r="V10" s="14">
        <v>3903.1415189999998</v>
      </c>
      <c r="W10" s="13">
        <v>3903.1415189999998</v>
      </c>
      <c r="X10" s="14">
        <v>3903.1415189999998</v>
      </c>
    </row>
    <row r="11" spans="1:44" s="34" customFormat="1" ht="16.5" customHeight="1" x14ac:dyDescent="0.2">
      <c r="A11" s="91"/>
      <c r="B11" s="12" t="s">
        <v>59</v>
      </c>
      <c r="C11" s="13">
        <v>0</v>
      </c>
      <c r="D11" s="14">
        <v>0</v>
      </c>
      <c r="E11" s="13">
        <v>0</v>
      </c>
      <c r="F11" s="14">
        <v>0</v>
      </c>
      <c r="G11" s="13">
        <v>0</v>
      </c>
      <c r="H11" s="14">
        <v>0</v>
      </c>
      <c r="I11" s="13">
        <v>0</v>
      </c>
      <c r="J11" s="14">
        <v>0</v>
      </c>
      <c r="K11" s="13">
        <v>0</v>
      </c>
      <c r="L11" s="14">
        <v>0</v>
      </c>
      <c r="M11" s="13">
        <v>0</v>
      </c>
      <c r="N11" s="14">
        <v>0</v>
      </c>
      <c r="O11" s="13">
        <v>0</v>
      </c>
      <c r="P11" s="14">
        <v>0</v>
      </c>
      <c r="Q11" s="13">
        <v>0</v>
      </c>
      <c r="R11" s="14">
        <v>0</v>
      </c>
      <c r="S11" s="13">
        <v>0</v>
      </c>
      <c r="T11" s="14">
        <v>0</v>
      </c>
      <c r="U11" s="13">
        <v>0</v>
      </c>
      <c r="V11" s="14">
        <v>0</v>
      </c>
      <c r="W11" s="13">
        <v>0</v>
      </c>
      <c r="X11" s="14">
        <v>0</v>
      </c>
    </row>
    <row r="12" spans="1:44" s="34" customFormat="1" ht="16.5" customHeight="1" x14ac:dyDescent="0.2">
      <c r="A12" s="91"/>
      <c r="B12" s="12" t="s">
        <v>60</v>
      </c>
      <c r="C12" s="13">
        <v>312.26</v>
      </c>
      <c r="D12" s="14">
        <v>601.14</v>
      </c>
      <c r="E12" s="13">
        <v>977.37</v>
      </c>
      <c r="F12" s="14">
        <v>1323.6</v>
      </c>
      <c r="G12" s="13">
        <v>1656.16</v>
      </c>
      <c r="H12" s="14">
        <v>1975.32</v>
      </c>
      <c r="I12" s="13">
        <v>2288.36</v>
      </c>
      <c r="J12" s="14">
        <v>2587.9499999999998</v>
      </c>
      <c r="K12" s="13">
        <v>2881.12</v>
      </c>
      <c r="L12" s="14">
        <v>3166.67</v>
      </c>
      <c r="M12" s="13">
        <v>3446.18</v>
      </c>
      <c r="N12" s="14">
        <v>3723.38</v>
      </c>
      <c r="O12" s="13">
        <v>3980.08</v>
      </c>
      <c r="P12" s="14">
        <v>4212.34</v>
      </c>
      <c r="Q12" s="13">
        <v>4435.8900000000003</v>
      </c>
      <c r="R12" s="14">
        <v>4651.38</v>
      </c>
      <c r="S12" s="13">
        <v>4860.53</v>
      </c>
      <c r="T12" s="14">
        <v>5065.55</v>
      </c>
      <c r="U12" s="13">
        <v>5261.95</v>
      </c>
      <c r="V12" s="14">
        <v>5452.1</v>
      </c>
      <c r="W12" s="13">
        <v>5592.66</v>
      </c>
      <c r="X12" s="14">
        <v>5774.18</v>
      </c>
    </row>
    <row r="13" spans="1:44" s="34" customFormat="1" ht="16.5" customHeight="1" x14ac:dyDescent="0.2">
      <c r="A13" s="91"/>
      <c r="B13" s="12" t="s">
        <v>41</v>
      </c>
      <c r="C13" s="13">
        <v>7324</v>
      </c>
      <c r="D13" s="14">
        <v>8264</v>
      </c>
      <c r="E13" s="13">
        <v>9186</v>
      </c>
      <c r="F13" s="14">
        <v>10082</v>
      </c>
      <c r="G13" s="13">
        <v>10958</v>
      </c>
      <c r="H13" s="14">
        <v>11817</v>
      </c>
      <c r="I13" s="13">
        <v>12651</v>
      </c>
      <c r="J13" s="14">
        <v>13459</v>
      </c>
      <c r="K13" s="13">
        <v>14248</v>
      </c>
      <c r="L13" s="14">
        <v>15010</v>
      </c>
      <c r="M13" s="13">
        <v>15739</v>
      </c>
      <c r="N13" s="14">
        <v>16439</v>
      </c>
      <c r="O13" s="13">
        <v>17092</v>
      </c>
      <c r="P13" s="14">
        <v>17701</v>
      </c>
      <c r="Q13" s="13">
        <v>18245</v>
      </c>
      <c r="R13" s="14">
        <v>18744</v>
      </c>
      <c r="S13" s="13">
        <v>19214</v>
      </c>
      <c r="T13" s="14">
        <v>19655</v>
      </c>
      <c r="U13" s="13">
        <v>20058</v>
      </c>
      <c r="V13" s="14">
        <v>20386</v>
      </c>
      <c r="W13" s="13">
        <v>20724</v>
      </c>
      <c r="X13" s="14">
        <v>21018</v>
      </c>
    </row>
    <row r="14" spans="1:44" s="34" customFormat="1" ht="16.5" customHeight="1" x14ac:dyDescent="0.2">
      <c r="A14" s="91"/>
      <c r="B14" s="21" t="s">
        <v>19</v>
      </c>
      <c r="C14" s="22">
        <f>SUM(C3:C13)</f>
        <v>57822.360000000008</v>
      </c>
      <c r="D14" s="23">
        <f t="shared" ref="D14:X14" si="0">SUM(D3:D13)</f>
        <v>61572.367510900003</v>
      </c>
      <c r="E14" s="22">
        <f t="shared" si="0"/>
        <v>63370.597510900006</v>
      </c>
      <c r="F14" s="23">
        <f t="shared" si="0"/>
        <v>64738.827510900002</v>
      </c>
      <c r="G14" s="22">
        <f t="shared" si="0"/>
        <v>65428.841238190005</v>
      </c>
      <c r="H14" s="23">
        <f t="shared" si="0"/>
        <v>68084.001238190001</v>
      </c>
      <c r="I14" s="22">
        <f t="shared" si="0"/>
        <v>69477.693102810008</v>
      </c>
      <c r="J14" s="23">
        <f t="shared" si="0"/>
        <v>71937.175145710004</v>
      </c>
      <c r="K14" s="22">
        <f t="shared" si="0"/>
        <v>73481.726540150004</v>
      </c>
      <c r="L14" s="23">
        <f t="shared" si="0"/>
        <v>75359.740409439997</v>
      </c>
      <c r="M14" s="22">
        <f t="shared" si="0"/>
        <v>75888.790956130004</v>
      </c>
      <c r="N14" s="23">
        <f t="shared" si="0"/>
        <v>75881.887417880003</v>
      </c>
      <c r="O14" s="22">
        <f t="shared" si="0"/>
        <v>76791.58741788</v>
      </c>
      <c r="P14" s="23">
        <f t="shared" si="0"/>
        <v>77522.847417879995</v>
      </c>
      <c r="Q14" s="22">
        <f t="shared" si="0"/>
        <v>78476.185493719997</v>
      </c>
      <c r="R14" s="23">
        <f t="shared" si="0"/>
        <v>79201.834524049991</v>
      </c>
      <c r="S14" s="22">
        <f t="shared" si="0"/>
        <v>79473.98452405</v>
      </c>
      <c r="T14" s="23">
        <f t="shared" si="0"/>
        <v>80680.004524049989</v>
      </c>
      <c r="U14" s="22">
        <f t="shared" si="0"/>
        <v>80816.355863869991</v>
      </c>
      <c r="V14" s="23">
        <f t="shared" si="0"/>
        <v>81656.505863869999</v>
      </c>
      <c r="W14" s="22">
        <f t="shared" si="0"/>
        <v>81901.854246559989</v>
      </c>
      <c r="X14" s="23">
        <f t="shared" si="0"/>
        <v>82467.605127169998</v>
      </c>
    </row>
    <row r="15" spans="1:44" s="34" customFormat="1" ht="16.5" customHeight="1" x14ac:dyDescent="0.2">
      <c r="B15" s="35"/>
      <c r="C15" s="35"/>
      <c r="D15" s="35"/>
      <c r="E15" s="35"/>
      <c r="F15" s="35"/>
      <c r="G15" s="35"/>
      <c r="H15" s="35"/>
      <c r="I15" s="35"/>
      <c r="J15" s="35"/>
      <c r="K15" s="35"/>
      <c r="L15" s="35"/>
      <c r="M15" s="35"/>
      <c r="N15" s="35"/>
      <c r="O15" s="35"/>
      <c r="P15" s="35"/>
      <c r="Q15" s="35"/>
      <c r="R15" s="35"/>
      <c r="S15" s="35"/>
      <c r="T15" s="35"/>
      <c r="U15" s="35"/>
      <c r="AP15" s="35"/>
      <c r="AQ15" s="35"/>
      <c r="AR15" s="35"/>
    </row>
    <row r="16" spans="1:44" s="34" customFormat="1" ht="16.5" customHeight="1" x14ac:dyDescent="0.2">
      <c r="AP16" s="35"/>
      <c r="AQ16" s="35"/>
      <c r="AR16" s="35"/>
    </row>
    <row r="17" spans="1:44" ht="16.5" customHeight="1" x14ac:dyDescent="0.2">
      <c r="C17" s="36"/>
      <c r="D17" s="36"/>
      <c r="E17" s="36"/>
      <c r="F17" s="36"/>
      <c r="G17" s="36"/>
      <c r="H17" s="36"/>
      <c r="I17" s="36"/>
      <c r="J17" s="36"/>
      <c r="K17" s="36"/>
      <c r="L17" s="36"/>
      <c r="M17" s="36"/>
      <c r="N17" s="36"/>
      <c r="O17" s="36"/>
      <c r="P17" s="36"/>
      <c r="Q17" s="36"/>
      <c r="R17" s="36"/>
      <c r="S17" s="36"/>
      <c r="T17" s="36"/>
      <c r="U17" s="36"/>
      <c r="V17" s="36"/>
      <c r="W17" s="36"/>
      <c r="X17" s="36"/>
      <c r="AP17" s="36"/>
      <c r="AQ17" s="36"/>
      <c r="AR17" s="36"/>
    </row>
    <row r="18" spans="1:44" ht="16.5" customHeight="1" x14ac:dyDescent="0.2">
      <c r="A18" s="27" t="s">
        <v>34</v>
      </c>
      <c r="B18" s="8" t="s">
        <v>20</v>
      </c>
      <c r="C18" s="32" t="s">
        <v>0</v>
      </c>
      <c r="D18" s="33" t="s">
        <v>1</v>
      </c>
      <c r="E18" s="32" t="s">
        <v>2</v>
      </c>
      <c r="F18" s="33" t="s">
        <v>3</v>
      </c>
      <c r="G18" s="32" t="s">
        <v>4</v>
      </c>
      <c r="H18" s="33" t="s">
        <v>5</v>
      </c>
      <c r="I18" s="32" t="s">
        <v>6</v>
      </c>
      <c r="J18" s="33" t="s">
        <v>7</v>
      </c>
      <c r="K18" s="32" t="s">
        <v>8</v>
      </c>
      <c r="L18" s="33" t="s">
        <v>9</v>
      </c>
      <c r="M18" s="32" t="s">
        <v>10</v>
      </c>
      <c r="N18" s="33" t="s">
        <v>11</v>
      </c>
      <c r="O18" s="32" t="s">
        <v>12</v>
      </c>
      <c r="P18" s="33" t="s">
        <v>13</v>
      </c>
      <c r="Q18" s="32" t="s">
        <v>14</v>
      </c>
      <c r="R18" s="33" t="s">
        <v>15</v>
      </c>
      <c r="S18" s="32" t="s">
        <v>16</v>
      </c>
      <c r="T18" s="33" t="s">
        <v>45</v>
      </c>
      <c r="U18" s="32" t="s">
        <v>61</v>
      </c>
      <c r="V18" s="33" t="s">
        <v>62</v>
      </c>
      <c r="W18" s="32" t="s">
        <v>63</v>
      </c>
      <c r="X18" s="33" t="s">
        <v>64</v>
      </c>
    </row>
    <row r="19" spans="1:44" ht="16.5" customHeight="1" x14ac:dyDescent="0.2">
      <c r="A19" s="91" t="s">
        <v>35</v>
      </c>
      <c r="B19" s="12" t="s">
        <v>54</v>
      </c>
      <c r="C19" s="13">
        <v>10040</v>
      </c>
      <c r="D19" s="14">
        <v>10040</v>
      </c>
      <c r="E19" s="13">
        <v>10040</v>
      </c>
      <c r="F19" s="14">
        <v>10040</v>
      </c>
      <c r="G19" s="13">
        <v>8240</v>
      </c>
      <c r="H19" s="14">
        <v>8240</v>
      </c>
      <c r="I19" s="13">
        <v>8240</v>
      </c>
      <c r="J19" s="14">
        <v>8240</v>
      </c>
      <c r="K19" s="13">
        <v>8240</v>
      </c>
      <c r="L19" s="14">
        <v>8240</v>
      </c>
      <c r="M19" s="13">
        <v>6920</v>
      </c>
      <c r="N19" s="14">
        <v>6920</v>
      </c>
      <c r="O19" s="13">
        <v>6920</v>
      </c>
      <c r="P19" s="14">
        <v>6920</v>
      </c>
      <c r="Q19" s="13">
        <v>6920</v>
      </c>
      <c r="R19" s="14">
        <v>6920</v>
      </c>
      <c r="S19" s="13">
        <v>4040</v>
      </c>
      <c r="T19" s="14">
        <v>1400</v>
      </c>
      <c r="U19" s="13">
        <v>1400</v>
      </c>
      <c r="V19" s="14">
        <v>1400</v>
      </c>
      <c r="W19" s="13">
        <v>1400</v>
      </c>
      <c r="X19" s="14">
        <v>1400</v>
      </c>
    </row>
    <row r="20" spans="1:44" ht="16.5" customHeight="1" x14ac:dyDescent="0.2">
      <c r="A20" s="91"/>
      <c r="B20" s="12" t="s">
        <v>55</v>
      </c>
      <c r="C20" s="13">
        <v>0</v>
      </c>
      <c r="D20" s="14">
        <v>0</v>
      </c>
      <c r="E20" s="13">
        <v>0</v>
      </c>
      <c r="F20" s="14">
        <v>0</v>
      </c>
      <c r="G20" s="13">
        <v>0</v>
      </c>
      <c r="H20" s="14">
        <v>0</v>
      </c>
      <c r="I20" s="13">
        <v>0</v>
      </c>
      <c r="J20" s="14">
        <v>0</v>
      </c>
      <c r="K20" s="13">
        <v>0</v>
      </c>
      <c r="L20" s="14">
        <v>0</v>
      </c>
      <c r="M20" s="13">
        <v>0</v>
      </c>
      <c r="N20" s="14">
        <v>0</v>
      </c>
      <c r="O20" s="13">
        <v>0</v>
      </c>
      <c r="P20" s="14">
        <v>0</v>
      </c>
      <c r="Q20" s="13">
        <v>0</v>
      </c>
      <c r="R20" s="14">
        <v>0</v>
      </c>
      <c r="S20" s="13">
        <v>0</v>
      </c>
      <c r="T20" s="14">
        <v>0</v>
      </c>
      <c r="U20" s="13">
        <v>0</v>
      </c>
      <c r="V20" s="14">
        <v>0</v>
      </c>
      <c r="W20" s="13">
        <v>0</v>
      </c>
      <c r="X20" s="14">
        <v>0</v>
      </c>
    </row>
    <row r="21" spans="1:44" ht="16.5" customHeight="1" x14ac:dyDescent="0.2">
      <c r="A21" s="91"/>
      <c r="B21" s="12" t="s">
        <v>17</v>
      </c>
      <c r="C21" s="13">
        <v>822</v>
      </c>
      <c r="D21" s="14">
        <v>822</v>
      </c>
      <c r="E21" s="13">
        <v>822</v>
      </c>
      <c r="F21" s="14">
        <v>822</v>
      </c>
      <c r="G21" s="13">
        <v>822</v>
      </c>
      <c r="H21" s="14">
        <v>822</v>
      </c>
      <c r="I21" s="13">
        <v>822</v>
      </c>
      <c r="J21" s="14">
        <v>822</v>
      </c>
      <c r="K21" s="13">
        <v>822</v>
      </c>
      <c r="L21" s="14">
        <v>822</v>
      </c>
      <c r="M21" s="13">
        <v>822</v>
      </c>
      <c r="N21" s="14">
        <v>822</v>
      </c>
      <c r="O21" s="13">
        <v>822</v>
      </c>
      <c r="P21" s="14">
        <v>822</v>
      </c>
      <c r="Q21" s="13">
        <v>822</v>
      </c>
      <c r="R21" s="14">
        <v>822</v>
      </c>
      <c r="S21" s="13">
        <v>822</v>
      </c>
      <c r="T21" s="14">
        <v>822</v>
      </c>
      <c r="U21" s="13">
        <v>822</v>
      </c>
      <c r="V21" s="14">
        <v>822</v>
      </c>
      <c r="W21" s="13">
        <v>822</v>
      </c>
      <c r="X21" s="14">
        <v>822</v>
      </c>
    </row>
    <row r="22" spans="1:44" ht="16.5" customHeight="1" x14ac:dyDescent="0.2">
      <c r="A22" s="91"/>
      <c r="B22" s="12" t="s">
        <v>44</v>
      </c>
      <c r="C22" s="13">
        <v>618</v>
      </c>
      <c r="D22" s="14">
        <v>618</v>
      </c>
      <c r="E22" s="13">
        <v>618</v>
      </c>
      <c r="F22" s="14">
        <v>618</v>
      </c>
      <c r="G22" s="13">
        <v>618</v>
      </c>
      <c r="H22" s="14">
        <v>618</v>
      </c>
      <c r="I22" s="13">
        <v>618</v>
      </c>
      <c r="J22" s="14">
        <v>618</v>
      </c>
      <c r="K22" s="13">
        <v>618</v>
      </c>
      <c r="L22" s="14">
        <v>618</v>
      </c>
      <c r="M22" s="13">
        <v>618</v>
      </c>
      <c r="N22" s="14">
        <v>618</v>
      </c>
      <c r="O22" s="13">
        <v>618</v>
      </c>
      <c r="P22" s="14">
        <v>1018</v>
      </c>
      <c r="Q22" s="13">
        <v>1818</v>
      </c>
      <c r="R22" s="14">
        <v>1818</v>
      </c>
      <c r="S22" s="13">
        <v>3418</v>
      </c>
      <c r="T22" s="14">
        <v>4218</v>
      </c>
      <c r="U22" s="13">
        <v>4218</v>
      </c>
      <c r="V22" s="14">
        <v>4218</v>
      </c>
      <c r="W22" s="13">
        <v>4218</v>
      </c>
      <c r="X22" s="14">
        <v>4218</v>
      </c>
    </row>
    <row r="23" spans="1:44" ht="16.5" customHeight="1" x14ac:dyDescent="0.2">
      <c r="A23" s="91"/>
      <c r="B23" s="12" t="s">
        <v>56</v>
      </c>
      <c r="C23" s="13">
        <v>1438</v>
      </c>
      <c r="D23" s="14">
        <v>1438</v>
      </c>
      <c r="E23" s="13">
        <v>1438</v>
      </c>
      <c r="F23" s="14">
        <v>1438</v>
      </c>
      <c r="G23" s="13">
        <v>1891.191763</v>
      </c>
      <c r="H23" s="14">
        <v>1891.191763</v>
      </c>
      <c r="I23" s="13">
        <v>1891.191763</v>
      </c>
      <c r="J23" s="14">
        <v>1891.191763</v>
      </c>
      <c r="K23" s="13">
        <v>1891.191763</v>
      </c>
      <c r="L23" s="14">
        <v>1891.191763</v>
      </c>
      <c r="M23" s="13">
        <v>1891.191763</v>
      </c>
      <c r="N23" s="14">
        <v>1891.191763</v>
      </c>
      <c r="O23" s="13">
        <v>1891.191763</v>
      </c>
      <c r="P23" s="14">
        <v>1891.191763</v>
      </c>
      <c r="Q23" s="13">
        <v>1891.191763</v>
      </c>
      <c r="R23" s="14">
        <v>1891.191763</v>
      </c>
      <c r="S23" s="13">
        <v>1891.191763</v>
      </c>
      <c r="T23" s="14">
        <v>1891.191763</v>
      </c>
      <c r="U23" s="13">
        <v>1891.191763</v>
      </c>
      <c r="V23" s="14">
        <v>1891.191763</v>
      </c>
      <c r="W23" s="13">
        <v>1891.191763</v>
      </c>
      <c r="X23" s="14">
        <v>1891.191763</v>
      </c>
    </row>
    <row r="24" spans="1:44" ht="16.5" customHeight="1" x14ac:dyDescent="0.2">
      <c r="A24" s="91"/>
      <c r="B24" s="12" t="s">
        <v>18</v>
      </c>
      <c r="C24" s="13">
        <v>1301.0999999999999</v>
      </c>
      <c r="D24" s="14">
        <v>1500.1</v>
      </c>
      <c r="E24" s="13">
        <v>1500.1</v>
      </c>
      <c r="F24" s="14">
        <v>1500.1</v>
      </c>
      <c r="G24" s="13">
        <v>1500.1</v>
      </c>
      <c r="H24" s="14">
        <v>1500.1</v>
      </c>
      <c r="I24" s="13">
        <v>1500.1</v>
      </c>
      <c r="J24" s="14">
        <v>1500.1</v>
      </c>
      <c r="K24" s="13">
        <v>1500.1</v>
      </c>
      <c r="L24" s="14">
        <v>1500.1</v>
      </c>
      <c r="M24" s="13">
        <v>1500.1</v>
      </c>
      <c r="N24" s="14">
        <v>1500.1</v>
      </c>
      <c r="O24" s="13">
        <v>1500.1</v>
      </c>
      <c r="P24" s="14">
        <v>1500.1</v>
      </c>
      <c r="Q24" s="13">
        <v>1500.1</v>
      </c>
      <c r="R24" s="14">
        <v>1500.1</v>
      </c>
      <c r="S24" s="13">
        <v>1500.1</v>
      </c>
      <c r="T24" s="14">
        <v>1500.1</v>
      </c>
      <c r="U24" s="13">
        <v>1500.1</v>
      </c>
      <c r="V24" s="14">
        <v>1500.1</v>
      </c>
      <c r="W24" s="13">
        <v>1500.1</v>
      </c>
      <c r="X24" s="14">
        <v>1500.1</v>
      </c>
    </row>
    <row r="25" spans="1:44" ht="16.5" customHeight="1" x14ac:dyDescent="0.2">
      <c r="A25" s="91"/>
      <c r="B25" s="12" t="s">
        <v>57</v>
      </c>
      <c r="C25" s="13">
        <v>345.9</v>
      </c>
      <c r="D25" s="14">
        <v>677.44627271000002</v>
      </c>
      <c r="E25" s="13">
        <v>677.44627271000002</v>
      </c>
      <c r="F25" s="14">
        <v>677.44627271000002</v>
      </c>
      <c r="G25" s="13">
        <v>945.9</v>
      </c>
      <c r="H25" s="14">
        <v>945.9</v>
      </c>
      <c r="I25" s="13">
        <v>945.9</v>
      </c>
      <c r="J25" s="14">
        <v>945.9</v>
      </c>
      <c r="K25" s="13">
        <v>945.9</v>
      </c>
      <c r="L25" s="14">
        <v>945.9</v>
      </c>
      <c r="M25" s="13">
        <v>945.9</v>
      </c>
      <c r="N25" s="14">
        <v>945.9</v>
      </c>
      <c r="O25" s="13">
        <v>945.9</v>
      </c>
      <c r="P25" s="14">
        <v>945.9</v>
      </c>
      <c r="Q25" s="13">
        <v>945.9</v>
      </c>
      <c r="R25" s="14">
        <v>945.9</v>
      </c>
      <c r="S25" s="13">
        <v>945.9</v>
      </c>
      <c r="T25" s="14">
        <v>945.9</v>
      </c>
      <c r="U25" s="13">
        <v>1045.9000000000001</v>
      </c>
      <c r="V25" s="14">
        <v>1045.9000000000001</v>
      </c>
      <c r="W25" s="13">
        <v>1045.9000000000001</v>
      </c>
      <c r="X25" s="14">
        <v>1045.9000000000001</v>
      </c>
    </row>
    <row r="26" spans="1:44" ht="16.5" customHeight="1" x14ac:dyDescent="0.2">
      <c r="A26" s="91"/>
      <c r="B26" s="12" t="s">
        <v>58</v>
      </c>
      <c r="C26" s="13">
        <v>2040</v>
      </c>
      <c r="D26" s="14">
        <v>2040</v>
      </c>
      <c r="E26" s="13">
        <v>2040</v>
      </c>
      <c r="F26" s="14">
        <v>2040</v>
      </c>
      <c r="G26" s="13">
        <v>2040</v>
      </c>
      <c r="H26" s="14">
        <v>2040</v>
      </c>
      <c r="I26" s="13">
        <v>2040</v>
      </c>
      <c r="J26" s="14">
        <v>2040</v>
      </c>
      <c r="K26" s="13">
        <v>2040</v>
      </c>
      <c r="L26" s="14">
        <v>2040</v>
      </c>
      <c r="M26" s="13">
        <v>2040</v>
      </c>
      <c r="N26" s="14">
        <v>2040</v>
      </c>
      <c r="O26" s="13">
        <v>2040</v>
      </c>
      <c r="P26" s="14">
        <v>2040</v>
      </c>
      <c r="Q26" s="13">
        <v>2040</v>
      </c>
      <c r="R26" s="14">
        <v>2040</v>
      </c>
      <c r="S26" s="13">
        <v>2040</v>
      </c>
      <c r="T26" s="14">
        <v>2040</v>
      </c>
      <c r="U26" s="13">
        <v>2040</v>
      </c>
      <c r="V26" s="14">
        <v>2040</v>
      </c>
      <c r="W26" s="13">
        <v>2040</v>
      </c>
      <c r="X26" s="14">
        <v>2040</v>
      </c>
    </row>
    <row r="27" spans="1:44" ht="16.5" customHeight="1" x14ac:dyDescent="0.2">
      <c r="A27" s="91"/>
      <c r="B27" s="12" t="s">
        <v>59</v>
      </c>
      <c r="C27" s="13">
        <v>0</v>
      </c>
      <c r="D27" s="14">
        <v>0</v>
      </c>
      <c r="E27" s="13">
        <v>0</v>
      </c>
      <c r="F27" s="14">
        <v>0</v>
      </c>
      <c r="G27" s="13">
        <v>0</v>
      </c>
      <c r="H27" s="14">
        <v>0</v>
      </c>
      <c r="I27" s="13">
        <v>0</v>
      </c>
      <c r="J27" s="14">
        <v>0</v>
      </c>
      <c r="K27" s="13">
        <v>0</v>
      </c>
      <c r="L27" s="14">
        <v>0</v>
      </c>
      <c r="M27" s="13">
        <v>0</v>
      </c>
      <c r="N27" s="14">
        <v>0</v>
      </c>
      <c r="O27" s="13">
        <v>0</v>
      </c>
      <c r="P27" s="14">
        <v>0</v>
      </c>
      <c r="Q27" s="13">
        <v>0</v>
      </c>
      <c r="R27" s="14">
        <v>0</v>
      </c>
      <c r="S27" s="13">
        <v>0</v>
      </c>
      <c r="T27" s="14">
        <v>0</v>
      </c>
      <c r="U27" s="13">
        <v>0</v>
      </c>
      <c r="V27" s="14">
        <v>0</v>
      </c>
      <c r="W27" s="13">
        <v>0</v>
      </c>
      <c r="X27" s="14">
        <v>0</v>
      </c>
    </row>
    <row r="28" spans="1:44" ht="16.5" customHeight="1" x14ac:dyDescent="0.2">
      <c r="A28" s="91"/>
      <c r="B28" s="12" t="s">
        <v>60</v>
      </c>
      <c r="C28" s="13">
        <v>132.4</v>
      </c>
      <c r="D28" s="14">
        <v>251.09</v>
      </c>
      <c r="E28" s="13">
        <v>408.31</v>
      </c>
      <c r="F28" s="14">
        <v>564.98</v>
      </c>
      <c r="G28" s="13">
        <v>720.25</v>
      </c>
      <c r="H28" s="14">
        <v>876.43</v>
      </c>
      <c r="I28" s="13">
        <v>1030.74</v>
      </c>
      <c r="J28" s="14">
        <v>1179.27</v>
      </c>
      <c r="K28" s="13">
        <v>1324.4</v>
      </c>
      <c r="L28" s="14">
        <v>1465.4</v>
      </c>
      <c r="M28" s="13">
        <v>1602.21</v>
      </c>
      <c r="N28" s="14">
        <v>1736.65</v>
      </c>
      <c r="O28" s="13">
        <v>1851.52</v>
      </c>
      <c r="P28" s="14">
        <v>1943.84</v>
      </c>
      <c r="Q28" s="13">
        <v>2031.79</v>
      </c>
      <c r="R28" s="14">
        <v>2121.0100000000002</v>
      </c>
      <c r="S28" s="13">
        <v>2209.36</v>
      </c>
      <c r="T28" s="14">
        <v>2299.16</v>
      </c>
      <c r="U28" s="13">
        <v>2387.54</v>
      </c>
      <c r="V28" s="14">
        <v>2474.54</v>
      </c>
      <c r="W28" s="13">
        <v>2518.3200000000002</v>
      </c>
      <c r="X28" s="14">
        <v>2606.6</v>
      </c>
    </row>
    <row r="29" spans="1:44" ht="16.5" customHeight="1" x14ac:dyDescent="0.2">
      <c r="A29" s="91"/>
      <c r="B29" s="12" t="s">
        <v>41</v>
      </c>
      <c r="C29" s="13">
        <v>2129</v>
      </c>
      <c r="D29" s="14">
        <v>2488</v>
      </c>
      <c r="E29" s="13">
        <v>2848</v>
      </c>
      <c r="F29" s="14">
        <v>3206</v>
      </c>
      <c r="G29" s="13">
        <v>3567</v>
      </c>
      <c r="H29" s="14">
        <v>3923</v>
      </c>
      <c r="I29" s="13">
        <v>4267</v>
      </c>
      <c r="J29" s="14">
        <v>4603</v>
      </c>
      <c r="K29" s="13">
        <v>4936</v>
      </c>
      <c r="L29" s="14">
        <v>5263</v>
      </c>
      <c r="M29" s="13">
        <v>5577</v>
      </c>
      <c r="N29" s="14">
        <v>5872</v>
      </c>
      <c r="O29" s="13">
        <v>6142</v>
      </c>
      <c r="P29" s="14">
        <v>6401</v>
      </c>
      <c r="Q29" s="13">
        <v>6628</v>
      </c>
      <c r="R29" s="14">
        <v>6829</v>
      </c>
      <c r="S29" s="13">
        <v>7022</v>
      </c>
      <c r="T29" s="14">
        <v>7208</v>
      </c>
      <c r="U29" s="13">
        <v>7382</v>
      </c>
      <c r="V29" s="14">
        <v>7508</v>
      </c>
      <c r="W29" s="13">
        <v>7658</v>
      </c>
      <c r="X29" s="14">
        <v>7783</v>
      </c>
    </row>
    <row r="30" spans="1:44" ht="16.5" customHeight="1" x14ac:dyDescent="0.2">
      <c r="A30" s="92" t="s">
        <v>36</v>
      </c>
      <c r="B30" s="29" t="s">
        <v>54</v>
      </c>
      <c r="C30" s="37">
        <v>8179</v>
      </c>
      <c r="D30" s="38">
        <v>8179</v>
      </c>
      <c r="E30" s="37">
        <v>8179</v>
      </c>
      <c r="F30" s="38">
        <v>8179</v>
      </c>
      <c r="G30" s="37">
        <v>8179</v>
      </c>
      <c r="H30" s="38">
        <v>8179</v>
      </c>
      <c r="I30" s="37">
        <v>8179</v>
      </c>
      <c r="J30" s="38">
        <v>8179</v>
      </c>
      <c r="K30" s="37">
        <v>7814</v>
      </c>
      <c r="L30" s="38">
        <v>7814</v>
      </c>
      <c r="M30" s="37">
        <v>7814</v>
      </c>
      <c r="N30" s="38">
        <v>6134</v>
      </c>
      <c r="O30" s="37">
        <v>6134</v>
      </c>
      <c r="P30" s="38">
        <v>6134</v>
      </c>
      <c r="Q30" s="37">
        <v>6134</v>
      </c>
      <c r="R30" s="38">
        <v>6134</v>
      </c>
      <c r="S30" s="37">
        <v>6134</v>
      </c>
      <c r="T30" s="38">
        <v>6134</v>
      </c>
      <c r="U30" s="37">
        <v>4734</v>
      </c>
      <c r="V30" s="38">
        <v>4734</v>
      </c>
      <c r="W30" s="37">
        <v>4034</v>
      </c>
      <c r="X30" s="38">
        <v>4034</v>
      </c>
    </row>
    <row r="31" spans="1:44" ht="16.5" customHeight="1" x14ac:dyDescent="0.2">
      <c r="A31" s="92"/>
      <c r="B31" s="29" t="s">
        <v>55</v>
      </c>
      <c r="C31" s="37">
        <v>0</v>
      </c>
      <c r="D31" s="38">
        <v>0</v>
      </c>
      <c r="E31" s="37">
        <v>0</v>
      </c>
      <c r="F31" s="38">
        <v>0</v>
      </c>
      <c r="G31" s="37">
        <v>0</v>
      </c>
      <c r="H31" s="38">
        <v>0</v>
      </c>
      <c r="I31" s="37">
        <v>0</v>
      </c>
      <c r="J31" s="38">
        <v>0</v>
      </c>
      <c r="K31" s="37">
        <v>0</v>
      </c>
      <c r="L31" s="38">
        <v>0</v>
      </c>
      <c r="M31" s="37">
        <v>0</v>
      </c>
      <c r="N31" s="38">
        <v>0</v>
      </c>
      <c r="O31" s="37">
        <v>0</v>
      </c>
      <c r="P31" s="38">
        <v>0</v>
      </c>
      <c r="Q31" s="37">
        <v>0</v>
      </c>
      <c r="R31" s="38">
        <v>0</v>
      </c>
      <c r="S31" s="37">
        <v>0</v>
      </c>
      <c r="T31" s="38">
        <v>0</v>
      </c>
      <c r="U31" s="37">
        <v>0</v>
      </c>
      <c r="V31" s="38">
        <v>0</v>
      </c>
      <c r="W31" s="37">
        <v>0</v>
      </c>
      <c r="X31" s="38">
        <v>0</v>
      </c>
    </row>
    <row r="32" spans="1:44" ht="16.5" customHeight="1" x14ac:dyDescent="0.2">
      <c r="A32" s="92"/>
      <c r="B32" s="29" t="s">
        <v>17</v>
      </c>
      <c r="C32" s="37">
        <v>152.4</v>
      </c>
      <c r="D32" s="38">
        <v>152.4</v>
      </c>
      <c r="E32" s="37">
        <v>152.4</v>
      </c>
      <c r="F32" s="38">
        <v>152.4</v>
      </c>
      <c r="G32" s="37">
        <v>152.4</v>
      </c>
      <c r="H32" s="38">
        <v>152.4</v>
      </c>
      <c r="I32" s="37">
        <v>152.4</v>
      </c>
      <c r="J32" s="38">
        <v>152.4</v>
      </c>
      <c r="K32" s="37">
        <v>152.4</v>
      </c>
      <c r="L32" s="38">
        <v>152.4</v>
      </c>
      <c r="M32" s="37">
        <v>152.4</v>
      </c>
      <c r="N32" s="38">
        <v>152.4</v>
      </c>
      <c r="O32" s="37">
        <v>152.4</v>
      </c>
      <c r="P32" s="38">
        <v>152.4</v>
      </c>
      <c r="Q32" s="37">
        <v>152.4</v>
      </c>
      <c r="R32" s="38">
        <v>152.4</v>
      </c>
      <c r="S32" s="37">
        <v>152.4</v>
      </c>
      <c r="T32" s="38">
        <v>152.4</v>
      </c>
      <c r="U32" s="37">
        <v>152.4</v>
      </c>
      <c r="V32" s="38">
        <v>152.4</v>
      </c>
      <c r="W32" s="37">
        <v>152.4</v>
      </c>
      <c r="X32" s="38">
        <v>152.4</v>
      </c>
    </row>
    <row r="33" spans="1:24" ht="16.5" customHeight="1" x14ac:dyDescent="0.2">
      <c r="A33" s="92"/>
      <c r="B33" s="29" t="s">
        <v>44</v>
      </c>
      <c r="C33" s="37">
        <v>1521</v>
      </c>
      <c r="D33" s="38">
        <v>1521</v>
      </c>
      <c r="E33" s="37">
        <v>1521</v>
      </c>
      <c r="F33" s="38">
        <v>1521</v>
      </c>
      <c r="G33" s="37">
        <v>1521</v>
      </c>
      <c r="H33" s="38">
        <v>1521</v>
      </c>
      <c r="I33" s="37">
        <v>1521</v>
      </c>
      <c r="J33" s="38">
        <v>1521</v>
      </c>
      <c r="K33" s="37">
        <v>1521</v>
      </c>
      <c r="L33" s="38">
        <v>1521</v>
      </c>
      <c r="M33" s="37">
        <v>1521</v>
      </c>
      <c r="N33" s="38">
        <v>1521</v>
      </c>
      <c r="O33" s="37">
        <v>1521</v>
      </c>
      <c r="P33" s="38">
        <v>1521</v>
      </c>
      <c r="Q33" s="37">
        <v>1521</v>
      </c>
      <c r="R33" s="38">
        <v>1521</v>
      </c>
      <c r="S33" s="37">
        <v>1521</v>
      </c>
      <c r="T33" s="38">
        <v>1521</v>
      </c>
      <c r="U33" s="37">
        <v>1521</v>
      </c>
      <c r="V33" s="38">
        <v>1521</v>
      </c>
      <c r="W33" s="37">
        <v>1521</v>
      </c>
      <c r="X33" s="38">
        <v>1521</v>
      </c>
    </row>
    <row r="34" spans="1:24" ht="16.5" customHeight="1" x14ac:dyDescent="0.2">
      <c r="A34" s="92"/>
      <c r="B34" s="29" t="s">
        <v>56</v>
      </c>
      <c r="C34" s="37">
        <v>1931.5</v>
      </c>
      <c r="D34" s="38">
        <v>1931.5</v>
      </c>
      <c r="E34" s="37">
        <v>1931.5</v>
      </c>
      <c r="F34" s="38">
        <v>1897.5</v>
      </c>
      <c r="G34" s="37">
        <v>1897.5</v>
      </c>
      <c r="H34" s="38">
        <v>1897.5</v>
      </c>
      <c r="I34" s="37">
        <v>1897.5</v>
      </c>
      <c r="J34" s="38">
        <v>1897.5</v>
      </c>
      <c r="K34" s="37">
        <v>1897.5</v>
      </c>
      <c r="L34" s="38">
        <v>1897.5</v>
      </c>
      <c r="M34" s="37">
        <v>1897.5</v>
      </c>
      <c r="N34" s="38">
        <v>1897.5</v>
      </c>
      <c r="O34" s="37">
        <v>1897.5</v>
      </c>
      <c r="P34" s="38">
        <v>1897.5</v>
      </c>
      <c r="Q34" s="37">
        <v>1897.5</v>
      </c>
      <c r="R34" s="38">
        <v>1897.5</v>
      </c>
      <c r="S34" s="37">
        <v>1897.5</v>
      </c>
      <c r="T34" s="38">
        <v>1897.5</v>
      </c>
      <c r="U34" s="37">
        <v>2071.6141980000002</v>
      </c>
      <c r="V34" s="38">
        <v>2393.4323460000001</v>
      </c>
      <c r="W34" s="37">
        <v>2745.5915070000001</v>
      </c>
      <c r="X34" s="38">
        <v>2835.413442</v>
      </c>
    </row>
    <row r="35" spans="1:24" ht="16.5" customHeight="1" x14ac:dyDescent="0.2">
      <c r="A35" s="92"/>
      <c r="B35" s="29" t="s">
        <v>18</v>
      </c>
      <c r="C35" s="37">
        <v>223</v>
      </c>
      <c r="D35" s="38">
        <v>676</v>
      </c>
      <c r="E35" s="37">
        <v>676</v>
      </c>
      <c r="F35" s="38">
        <v>676</v>
      </c>
      <c r="G35" s="37">
        <v>676</v>
      </c>
      <c r="H35" s="38">
        <v>676</v>
      </c>
      <c r="I35" s="37">
        <v>676</v>
      </c>
      <c r="J35" s="38">
        <v>676</v>
      </c>
      <c r="K35" s="37">
        <v>766.48719590999997</v>
      </c>
      <c r="L35" s="38">
        <v>929.14891833000001</v>
      </c>
      <c r="M35" s="37">
        <v>1416.3755109600002</v>
      </c>
      <c r="N35" s="38">
        <v>1902.13588669</v>
      </c>
      <c r="O35" s="37">
        <v>1902.13588669</v>
      </c>
      <c r="P35" s="38">
        <v>1902.13588669</v>
      </c>
      <c r="Q35" s="37">
        <v>1902.13588669</v>
      </c>
      <c r="R35" s="38">
        <v>1902.13588669</v>
      </c>
      <c r="S35" s="37">
        <v>1902.13588669</v>
      </c>
      <c r="T35" s="38">
        <v>1902.13588669</v>
      </c>
      <c r="U35" s="37">
        <v>1902.13588669</v>
      </c>
      <c r="V35" s="38">
        <v>1902.13588669</v>
      </c>
      <c r="W35" s="37">
        <v>1902.13588669</v>
      </c>
      <c r="X35" s="38">
        <v>1902.13588669</v>
      </c>
    </row>
    <row r="36" spans="1:24" ht="16.5" customHeight="1" x14ac:dyDescent="0.2">
      <c r="A36" s="92"/>
      <c r="B36" s="29" t="s">
        <v>57</v>
      </c>
      <c r="C36" s="37">
        <v>1222</v>
      </c>
      <c r="D36" s="38">
        <v>1222</v>
      </c>
      <c r="E36" s="37">
        <v>1222</v>
      </c>
      <c r="F36" s="38">
        <v>1222</v>
      </c>
      <c r="G36" s="37">
        <v>1222</v>
      </c>
      <c r="H36" s="38">
        <v>1222</v>
      </c>
      <c r="I36" s="37">
        <v>1689.6078096199999</v>
      </c>
      <c r="J36" s="38">
        <v>2728.57844776</v>
      </c>
      <c r="K36" s="37">
        <v>3465.4726462899998</v>
      </c>
      <c r="L36" s="38">
        <v>4133.2747931600006</v>
      </c>
      <c r="M36" s="37">
        <v>4478.311916220001</v>
      </c>
      <c r="N36" s="38">
        <v>4688.4480022400003</v>
      </c>
      <c r="O36" s="37">
        <v>4688.4480022400003</v>
      </c>
      <c r="P36" s="38">
        <v>4688.4480022400003</v>
      </c>
      <c r="Q36" s="37">
        <v>4688.4480022400003</v>
      </c>
      <c r="R36" s="38">
        <v>4688.4480022400003</v>
      </c>
      <c r="S36" s="37">
        <v>4688.4480022400003</v>
      </c>
      <c r="T36" s="38">
        <v>4688.4480022400003</v>
      </c>
      <c r="U36" s="37">
        <v>4688.4480022400003</v>
      </c>
      <c r="V36" s="38">
        <v>4688.4480022400003</v>
      </c>
      <c r="W36" s="37">
        <v>4688.4480022400003</v>
      </c>
      <c r="X36" s="38">
        <v>4688.4480022400003</v>
      </c>
    </row>
    <row r="37" spans="1:24" ht="16.5" customHeight="1" x14ac:dyDescent="0.2">
      <c r="A37" s="92"/>
      <c r="B37" s="29" t="s">
        <v>58</v>
      </c>
      <c r="C37" s="37">
        <v>501.4</v>
      </c>
      <c r="D37" s="38">
        <v>501.4</v>
      </c>
      <c r="E37" s="37">
        <v>601.4</v>
      </c>
      <c r="F37" s="38">
        <v>601.4</v>
      </c>
      <c r="G37" s="37">
        <v>601.4</v>
      </c>
      <c r="H37" s="38">
        <v>601.4</v>
      </c>
      <c r="I37" s="37">
        <v>601.4</v>
      </c>
      <c r="J37" s="38">
        <v>601.4</v>
      </c>
      <c r="K37" s="37">
        <v>601.4</v>
      </c>
      <c r="L37" s="38">
        <v>601.4</v>
      </c>
      <c r="M37" s="37">
        <v>601.4</v>
      </c>
      <c r="N37" s="38">
        <v>601.4</v>
      </c>
      <c r="O37" s="37">
        <v>601.4</v>
      </c>
      <c r="P37" s="38">
        <v>601.4</v>
      </c>
      <c r="Q37" s="37">
        <v>601.4</v>
      </c>
      <c r="R37" s="38">
        <v>601.4</v>
      </c>
      <c r="S37" s="37">
        <v>601.4</v>
      </c>
      <c r="T37" s="38">
        <v>601.4</v>
      </c>
      <c r="U37" s="37">
        <v>816.91639599999996</v>
      </c>
      <c r="V37" s="38">
        <v>816.91639599999996</v>
      </c>
      <c r="W37" s="37">
        <v>816.91639599999996</v>
      </c>
      <c r="X37" s="38">
        <v>816.91639599999996</v>
      </c>
    </row>
    <row r="38" spans="1:24" ht="16.5" customHeight="1" x14ac:dyDescent="0.2">
      <c r="A38" s="92"/>
      <c r="B38" s="29" t="s">
        <v>59</v>
      </c>
      <c r="C38" s="37">
        <v>0</v>
      </c>
      <c r="D38" s="38">
        <v>0</v>
      </c>
      <c r="E38" s="37">
        <v>0</v>
      </c>
      <c r="F38" s="38">
        <v>0</v>
      </c>
      <c r="G38" s="37">
        <v>0</v>
      </c>
      <c r="H38" s="38">
        <v>0</v>
      </c>
      <c r="I38" s="37">
        <v>0</v>
      </c>
      <c r="J38" s="38">
        <v>0</v>
      </c>
      <c r="K38" s="37">
        <v>0</v>
      </c>
      <c r="L38" s="38">
        <v>0</v>
      </c>
      <c r="M38" s="37">
        <v>0</v>
      </c>
      <c r="N38" s="38">
        <v>0</v>
      </c>
      <c r="O38" s="37">
        <v>0</v>
      </c>
      <c r="P38" s="38">
        <v>0</v>
      </c>
      <c r="Q38" s="37">
        <v>0</v>
      </c>
      <c r="R38" s="38">
        <v>0</v>
      </c>
      <c r="S38" s="37">
        <v>0</v>
      </c>
      <c r="T38" s="38">
        <v>0</v>
      </c>
      <c r="U38" s="37">
        <v>0</v>
      </c>
      <c r="V38" s="38">
        <v>0</v>
      </c>
      <c r="W38" s="37">
        <v>0</v>
      </c>
      <c r="X38" s="38">
        <v>0</v>
      </c>
    </row>
    <row r="39" spans="1:24" ht="16.5" customHeight="1" x14ac:dyDescent="0.2">
      <c r="A39" s="92"/>
      <c r="B39" s="29" t="s">
        <v>60</v>
      </c>
      <c r="C39" s="37">
        <v>71.2</v>
      </c>
      <c r="D39" s="38">
        <v>136.66</v>
      </c>
      <c r="E39" s="37">
        <v>225.27</v>
      </c>
      <c r="F39" s="38">
        <v>305.48</v>
      </c>
      <c r="G39" s="37">
        <v>380.04</v>
      </c>
      <c r="H39" s="38">
        <v>448.25</v>
      </c>
      <c r="I39" s="37">
        <v>512.38</v>
      </c>
      <c r="J39" s="38">
        <v>572.39</v>
      </c>
      <c r="K39" s="37">
        <v>630.85</v>
      </c>
      <c r="L39" s="38">
        <v>688.66</v>
      </c>
      <c r="M39" s="37">
        <v>745.92</v>
      </c>
      <c r="N39" s="38">
        <v>802.76</v>
      </c>
      <c r="O39" s="37">
        <v>859.3</v>
      </c>
      <c r="P39" s="38">
        <v>915.59</v>
      </c>
      <c r="Q39" s="37">
        <v>970.53</v>
      </c>
      <c r="R39" s="38">
        <v>1025.32</v>
      </c>
      <c r="S39" s="37">
        <v>1080.04</v>
      </c>
      <c r="T39" s="38">
        <v>1131.97</v>
      </c>
      <c r="U39" s="37">
        <v>1181.52</v>
      </c>
      <c r="V39" s="38">
        <v>1228.6400000000001</v>
      </c>
      <c r="W39" s="37">
        <v>1272.46</v>
      </c>
      <c r="X39" s="38">
        <v>1314.51</v>
      </c>
    </row>
    <row r="40" spans="1:24" ht="16.5" customHeight="1" x14ac:dyDescent="0.2">
      <c r="A40" s="92"/>
      <c r="B40" s="29" t="s">
        <v>41</v>
      </c>
      <c r="C40" s="37">
        <v>2454</v>
      </c>
      <c r="D40" s="38">
        <v>2706</v>
      </c>
      <c r="E40" s="37">
        <v>2951</v>
      </c>
      <c r="F40" s="38">
        <v>3185</v>
      </c>
      <c r="G40" s="37">
        <v>3408</v>
      </c>
      <c r="H40" s="38">
        <v>3626</v>
      </c>
      <c r="I40" s="37">
        <v>3837</v>
      </c>
      <c r="J40" s="38">
        <v>4041</v>
      </c>
      <c r="K40" s="37">
        <v>4243</v>
      </c>
      <c r="L40" s="38">
        <v>4442</v>
      </c>
      <c r="M40" s="37">
        <v>4638</v>
      </c>
      <c r="N40" s="38">
        <v>4829</v>
      </c>
      <c r="O40" s="37">
        <v>5007</v>
      </c>
      <c r="P40" s="38">
        <v>5171</v>
      </c>
      <c r="Q40" s="37">
        <v>5316</v>
      </c>
      <c r="R40" s="38">
        <v>5450</v>
      </c>
      <c r="S40" s="37">
        <v>5577</v>
      </c>
      <c r="T40" s="38">
        <v>5691</v>
      </c>
      <c r="U40" s="37">
        <v>5786</v>
      </c>
      <c r="V40" s="38">
        <v>5865</v>
      </c>
      <c r="W40" s="37">
        <v>5935</v>
      </c>
      <c r="X40" s="38">
        <v>5999</v>
      </c>
    </row>
    <row r="41" spans="1:24" ht="16.5" customHeight="1" x14ac:dyDescent="0.2">
      <c r="A41" s="91" t="s">
        <v>38</v>
      </c>
      <c r="B41" s="12" t="s">
        <v>54</v>
      </c>
      <c r="C41" s="13">
        <v>0</v>
      </c>
      <c r="D41" s="14">
        <v>0</v>
      </c>
      <c r="E41" s="13">
        <v>0</v>
      </c>
      <c r="F41" s="14">
        <v>0</v>
      </c>
      <c r="G41" s="13">
        <v>0</v>
      </c>
      <c r="H41" s="14">
        <v>0</v>
      </c>
      <c r="I41" s="13">
        <v>0</v>
      </c>
      <c r="J41" s="14">
        <v>0</v>
      </c>
      <c r="K41" s="13">
        <v>0</v>
      </c>
      <c r="L41" s="14">
        <v>0</v>
      </c>
      <c r="M41" s="13">
        <v>0</v>
      </c>
      <c r="N41" s="14">
        <v>0</v>
      </c>
      <c r="O41" s="13">
        <v>0</v>
      </c>
      <c r="P41" s="14">
        <v>0</v>
      </c>
      <c r="Q41" s="13">
        <v>0</v>
      </c>
      <c r="R41" s="14">
        <v>0</v>
      </c>
      <c r="S41" s="13">
        <v>0</v>
      </c>
      <c r="T41" s="14">
        <v>0</v>
      </c>
      <c r="U41" s="13">
        <v>0</v>
      </c>
      <c r="V41" s="14">
        <v>0</v>
      </c>
      <c r="W41" s="13">
        <v>0</v>
      </c>
      <c r="X41" s="14">
        <v>0</v>
      </c>
    </row>
    <row r="42" spans="1:24" ht="16.5" customHeight="1" x14ac:dyDescent="0.2">
      <c r="A42" s="91"/>
      <c r="B42" s="12" t="s">
        <v>55</v>
      </c>
      <c r="C42" s="13">
        <v>0</v>
      </c>
      <c r="D42" s="14">
        <v>0</v>
      </c>
      <c r="E42" s="13">
        <v>0</v>
      </c>
      <c r="F42" s="14">
        <v>0</v>
      </c>
      <c r="G42" s="13">
        <v>0</v>
      </c>
      <c r="H42" s="14">
        <v>0</v>
      </c>
      <c r="I42" s="13">
        <v>0</v>
      </c>
      <c r="J42" s="14">
        <v>0</v>
      </c>
      <c r="K42" s="13">
        <v>0</v>
      </c>
      <c r="L42" s="14">
        <v>0</v>
      </c>
      <c r="M42" s="13">
        <v>0</v>
      </c>
      <c r="N42" s="14">
        <v>0</v>
      </c>
      <c r="O42" s="13">
        <v>0</v>
      </c>
      <c r="P42" s="14">
        <v>0</v>
      </c>
      <c r="Q42" s="13">
        <v>0</v>
      </c>
      <c r="R42" s="14">
        <v>0</v>
      </c>
      <c r="S42" s="13">
        <v>0</v>
      </c>
      <c r="T42" s="14">
        <v>0</v>
      </c>
      <c r="U42" s="13">
        <v>0</v>
      </c>
      <c r="V42" s="14">
        <v>0</v>
      </c>
      <c r="W42" s="13">
        <v>0</v>
      </c>
      <c r="X42" s="14">
        <v>0</v>
      </c>
    </row>
    <row r="43" spans="1:24" ht="16.5" customHeight="1" x14ac:dyDescent="0.2">
      <c r="A43" s="91"/>
      <c r="B43" s="12" t="s">
        <v>17</v>
      </c>
      <c r="C43" s="13">
        <v>0</v>
      </c>
      <c r="D43" s="14">
        <v>0</v>
      </c>
      <c r="E43" s="13">
        <v>0</v>
      </c>
      <c r="F43" s="14">
        <v>0</v>
      </c>
      <c r="G43" s="13">
        <v>0</v>
      </c>
      <c r="H43" s="14">
        <v>0</v>
      </c>
      <c r="I43" s="13">
        <v>0</v>
      </c>
      <c r="J43" s="14">
        <v>0</v>
      </c>
      <c r="K43" s="13">
        <v>0</v>
      </c>
      <c r="L43" s="14">
        <v>0</v>
      </c>
      <c r="M43" s="13">
        <v>0</v>
      </c>
      <c r="N43" s="14">
        <v>0</v>
      </c>
      <c r="O43" s="13">
        <v>0</v>
      </c>
      <c r="P43" s="14">
        <v>0</v>
      </c>
      <c r="Q43" s="13">
        <v>0</v>
      </c>
      <c r="R43" s="14">
        <v>0</v>
      </c>
      <c r="S43" s="13">
        <v>0</v>
      </c>
      <c r="T43" s="14">
        <v>0</v>
      </c>
      <c r="U43" s="13">
        <v>0</v>
      </c>
      <c r="V43" s="14">
        <v>0</v>
      </c>
      <c r="W43" s="13">
        <v>0</v>
      </c>
      <c r="X43" s="14">
        <v>0</v>
      </c>
    </row>
    <row r="44" spans="1:24" ht="16.5" customHeight="1" x14ac:dyDescent="0.2">
      <c r="A44" s="91"/>
      <c r="B44" s="12" t="s">
        <v>44</v>
      </c>
      <c r="C44" s="13">
        <v>1462</v>
      </c>
      <c r="D44" s="14">
        <v>1462</v>
      </c>
      <c r="E44" s="13">
        <v>1462</v>
      </c>
      <c r="F44" s="14">
        <v>1462</v>
      </c>
      <c r="G44" s="13">
        <v>1462</v>
      </c>
      <c r="H44" s="14">
        <v>1462</v>
      </c>
      <c r="I44" s="13">
        <v>0</v>
      </c>
      <c r="J44" s="14">
        <v>0</v>
      </c>
      <c r="K44" s="13">
        <v>0</v>
      </c>
      <c r="L44" s="14">
        <v>0</v>
      </c>
      <c r="M44" s="13">
        <v>0</v>
      </c>
      <c r="N44" s="14">
        <v>0</v>
      </c>
      <c r="O44" s="13">
        <v>0</v>
      </c>
      <c r="P44" s="14">
        <v>0</v>
      </c>
      <c r="Q44" s="13">
        <v>0</v>
      </c>
      <c r="R44" s="14">
        <v>0</v>
      </c>
      <c r="S44" s="13">
        <v>0</v>
      </c>
      <c r="T44" s="14">
        <v>0</v>
      </c>
      <c r="U44" s="13">
        <v>0</v>
      </c>
      <c r="V44" s="14">
        <v>0</v>
      </c>
      <c r="W44" s="13">
        <v>0</v>
      </c>
      <c r="X44" s="14">
        <v>0</v>
      </c>
    </row>
    <row r="45" spans="1:24" ht="16.5" customHeight="1" x14ac:dyDescent="0.2">
      <c r="A45" s="91"/>
      <c r="B45" s="12" t="s">
        <v>56</v>
      </c>
      <c r="C45" s="13">
        <v>1527</v>
      </c>
      <c r="D45" s="14">
        <v>1503</v>
      </c>
      <c r="E45" s="13">
        <v>1503</v>
      </c>
      <c r="F45" s="14">
        <v>1263</v>
      </c>
      <c r="G45" s="13">
        <v>1263</v>
      </c>
      <c r="H45" s="14">
        <v>1263</v>
      </c>
      <c r="I45" s="13">
        <v>1928</v>
      </c>
      <c r="J45" s="14">
        <v>1928</v>
      </c>
      <c r="K45" s="13">
        <v>1928</v>
      </c>
      <c r="L45" s="14">
        <v>1928</v>
      </c>
      <c r="M45" s="13">
        <v>1928</v>
      </c>
      <c r="N45" s="14">
        <v>1928</v>
      </c>
      <c r="O45" s="13">
        <v>1928</v>
      </c>
      <c r="P45" s="14">
        <v>1928</v>
      </c>
      <c r="Q45" s="13">
        <v>1928</v>
      </c>
      <c r="R45" s="14">
        <v>1928</v>
      </c>
      <c r="S45" s="13">
        <v>2042</v>
      </c>
      <c r="T45" s="14">
        <v>2042</v>
      </c>
      <c r="U45" s="13">
        <v>2042</v>
      </c>
      <c r="V45" s="14">
        <v>2042</v>
      </c>
      <c r="W45" s="13">
        <v>2042</v>
      </c>
      <c r="X45" s="14">
        <v>2042</v>
      </c>
    </row>
    <row r="46" spans="1:24" ht="16.5" customHeight="1" x14ac:dyDescent="0.2">
      <c r="A46" s="91"/>
      <c r="B46" s="12" t="s">
        <v>18</v>
      </c>
      <c r="C46" s="13">
        <v>2051</v>
      </c>
      <c r="D46" s="14">
        <v>2051</v>
      </c>
      <c r="E46" s="13">
        <v>2051</v>
      </c>
      <c r="F46" s="14">
        <v>2051</v>
      </c>
      <c r="G46" s="13">
        <v>2051</v>
      </c>
      <c r="H46" s="14">
        <v>2051</v>
      </c>
      <c r="I46" s="13">
        <v>2051</v>
      </c>
      <c r="J46" s="14">
        <v>2051</v>
      </c>
      <c r="K46" s="13">
        <v>2051</v>
      </c>
      <c r="L46" s="14">
        <v>2051</v>
      </c>
      <c r="M46" s="13">
        <v>2051</v>
      </c>
      <c r="N46" s="14">
        <v>2051</v>
      </c>
      <c r="O46" s="13">
        <v>2051</v>
      </c>
      <c r="P46" s="14">
        <v>2051</v>
      </c>
      <c r="Q46" s="13">
        <v>2051</v>
      </c>
      <c r="R46" s="14">
        <v>2051</v>
      </c>
      <c r="S46" s="13">
        <v>2051</v>
      </c>
      <c r="T46" s="14">
        <v>2051</v>
      </c>
      <c r="U46" s="13">
        <v>2051</v>
      </c>
      <c r="V46" s="14">
        <v>2051</v>
      </c>
      <c r="W46" s="13">
        <v>2051</v>
      </c>
      <c r="X46" s="14">
        <v>2051</v>
      </c>
    </row>
    <row r="47" spans="1:24" ht="16.5" customHeight="1" x14ac:dyDescent="0.2">
      <c r="A47" s="91"/>
      <c r="B47" s="12" t="s">
        <v>57</v>
      </c>
      <c r="C47" s="13">
        <v>220</v>
      </c>
      <c r="D47" s="14">
        <v>423.58123819000002</v>
      </c>
      <c r="E47" s="13">
        <v>423.58123819000002</v>
      </c>
      <c r="F47" s="14">
        <v>423.58123819000002</v>
      </c>
      <c r="G47" s="13">
        <v>423.58123819000002</v>
      </c>
      <c r="H47" s="14">
        <v>423.58123819000002</v>
      </c>
      <c r="I47" s="13">
        <v>423.58123819000002</v>
      </c>
      <c r="J47" s="14">
        <v>477.29692795</v>
      </c>
      <c r="K47" s="13">
        <v>477.29692795</v>
      </c>
      <c r="L47" s="14">
        <v>477.29692795</v>
      </c>
      <c r="M47" s="13">
        <v>477.29692795</v>
      </c>
      <c r="N47" s="14">
        <v>477.29692795</v>
      </c>
      <c r="O47" s="13">
        <v>477.29692795</v>
      </c>
      <c r="P47" s="14">
        <v>477.29692795</v>
      </c>
      <c r="Q47" s="13">
        <v>477.29692795</v>
      </c>
      <c r="R47" s="14">
        <v>477.29692795</v>
      </c>
      <c r="S47" s="13">
        <v>477.29692795</v>
      </c>
      <c r="T47" s="14">
        <v>477.29692795</v>
      </c>
      <c r="U47" s="13">
        <v>861.89575155</v>
      </c>
      <c r="V47" s="14">
        <v>861.89575155</v>
      </c>
      <c r="W47" s="13">
        <v>894.13763932999996</v>
      </c>
      <c r="X47" s="14">
        <v>894.13763932999996</v>
      </c>
    </row>
    <row r="48" spans="1:24" ht="16.5" customHeight="1" x14ac:dyDescent="0.2">
      <c r="A48" s="91"/>
      <c r="B48" s="12" t="s">
        <v>58</v>
      </c>
      <c r="C48" s="13">
        <v>100</v>
      </c>
      <c r="D48" s="14">
        <v>100</v>
      </c>
      <c r="E48" s="13">
        <v>100</v>
      </c>
      <c r="F48" s="14">
        <v>100</v>
      </c>
      <c r="G48" s="13">
        <v>100</v>
      </c>
      <c r="H48" s="14">
        <v>100</v>
      </c>
      <c r="I48" s="13">
        <v>116.044055</v>
      </c>
      <c r="J48" s="14">
        <v>375.24977000000001</v>
      </c>
      <c r="K48" s="13">
        <v>375.24977000000001</v>
      </c>
      <c r="L48" s="14">
        <v>375.24977000000001</v>
      </c>
      <c r="M48" s="13">
        <v>383.52660100000003</v>
      </c>
      <c r="N48" s="14">
        <v>383.52660100000003</v>
      </c>
      <c r="O48" s="13">
        <v>383.52660100000003</v>
      </c>
      <c r="P48" s="14">
        <v>383.52660100000003</v>
      </c>
      <c r="Q48" s="13">
        <v>507.88423299999999</v>
      </c>
      <c r="R48" s="14">
        <v>507.88423299999999</v>
      </c>
      <c r="S48" s="13">
        <v>507.88423299999999</v>
      </c>
      <c r="T48" s="14">
        <v>507.88423299999999</v>
      </c>
      <c r="U48" s="13">
        <v>507.88423299999999</v>
      </c>
      <c r="V48" s="14">
        <v>507.88423299999999</v>
      </c>
      <c r="W48" s="13">
        <v>507.88423299999999</v>
      </c>
      <c r="X48" s="14">
        <v>507.88423299999999</v>
      </c>
    </row>
    <row r="49" spans="1:24" ht="16.5" customHeight="1" x14ac:dyDescent="0.2">
      <c r="A49" s="91"/>
      <c r="B49" s="12" t="s">
        <v>59</v>
      </c>
      <c r="C49" s="13">
        <v>0</v>
      </c>
      <c r="D49" s="14">
        <v>0</v>
      </c>
      <c r="E49" s="13">
        <v>0</v>
      </c>
      <c r="F49" s="14">
        <v>0</v>
      </c>
      <c r="G49" s="13">
        <v>0</v>
      </c>
      <c r="H49" s="14">
        <v>0</v>
      </c>
      <c r="I49" s="13">
        <v>0</v>
      </c>
      <c r="J49" s="14">
        <v>0</v>
      </c>
      <c r="K49" s="13">
        <v>0</v>
      </c>
      <c r="L49" s="14">
        <v>0</v>
      </c>
      <c r="M49" s="13">
        <v>0</v>
      </c>
      <c r="N49" s="14">
        <v>0</v>
      </c>
      <c r="O49" s="13">
        <v>0</v>
      </c>
      <c r="P49" s="14">
        <v>0</v>
      </c>
      <c r="Q49" s="13">
        <v>0</v>
      </c>
      <c r="R49" s="14">
        <v>0</v>
      </c>
      <c r="S49" s="13">
        <v>0</v>
      </c>
      <c r="T49" s="14">
        <v>0</v>
      </c>
      <c r="U49" s="13">
        <v>0</v>
      </c>
      <c r="V49" s="14">
        <v>0</v>
      </c>
      <c r="W49" s="13">
        <v>0</v>
      </c>
      <c r="X49" s="14">
        <v>0</v>
      </c>
    </row>
    <row r="50" spans="1:24" ht="16.5" customHeight="1" x14ac:dyDescent="0.2">
      <c r="A50" s="91"/>
      <c r="B50" s="12" t="s">
        <v>60</v>
      </c>
      <c r="C50" s="13">
        <v>24.23</v>
      </c>
      <c r="D50" s="14">
        <v>46.9</v>
      </c>
      <c r="E50" s="13">
        <v>77.290000000000006</v>
      </c>
      <c r="F50" s="14">
        <v>107.66</v>
      </c>
      <c r="G50" s="13">
        <v>137.99</v>
      </c>
      <c r="H50" s="14">
        <v>168.29</v>
      </c>
      <c r="I50" s="13">
        <v>199.68</v>
      </c>
      <c r="J50" s="14">
        <v>231.03</v>
      </c>
      <c r="K50" s="13">
        <v>262.33999999999997</v>
      </c>
      <c r="L50" s="14">
        <v>293.61</v>
      </c>
      <c r="M50" s="13">
        <v>324.91000000000003</v>
      </c>
      <c r="N50" s="14">
        <v>356.26</v>
      </c>
      <c r="O50" s="13">
        <v>386.57</v>
      </c>
      <c r="P50" s="14">
        <v>414.76</v>
      </c>
      <c r="Q50" s="13">
        <v>440.84</v>
      </c>
      <c r="R50" s="14">
        <v>461.52</v>
      </c>
      <c r="S50" s="13">
        <v>480.12</v>
      </c>
      <c r="T50" s="14">
        <v>498.84</v>
      </c>
      <c r="U50" s="13">
        <v>516.02</v>
      </c>
      <c r="V50" s="14">
        <v>533.27</v>
      </c>
      <c r="W50" s="13">
        <v>550.45000000000005</v>
      </c>
      <c r="X50" s="14">
        <v>567.74</v>
      </c>
    </row>
    <row r="51" spans="1:24" ht="16.5" customHeight="1" x14ac:dyDescent="0.2">
      <c r="A51" s="91"/>
      <c r="B51" s="12" t="s">
        <v>41</v>
      </c>
      <c r="C51" s="13">
        <v>965</v>
      </c>
      <c r="D51" s="14">
        <v>1037</v>
      </c>
      <c r="E51" s="13">
        <v>1110</v>
      </c>
      <c r="F51" s="14">
        <v>1183</v>
      </c>
      <c r="G51" s="13">
        <v>1255</v>
      </c>
      <c r="H51" s="14">
        <v>1330</v>
      </c>
      <c r="I51" s="13">
        <v>1404</v>
      </c>
      <c r="J51" s="14">
        <v>1477</v>
      </c>
      <c r="K51" s="13">
        <v>1551</v>
      </c>
      <c r="L51" s="14">
        <v>1624</v>
      </c>
      <c r="M51" s="13">
        <v>1697</v>
      </c>
      <c r="N51" s="14">
        <v>1769</v>
      </c>
      <c r="O51" s="13">
        <v>1839</v>
      </c>
      <c r="P51" s="14">
        <v>1906</v>
      </c>
      <c r="Q51" s="13">
        <v>1969</v>
      </c>
      <c r="R51" s="14">
        <v>2029</v>
      </c>
      <c r="S51" s="13">
        <v>2086</v>
      </c>
      <c r="T51" s="14">
        <v>2140</v>
      </c>
      <c r="U51" s="13">
        <v>2193</v>
      </c>
      <c r="V51" s="14">
        <v>2242</v>
      </c>
      <c r="W51" s="13">
        <v>2289</v>
      </c>
      <c r="X51" s="14">
        <v>2329</v>
      </c>
    </row>
    <row r="52" spans="1:24" ht="16.5" customHeight="1" x14ac:dyDescent="0.2">
      <c r="A52" s="92" t="s">
        <v>37</v>
      </c>
      <c r="B52" s="29" t="s">
        <v>54</v>
      </c>
      <c r="C52" s="37">
        <v>0</v>
      </c>
      <c r="D52" s="38">
        <v>0</v>
      </c>
      <c r="E52" s="37">
        <v>0</v>
      </c>
      <c r="F52" s="38">
        <v>0</v>
      </c>
      <c r="G52" s="37">
        <v>0</v>
      </c>
      <c r="H52" s="38">
        <v>0</v>
      </c>
      <c r="I52" s="37">
        <v>0</v>
      </c>
      <c r="J52" s="38">
        <v>0</v>
      </c>
      <c r="K52" s="37">
        <v>0</v>
      </c>
      <c r="L52" s="38">
        <v>0</v>
      </c>
      <c r="M52" s="37">
        <v>0</v>
      </c>
      <c r="N52" s="38">
        <v>0</v>
      </c>
      <c r="O52" s="37">
        <v>0</v>
      </c>
      <c r="P52" s="38">
        <v>0</v>
      </c>
      <c r="Q52" s="37">
        <v>0</v>
      </c>
      <c r="R52" s="38">
        <v>0</v>
      </c>
      <c r="S52" s="37">
        <v>0</v>
      </c>
      <c r="T52" s="38">
        <v>0</v>
      </c>
      <c r="U52" s="37">
        <v>0</v>
      </c>
      <c r="V52" s="38">
        <v>0</v>
      </c>
      <c r="W52" s="37">
        <v>0</v>
      </c>
      <c r="X52" s="38">
        <v>0</v>
      </c>
    </row>
    <row r="53" spans="1:24" ht="16.5" customHeight="1" x14ac:dyDescent="0.2">
      <c r="A53" s="92"/>
      <c r="B53" s="29" t="s">
        <v>55</v>
      </c>
      <c r="C53" s="37">
        <v>4808</v>
      </c>
      <c r="D53" s="38">
        <v>4808</v>
      </c>
      <c r="E53" s="37">
        <v>4808</v>
      </c>
      <c r="F53" s="38">
        <v>4808</v>
      </c>
      <c r="G53" s="37">
        <v>4808</v>
      </c>
      <c r="H53" s="38">
        <v>4808</v>
      </c>
      <c r="I53" s="37">
        <v>4808</v>
      </c>
      <c r="J53" s="38">
        <v>4808</v>
      </c>
      <c r="K53" s="37">
        <v>4808</v>
      </c>
      <c r="L53" s="38">
        <v>4808</v>
      </c>
      <c r="M53" s="37">
        <v>4808</v>
      </c>
      <c r="N53" s="38">
        <v>4808</v>
      </c>
      <c r="O53" s="37">
        <v>4808</v>
      </c>
      <c r="P53" s="38">
        <v>4808</v>
      </c>
      <c r="Q53" s="37">
        <v>3280</v>
      </c>
      <c r="R53" s="38">
        <v>3280</v>
      </c>
      <c r="S53" s="37">
        <v>3280</v>
      </c>
      <c r="T53" s="38">
        <v>3280</v>
      </c>
      <c r="U53" s="37">
        <v>3280</v>
      </c>
      <c r="V53" s="38">
        <v>3280</v>
      </c>
      <c r="W53" s="37">
        <v>3280</v>
      </c>
      <c r="X53" s="38">
        <v>3280</v>
      </c>
    </row>
    <row r="54" spans="1:24" ht="16.5" customHeight="1" x14ac:dyDescent="0.2">
      <c r="A54" s="92"/>
      <c r="B54" s="29" t="s">
        <v>17</v>
      </c>
      <c r="C54" s="37">
        <v>2219</v>
      </c>
      <c r="D54" s="38">
        <v>2219</v>
      </c>
      <c r="E54" s="37">
        <v>2219</v>
      </c>
      <c r="F54" s="38">
        <v>2219</v>
      </c>
      <c r="G54" s="37">
        <v>2219</v>
      </c>
      <c r="H54" s="38">
        <v>2219</v>
      </c>
      <c r="I54" s="37">
        <v>2219</v>
      </c>
      <c r="J54" s="38">
        <v>2219</v>
      </c>
      <c r="K54" s="37">
        <v>2219</v>
      </c>
      <c r="L54" s="38">
        <v>2219</v>
      </c>
      <c r="M54" s="37">
        <v>2219</v>
      </c>
      <c r="N54" s="38">
        <v>2219</v>
      </c>
      <c r="O54" s="37">
        <v>2219</v>
      </c>
      <c r="P54" s="38">
        <v>2219</v>
      </c>
      <c r="Q54" s="37">
        <v>2219</v>
      </c>
      <c r="R54" s="38">
        <v>2219</v>
      </c>
      <c r="S54" s="37">
        <v>2219</v>
      </c>
      <c r="T54" s="38">
        <v>2219</v>
      </c>
      <c r="U54" s="37">
        <v>2219</v>
      </c>
      <c r="V54" s="38">
        <v>2219</v>
      </c>
      <c r="W54" s="37">
        <v>2219</v>
      </c>
      <c r="X54" s="38">
        <v>2219</v>
      </c>
    </row>
    <row r="55" spans="1:24" ht="16.5" customHeight="1" x14ac:dyDescent="0.2">
      <c r="A55" s="92"/>
      <c r="B55" s="29" t="s">
        <v>44</v>
      </c>
      <c r="C55" s="37">
        <v>510</v>
      </c>
      <c r="D55" s="38">
        <v>510</v>
      </c>
      <c r="E55" s="37">
        <v>510</v>
      </c>
      <c r="F55" s="38">
        <v>510</v>
      </c>
      <c r="G55" s="37">
        <v>510</v>
      </c>
      <c r="H55" s="38">
        <v>510</v>
      </c>
      <c r="I55" s="37">
        <v>510</v>
      </c>
      <c r="J55" s="38">
        <v>510</v>
      </c>
      <c r="K55" s="37">
        <v>510</v>
      </c>
      <c r="L55" s="38">
        <v>510</v>
      </c>
      <c r="M55" s="37">
        <v>510</v>
      </c>
      <c r="N55" s="38">
        <v>510</v>
      </c>
      <c r="O55" s="37">
        <v>510</v>
      </c>
      <c r="P55" s="38">
        <v>0</v>
      </c>
      <c r="Q55" s="37">
        <v>0</v>
      </c>
      <c r="R55" s="38">
        <v>0</v>
      </c>
      <c r="S55" s="37">
        <v>400</v>
      </c>
      <c r="T55" s="38">
        <v>2800</v>
      </c>
      <c r="U55" s="37">
        <v>2800</v>
      </c>
      <c r="V55" s="38">
        <v>2800</v>
      </c>
      <c r="W55" s="37">
        <v>2800</v>
      </c>
      <c r="X55" s="38">
        <v>2800</v>
      </c>
    </row>
    <row r="56" spans="1:24" ht="16.5" customHeight="1" x14ac:dyDescent="0.2">
      <c r="A56" s="92"/>
      <c r="B56" s="29" t="s">
        <v>56</v>
      </c>
      <c r="C56" s="37">
        <v>1908</v>
      </c>
      <c r="D56" s="38">
        <v>1908</v>
      </c>
      <c r="E56" s="37">
        <v>1908</v>
      </c>
      <c r="F56" s="38">
        <v>1908</v>
      </c>
      <c r="G56" s="37">
        <v>1908</v>
      </c>
      <c r="H56" s="38">
        <v>1908</v>
      </c>
      <c r="I56" s="37">
        <v>1908</v>
      </c>
      <c r="J56" s="38">
        <v>1908</v>
      </c>
      <c r="K56" s="37">
        <v>1908</v>
      </c>
      <c r="L56" s="38">
        <v>1908</v>
      </c>
      <c r="M56" s="37">
        <v>1908</v>
      </c>
      <c r="N56" s="38">
        <v>1908</v>
      </c>
      <c r="O56" s="37">
        <v>1908</v>
      </c>
      <c r="P56" s="38">
        <v>1908</v>
      </c>
      <c r="Q56" s="37">
        <v>2063.8842300000001</v>
      </c>
      <c r="R56" s="38">
        <v>2063.8842300000001</v>
      </c>
      <c r="S56" s="37">
        <v>2422.6642590000001</v>
      </c>
      <c r="T56" s="38">
        <v>2422.6642590000001</v>
      </c>
      <c r="U56" s="37">
        <v>2422.6642590000001</v>
      </c>
      <c r="V56" s="38">
        <v>2422.6642590000001</v>
      </c>
      <c r="W56" s="37">
        <v>2422.6642590000001</v>
      </c>
      <c r="X56" s="38">
        <v>2422.6642590000001</v>
      </c>
    </row>
    <row r="57" spans="1:24" ht="16.5" customHeight="1" x14ac:dyDescent="0.2">
      <c r="A57" s="92"/>
      <c r="B57" s="29" t="s">
        <v>18</v>
      </c>
      <c r="C57" s="37">
        <v>1941.2</v>
      </c>
      <c r="D57" s="38">
        <v>3183.2</v>
      </c>
      <c r="E57" s="37">
        <v>3583.2</v>
      </c>
      <c r="F57" s="38">
        <v>3983.2</v>
      </c>
      <c r="G57" s="37">
        <v>4383.2</v>
      </c>
      <c r="H57" s="38">
        <v>5276.2</v>
      </c>
      <c r="I57" s="37">
        <v>5676.2</v>
      </c>
      <c r="J57" s="38">
        <v>5676.2</v>
      </c>
      <c r="K57" s="37">
        <v>5676.2</v>
      </c>
      <c r="L57" s="38">
        <v>5676.2</v>
      </c>
      <c r="M57" s="37">
        <v>5676.2</v>
      </c>
      <c r="N57" s="38">
        <v>5676.2</v>
      </c>
      <c r="O57" s="37">
        <v>5676.2</v>
      </c>
      <c r="P57" s="38">
        <v>5676.2</v>
      </c>
      <c r="Q57" s="37">
        <v>5676.2</v>
      </c>
      <c r="R57" s="38">
        <v>5676.2</v>
      </c>
      <c r="S57" s="37">
        <v>5676.2</v>
      </c>
      <c r="T57" s="38">
        <v>5676.2</v>
      </c>
      <c r="U57" s="37">
        <v>5676.2</v>
      </c>
      <c r="V57" s="38">
        <v>5676.2</v>
      </c>
      <c r="W57" s="37">
        <v>5676.2</v>
      </c>
      <c r="X57" s="38">
        <v>5676.2</v>
      </c>
    </row>
    <row r="58" spans="1:24" ht="16.5" customHeight="1" x14ac:dyDescent="0.2">
      <c r="A58" s="92"/>
      <c r="B58" s="29" t="s">
        <v>57</v>
      </c>
      <c r="C58" s="37">
        <v>424</v>
      </c>
      <c r="D58" s="38">
        <v>520</v>
      </c>
      <c r="E58" s="37">
        <v>520</v>
      </c>
      <c r="F58" s="38">
        <v>520</v>
      </c>
      <c r="G58" s="37">
        <v>680</v>
      </c>
      <c r="H58" s="38">
        <v>1264</v>
      </c>
      <c r="I58" s="37">
        <v>1424</v>
      </c>
      <c r="J58" s="38">
        <v>1424</v>
      </c>
      <c r="K58" s="37">
        <v>1424</v>
      </c>
      <c r="L58" s="38">
        <v>1424</v>
      </c>
      <c r="M58" s="37">
        <v>1424</v>
      </c>
      <c r="N58" s="38">
        <v>1424</v>
      </c>
      <c r="O58" s="37">
        <v>1424</v>
      </c>
      <c r="P58" s="38">
        <v>1424</v>
      </c>
      <c r="Q58" s="37">
        <v>1424</v>
      </c>
      <c r="R58" s="38">
        <v>1424</v>
      </c>
      <c r="S58" s="37">
        <v>1424</v>
      </c>
      <c r="T58" s="38">
        <v>1424</v>
      </c>
      <c r="U58" s="37">
        <v>1424</v>
      </c>
      <c r="V58" s="38">
        <v>1424</v>
      </c>
      <c r="W58" s="37">
        <v>1424</v>
      </c>
      <c r="X58" s="38">
        <v>1424</v>
      </c>
    </row>
    <row r="59" spans="1:24" ht="16.5" customHeight="1" x14ac:dyDescent="0.2">
      <c r="A59" s="92"/>
      <c r="B59" s="29" t="s">
        <v>58</v>
      </c>
      <c r="C59" s="37">
        <v>40</v>
      </c>
      <c r="D59" s="38">
        <v>60</v>
      </c>
      <c r="E59" s="37">
        <v>60</v>
      </c>
      <c r="F59" s="38">
        <v>60</v>
      </c>
      <c r="G59" s="37">
        <v>60</v>
      </c>
      <c r="H59" s="38">
        <v>60</v>
      </c>
      <c r="I59" s="37">
        <v>60</v>
      </c>
      <c r="J59" s="38">
        <v>60</v>
      </c>
      <c r="K59" s="37">
        <v>60</v>
      </c>
      <c r="L59" s="38">
        <v>60</v>
      </c>
      <c r="M59" s="37">
        <v>60</v>
      </c>
      <c r="N59" s="38">
        <v>60</v>
      </c>
      <c r="O59" s="37">
        <v>60</v>
      </c>
      <c r="P59" s="38">
        <v>60</v>
      </c>
      <c r="Q59" s="37">
        <v>538.34088999999994</v>
      </c>
      <c r="R59" s="38">
        <v>538.34088999999994</v>
      </c>
      <c r="S59" s="37">
        <v>538.34088999999994</v>
      </c>
      <c r="T59" s="38">
        <v>538.34088999999994</v>
      </c>
      <c r="U59" s="37">
        <v>538.34088999999994</v>
      </c>
      <c r="V59" s="38">
        <v>538.34088999999994</v>
      </c>
      <c r="W59" s="37">
        <v>538.34088999999994</v>
      </c>
      <c r="X59" s="38">
        <v>538.34088999999994</v>
      </c>
    </row>
    <row r="60" spans="1:24" ht="16.5" customHeight="1" x14ac:dyDescent="0.2">
      <c r="A60" s="92"/>
      <c r="B60" s="29" t="s">
        <v>59</v>
      </c>
      <c r="C60" s="37">
        <v>0</v>
      </c>
      <c r="D60" s="38">
        <v>0</v>
      </c>
      <c r="E60" s="37">
        <v>0</v>
      </c>
      <c r="F60" s="38">
        <v>0</v>
      </c>
      <c r="G60" s="37">
        <v>0</v>
      </c>
      <c r="H60" s="38">
        <v>0</v>
      </c>
      <c r="I60" s="37">
        <v>0</v>
      </c>
      <c r="J60" s="38">
        <v>0</v>
      </c>
      <c r="K60" s="37">
        <v>0</v>
      </c>
      <c r="L60" s="38">
        <v>0</v>
      </c>
      <c r="M60" s="37">
        <v>0</v>
      </c>
      <c r="N60" s="38">
        <v>0</v>
      </c>
      <c r="O60" s="37">
        <v>0</v>
      </c>
      <c r="P60" s="38">
        <v>0</v>
      </c>
      <c r="Q60" s="37">
        <v>0</v>
      </c>
      <c r="R60" s="38">
        <v>0</v>
      </c>
      <c r="S60" s="37">
        <v>0</v>
      </c>
      <c r="T60" s="38">
        <v>0</v>
      </c>
      <c r="U60" s="37">
        <v>0</v>
      </c>
      <c r="V60" s="38">
        <v>0</v>
      </c>
      <c r="W60" s="37">
        <v>0</v>
      </c>
      <c r="X60" s="38">
        <v>0</v>
      </c>
    </row>
    <row r="61" spans="1:24" ht="16.5" customHeight="1" x14ac:dyDescent="0.2">
      <c r="A61" s="92"/>
      <c r="B61" s="29" t="s">
        <v>60</v>
      </c>
      <c r="C61" s="37">
        <v>78.650000000000006</v>
      </c>
      <c r="D61" s="38">
        <v>155.44</v>
      </c>
      <c r="E61" s="37">
        <v>249</v>
      </c>
      <c r="F61" s="38">
        <v>322.11</v>
      </c>
      <c r="G61" s="37">
        <v>388.15</v>
      </c>
      <c r="H61" s="38">
        <v>449.18</v>
      </c>
      <c r="I61" s="37">
        <v>510.13</v>
      </c>
      <c r="J61" s="38">
        <v>568.84</v>
      </c>
      <c r="K61" s="37">
        <v>626.16</v>
      </c>
      <c r="L61" s="38">
        <v>680.88</v>
      </c>
      <c r="M61" s="37">
        <v>734.48</v>
      </c>
      <c r="N61" s="38">
        <v>788.43</v>
      </c>
      <c r="O61" s="37">
        <v>842.78</v>
      </c>
      <c r="P61" s="38">
        <v>897.59</v>
      </c>
      <c r="Q61" s="37">
        <v>951.52</v>
      </c>
      <c r="R61" s="38">
        <v>1001.65</v>
      </c>
      <c r="S61" s="37">
        <v>1048.46</v>
      </c>
      <c r="T61" s="38">
        <v>1092.3599999999999</v>
      </c>
      <c r="U61" s="37">
        <v>1132.96</v>
      </c>
      <c r="V61" s="38">
        <v>1171.04</v>
      </c>
      <c r="W61" s="37">
        <v>1206.1600000000001</v>
      </c>
      <c r="X61" s="38">
        <v>1239.3800000000001</v>
      </c>
    </row>
    <row r="62" spans="1:24" ht="16.5" customHeight="1" x14ac:dyDescent="0.2">
      <c r="A62" s="92"/>
      <c r="B62" s="29" t="s">
        <v>41</v>
      </c>
      <c r="C62" s="37">
        <v>1626</v>
      </c>
      <c r="D62" s="38">
        <v>1864</v>
      </c>
      <c r="E62" s="37">
        <v>2090</v>
      </c>
      <c r="F62" s="38">
        <v>2307</v>
      </c>
      <c r="G62" s="37">
        <v>2517</v>
      </c>
      <c r="H62" s="38">
        <v>2724</v>
      </c>
      <c r="I62" s="37">
        <v>2928</v>
      </c>
      <c r="J62" s="38">
        <v>3120</v>
      </c>
      <c r="K62" s="37">
        <v>3300</v>
      </c>
      <c r="L62" s="38">
        <v>3462</v>
      </c>
      <c r="M62" s="37">
        <v>3606</v>
      </c>
      <c r="N62" s="38">
        <v>3747</v>
      </c>
      <c r="O62" s="37">
        <v>3881</v>
      </c>
      <c r="P62" s="38">
        <v>3998</v>
      </c>
      <c r="Q62" s="37">
        <v>4106</v>
      </c>
      <c r="R62" s="38">
        <v>4207</v>
      </c>
      <c r="S62" s="37">
        <v>4300</v>
      </c>
      <c r="T62" s="38">
        <v>4386</v>
      </c>
      <c r="U62" s="37">
        <v>4465</v>
      </c>
      <c r="V62" s="38">
        <v>4537</v>
      </c>
      <c r="W62" s="37">
        <v>4606</v>
      </c>
      <c r="X62" s="38">
        <v>4671</v>
      </c>
    </row>
    <row r="63" spans="1:24" ht="16.5" customHeight="1" x14ac:dyDescent="0.2">
      <c r="A63" s="91" t="s">
        <v>39</v>
      </c>
      <c r="B63" s="12" t="s">
        <v>54</v>
      </c>
      <c r="C63" s="13">
        <v>0</v>
      </c>
      <c r="D63" s="14">
        <v>0</v>
      </c>
      <c r="E63" s="13">
        <v>0</v>
      </c>
      <c r="F63" s="14">
        <v>0</v>
      </c>
      <c r="G63" s="13">
        <v>0</v>
      </c>
      <c r="H63" s="14">
        <v>0</v>
      </c>
      <c r="I63" s="13">
        <v>0</v>
      </c>
      <c r="J63" s="14">
        <v>0</v>
      </c>
      <c r="K63" s="13">
        <v>0</v>
      </c>
      <c r="L63" s="14">
        <v>0</v>
      </c>
      <c r="M63" s="13">
        <v>0</v>
      </c>
      <c r="N63" s="14">
        <v>0</v>
      </c>
      <c r="O63" s="13">
        <v>0</v>
      </c>
      <c r="P63" s="14">
        <v>0</v>
      </c>
      <c r="Q63" s="13">
        <v>0</v>
      </c>
      <c r="R63" s="14">
        <v>0</v>
      </c>
      <c r="S63" s="13">
        <v>0</v>
      </c>
      <c r="T63" s="14">
        <v>0</v>
      </c>
      <c r="U63" s="13">
        <v>0</v>
      </c>
      <c r="V63" s="14">
        <v>0</v>
      </c>
      <c r="W63" s="13">
        <v>0</v>
      </c>
      <c r="X63" s="14">
        <v>0</v>
      </c>
    </row>
    <row r="64" spans="1:24" ht="16.5" customHeight="1" x14ac:dyDescent="0.2">
      <c r="A64" s="91"/>
      <c r="B64" s="12" t="s">
        <v>55</v>
      </c>
      <c r="C64" s="13">
        <v>0</v>
      </c>
      <c r="D64" s="14">
        <v>0</v>
      </c>
      <c r="E64" s="13">
        <v>0</v>
      </c>
      <c r="F64" s="14">
        <v>0</v>
      </c>
      <c r="G64" s="13">
        <v>0</v>
      </c>
      <c r="H64" s="14">
        <v>0</v>
      </c>
      <c r="I64" s="13">
        <v>0</v>
      </c>
      <c r="J64" s="14">
        <v>0</v>
      </c>
      <c r="K64" s="13">
        <v>0</v>
      </c>
      <c r="L64" s="14">
        <v>0</v>
      </c>
      <c r="M64" s="13">
        <v>0</v>
      </c>
      <c r="N64" s="14">
        <v>0</v>
      </c>
      <c r="O64" s="13">
        <v>0</v>
      </c>
      <c r="P64" s="14">
        <v>0</v>
      </c>
      <c r="Q64" s="13">
        <v>0</v>
      </c>
      <c r="R64" s="14">
        <v>0</v>
      </c>
      <c r="S64" s="13">
        <v>0</v>
      </c>
      <c r="T64" s="14">
        <v>0</v>
      </c>
      <c r="U64" s="13">
        <v>0</v>
      </c>
      <c r="V64" s="14">
        <v>0</v>
      </c>
      <c r="W64" s="13">
        <v>0</v>
      </c>
      <c r="X64" s="14">
        <v>0</v>
      </c>
    </row>
    <row r="65" spans="1:24" ht="16.5" customHeight="1" x14ac:dyDescent="0.2">
      <c r="A65" s="91"/>
      <c r="B65" s="12" t="s">
        <v>17</v>
      </c>
      <c r="C65" s="13">
        <v>2170.1</v>
      </c>
      <c r="D65" s="14">
        <v>2170.1</v>
      </c>
      <c r="E65" s="13">
        <v>2170.1</v>
      </c>
      <c r="F65" s="14">
        <v>2170.1</v>
      </c>
      <c r="G65" s="13">
        <v>2170.1</v>
      </c>
      <c r="H65" s="14">
        <v>2170.1</v>
      </c>
      <c r="I65" s="13">
        <v>2170.1</v>
      </c>
      <c r="J65" s="14">
        <v>2170.1</v>
      </c>
      <c r="K65" s="13">
        <v>2170.1</v>
      </c>
      <c r="L65" s="14">
        <v>2170.1</v>
      </c>
      <c r="M65" s="13">
        <v>2170.1</v>
      </c>
      <c r="N65" s="14">
        <v>2170.1</v>
      </c>
      <c r="O65" s="13">
        <v>2170.1</v>
      </c>
      <c r="P65" s="14">
        <v>2170.1</v>
      </c>
      <c r="Q65" s="13">
        <v>2170.1</v>
      </c>
      <c r="R65" s="14">
        <v>2170.1</v>
      </c>
      <c r="S65" s="13">
        <v>2170.1</v>
      </c>
      <c r="T65" s="14">
        <v>2170.1</v>
      </c>
      <c r="U65" s="13">
        <v>2170.1</v>
      </c>
      <c r="V65" s="14">
        <v>2170.1</v>
      </c>
      <c r="W65" s="13">
        <v>2170.1</v>
      </c>
      <c r="X65" s="14">
        <v>2170.1</v>
      </c>
    </row>
    <row r="66" spans="1:24" ht="16.5" customHeight="1" x14ac:dyDescent="0.2">
      <c r="A66" s="91"/>
      <c r="B66" s="12" t="s">
        <v>44</v>
      </c>
      <c r="C66" s="13">
        <v>0</v>
      </c>
      <c r="D66" s="14">
        <v>0</v>
      </c>
      <c r="E66" s="13">
        <v>0</v>
      </c>
      <c r="F66" s="14">
        <v>0</v>
      </c>
      <c r="G66" s="13">
        <v>0</v>
      </c>
      <c r="H66" s="14">
        <v>0</v>
      </c>
      <c r="I66" s="13">
        <v>0</v>
      </c>
      <c r="J66" s="14">
        <v>0</v>
      </c>
      <c r="K66" s="13">
        <v>0</v>
      </c>
      <c r="L66" s="14">
        <v>0</v>
      </c>
      <c r="M66" s="13">
        <v>0</v>
      </c>
      <c r="N66" s="14">
        <v>0</v>
      </c>
      <c r="O66" s="13">
        <v>0</v>
      </c>
      <c r="P66" s="14">
        <v>0</v>
      </c>
      <c r="Q66" s="13">
        <v>0</v>
      </c>
      <c r="R66" s="14">
        <v>0</v>
      </c>
      <c r="S66" s="13">
        <v>0</v>
      </c>
      <c r="T66" s="14">
        <v>0</v>
      </c>
      <c r="U66" s="13">
        <v>0</v>
      </c>
      <c r="V66" s="14">
        <v>0</v>
      </c>
      <c r="W66" s="13">
        <v>0</v>
      </c>
      <c r="X66" s="14">
        <v>0</v>
      </c>
    </row>
    <row r="67" spans="1:24" ht="16.5" customHeight="1" x14ac:dyDescent="0.2">
      <c r="A67" s="91"/>
      <c r="B67" s="12" t="s">
        <v>56</v>
      </c>
      <c r="C67" s="13">
        <v>163</v>
      </c>
      <c r="D67" s="14">
        <v>163</v>
      </c>
      <c r="E67" s="13">
        <v>163</v>
      </c>
      <c r="F67" s="14">
        <v>163</v>
      </c>
      <c r="G67" s="13">
        <v>163</v>
      </c>
      <c r="H67" s="14">
        <v>163</v>
      </c>
      <c r="I67" s="13">
        <v>163</v>
      </c>
      <c r="J67" s="14">
        <v>163</v>
      </c>
      <c r="K67" s="13">
        <v>163</v>
      </c>
      <c r="L67" s="14">
        <v>163</v>
      </c>
      <c r="M67" s="13">
        <v>163</v>
      </c>
      <c r="N67" s="14">
        <v>163</v>
      </c>
      <c r="O67" s="13">
        <v>163</v>
      </c>
      <c r="P67" s="14">
        <v>163</v>
      </c>
      <c r="Q67" s="13">
        <v>163</v>
      </c>
      <c r="R67" s="14">
        <v>163</v>
      </c>
      <c r="S67" s="13">
        <v>163</v>
      </c>
      <c r="T67" s="14">
        <v>163</v>
      </c>
      <c r="U67" s="13">
        <v>163</v>
      </c>
      <c r="V67" s="14">
        <v>163</v>
      </c>
      <c r="W67" s="13">
        <v>163</v>
      </c>
      <c r="X67" s="14">
        <v>163</v>
      </c>
    </row>
    <row r="68" spans="1:24" ht="16.5" customHeight="1" x14ac:dyDescent="0.2">
      <c r="A68" s="91"/>
      <c r="B68" s="12" t="s">
        <v>18</v>
      </c>
      <c r="C68" s="13">
        <v>308</v>
      </c>
      <c r="D68" s="14">
        <v>308</v>
      </c>
      <c r="E68" s="13">
        <v>308</v>
      </c>
      <c r="F68" s="14">
        <v>308</v>
      </c>
      <c r="G68" s="13">
        <v>308</v>
      </c>
      <c r="H68" s="14">
        <v>308</v>
      </c>
      <c r="I68" s="13">
        <v>308</v>
      </c>
      <c r="J68" s="14">
        <v>308</v>
      </c>
      <c r="K68" s="13">
        <v>308</v>
      </c>
      <c r="L68" s="14">
        <v>308</v>
      </c>
      <c r="M68" s="13">
        <v>308</v>
      </c>
      <c r="N68" s="14">
        <v>308</v>
      </c>
      <c r="O68" s="13">
        <v>308</v>
      </c>
      <c r="P68" s="14">
        <v>308</v>
      </c>
      <c r="Q68" s="13">
        <v>463.08955384000001</v>
      </c>
      <c r="R68" s="14">
        <v>474.24858416999996</v>
      </c>
      <c r="S68" s="13">
        <v>474.24858416999996</v>
      </c>
      <c r="T68" s="14">
        <v>474.24858416999996</v>
      </c>
      <c r="U68" s="13">
        <v>537.08470439000007</v>
      </c>
      <c r="V68" s="14">
        <v>537.08470439000007</v>
      </c>
      <c r="W68" s="13">
        <v>619.63119929999993</v>
      </c>
      <c r="X68" s="14">
        <v>619.86207990999992</v>
      </c>
    </row>
    <row r="69" spans="1:24" ht="16.5" customHeight="1" x14ac:dyDescent="0.2">
      <c r="A69" s="91"/>
      <c r="B69" s="12" t="s">
        <v>57</v>
      </c>
      <c r="C69" s="13">
        <v>0</v>
      </c>
      <c r="D69" s="14">
        <v>0</v>
      </c>
      <c r="E69" s="13">
        <v>0</v>
      </c>
      <c r="F69" s="14">
        <v>0</v>
      </c>
      <c r="G69" s="13">
        <v>0</v>
      </c>
      <c r="H69" s="14">
        <v>0</v>
      </c>
      <c r="I69" s="13">
        <v>0</v>
      </c>
      <c r="J69" s="14">
        <v>0</v>
      </c>
      <c r="K69" s="13">
        <v>0</v>
      </c>
      <c r="L69" s="14">
        <v>0</v>
      </c>
      <c r="M69" s="13">
        <v>0</v>
      </c>
      <c r="N69" s="14">
        <v>0</v>
      </c>
      <c r="O69" s="13">
        <v>0</v>
      </c>
      <c r="P69" s="14">
        <v>0</v>
      </c>
      <c r="Q69" s="13">
        <v>0</v>
      </c>
      <c r="R69" s="14">
        <v>0</v>
      </c>
      <c r="S69" s="13">
        <v>0</v>
      </c>
      <c r="T69" s="14">
        <v>0</v>
      </c>
      <c r="U69" s="13">
        <v>0</v>
      </c>
      <c r="V69" s="14">
        <v>0</v>
      </c>
      <c r="W69" s="13">
        <v>0</v>
      </c>
      <c r="X69" s="14">
        <v>0</v>
      </c>
    </row>
    <row r="70" spans="1:24" ht="16.5" customHeight="1" x14ac:dyDescent="0.2">
      <c r="A70" s="91"/>
      <c r="B70" s="12" t="s">
        <v>58</v>
      </c>
      <c r="C70" s="13">
        <v>0</v>
      </c>
      <c r="D70" s="14">
        <v>0</v>
      </c>
      <c r="E70" s="13">
        <v>0</v>
      </c>
      <c r="F70" s="14">
        <v>0</v>
      </c>
      <c r="G70" s="13">
        <v>0</v>
      </c>
      <c r="H70" s="14">
        <v>0</v>
      </c>
      <c r="I70" s="13">
        <v>0</v>
      </c>
      <c r="J70" s="14">
        <v>0</v>
      </c>
      <c r="K70" s="13">
        <v>0</v>
      </c>
      <c r="L70" s="14">
        <v>0</v>
      </c>
      <c r="M70" s="13">
        <v>0</v>
      </c>
      <c r="N70" s="14">
        <v>0</v>
      </c>
      <c r="O70" s="13">
        <v>0</v>
      </c>
      <c r="P70" s="14">
        <v>0</v>
      </c>
      <c r="Q70" s="13">
        <v>0</v>
      </c>
      <c r="R70" s="14">
        <v>0</v>
      </c>
      <c r="S70" s="13">
        <v>0</v>
      </c>
      <c r="T70" s="14">
        <v>0</v>
      </c>
      <c r="U70" s="13">
        <v>0</v>
      </c>
      <c r="V70" s="14">
        <v>0</v>
      </c>
      <c r="W70" s="13">
        <v>0</v>
      </c>
      <c r="X70" s="14">
        <v>0</v>
      </c>
    </row>
    <row r="71" spans="1:24" ht="16.5" customHeight="1" x14ac:dyDescent="0.2">
      <c r="A71" s="91"/>
      <c r="B71" s="12" t="s">
        <v>59</v>
      </c>
      <c r="C71" s="13">
        <v>0</v>
      </c>
      <c r="D71" s="14">
        <v>0</v>
      </c>
      <c r="E71" s="13">
        <v>0</v>
      </c>
      <c r="F71" s="14">
        <v>0</v>
      </c>
      <c r="G71" s="13">
        <v>0</v>
      </c>
      <c r="H71" s="14">
        <v>0</v>
      </c>
      <c r="I71" s="13">
        <v>0</v>
      </c>
      <c r="J71" s="14">
        <v>0</v>
      </c>
      <c r="K71" s="13">
        <v>0</v>
      </c>
      <c r="L71" s="14">
        <v>0</v>
      </c>
      <c r="M71" s="13">
        <v>0</v>
      </c>
      <c r="N71" s="14">
        <v>0</v>
      </c>
      <c r="O71" s="13">
        <v>0</v>
      </c>
      <c r="P71" s="14">
        <v>0</v>
      </c>
      <c r="Q71" s="13">
        <v>0</v>
      </c>
      <c r="R71" s="14">
        <v>0</v>
      </c>
      <c r="S71" s="13">
        <v>0</v>
      </c>
      <c r="T71" s="14">
        <v>0</v>
      </c>
      <c r="U71" s="13">
        <v>0</v>
      </c>
      <c r="V71" s="14">
        <v>0</v>
      </c>
      <c r="W71" s="13">
        <v>0</v>
      </c>
      <c r="X71" s="14">
        <v>0</v>
      </c>
    </row>
    <row r="72" spans="1:24" ht="16.5" customHeight="1" x14ac:dyDescent="0.2">
      <c r="A72" s="91"/>
      <c r="B72" s="12" t="s">
        <v>60</v>
      </c>
      <c r="C72" s="13">
        <v>5.78</v>
      </c>
      <c r="D72" s="14">
        <v>11.05</v>
      </c>
      <c r="E72" s="13">
        <v>17.489999999999998</v>
      </c>
      <c r="F72" s="14">
        <v>23.36</v>
      </c>
      <c r="G72" s="13">
        <v>29.72</v>
      </c>
      <c r="H72" s="14">
        <v>33.159999999999997</v>
      </c>
      <c r="I72" s="13">
        <v>35.43</v>
      </c>
      <c r="J72" s="14">
        <v>36.409999999999997</v>
      </c>
      <c r="K72" s="13">
        <v>37.369999999999997</v>
      </c>
      <c r="L72" s="14">
        <v>38.119999999999997</v>
      </c>
      <c r="M72" s="13">
        <v>38.659999999999997</v>
      </c>
      <c r="N72" s="14">
        <v>39.270000000000003</v>
      </c>
      <c r="O72" s="13">
        <v>39.909999999999997</v>
      </c>
      <c r="P72" s="14">
        <v>40.549999999999997</v>
      </c>
      <c r="Q72" s="13">
        <v>41.21</v>
      </c>
      <c r="R72" s="14">
        <v>41.88</v>
      </c>
      <c r="S72" s="13">
        <v>42.55</v>
      </c>
      <c r="T72" s="14">
        <v>43.23</v>
      </c>
      <c r="U72" s="13">
        <v>43.91</v>
      </c>
      <c r="V72" s="14">
        <v>44.59</v>
      </c>
      <c r="W72" s="13">
        <v>45.27</v>
      </c>
      <c r="X72" s="14">
        <v>45.95</v>
      </c>
    </row>
    <row r="73" spans="1:24" ht="16.5" customHeight="1" x14ac:dyDescent="0.2">
      <c r="A73" s="91"/>
      <c r="B73" s="12" t="s">
        <v>41</v>
      </c>
      <c r="C73" s="13">
        <v>150</v>
      </c>
      <c r="D73" s="14">
        <v>169</v>
      </c>
      <c r="E73" s="13">
        <v>187</v>
      </c>
      <c r="F73" s="14">
        <v>201</v>
      </c>
      <c r="G73" s="13">
        <v>210</v>
      </c>
      <c r="H73" s="14">
        <v>214</v>
      </c>
      <c r="I73" s="13">
        <v>216</v>
      </c>
      <c r="J73" s="14">
        <v>218</v>
      </c>
      <c r="K73" s="13">
        <v>219</v>
      </c>
      <c r="L73" s="14">
        <v>220</v>
      </c>
      <c r="M73" s="13">
        <v>222</v>
      </c>
      <c r="N73" s="14">
        <v>223</v>
      </c>
      <c r="O73" s="13">
        <v>224</v>
      </c>
      <c r="P73" s="14">
        <v>225</v>
      </c>
      <c r="Q73" s="13">
        <v>227</v>
      </c>
      <c r="R73" s="14">
        <v>228</v>
      </c>
      <c r="S73" s="13">
        <v>229</v>
      </c>
      <c r="T73" s="14">
        <v>231</v>
      </c>
      <c r="U73" s="13">
        <v>232</v>
      </c>
      <c r="V73" s="14">
        <v>233</v>
      </c>
      <c r="W73" s="13">
        <v>235</v>
      </c>
      <c r="X73" s="14">
        <v>236</v>
      </c>
    </row>
  </sheetData>
  <mergeCells count="6">
    <mergeCell ref="A63:A73"/>
    <mergeCell ref="A3:A14"/>
    <mergeCell ref="A19:A29"/>
    <mergeCell ref="A30:A40"/>
    <mergeCell ref="A41:A51"/>
    <mergeCell ref="A52:A6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85"/>
  <sheetViews>
    <sheetView zoomScaleNormal="100" workbookViewId="0"/>
  </sheetViews>
  <sheetFormatPr defaultColWidth="9.140625" defaultRowHeight="16.5" customHeight="1" x14ac:dyDescent="0.2"/>
  <cols>
    <col min="1" max="1" width="24.28515625" style="2" customWidth="1"/>
    <col min="2" max="2" width="19.5703125" style="2" customWidth="1"/>
    <col min="3" max="24" width="10.42578125" style="26" customWidth="1"/>
    <col min="25" max="16384" width="9.140625" style="2"/>
  </cols>
  <sheetData>
    <row r="1" spans="1:24" ht="16.5" customHeight="1" x14ac:dyDescent="0.25">
      <c r="A1" s="25" t="s">
        <v>69</v>
      </c>
    </row>
    <row r="2" spans="1:24" s="11" customFormat="1" ht="16.5" customHeight="1" x14ac:dyDescent="0.2">
      <c r="A2" s="27" t="s">
        <v>34</v>
      </c>
      <c r="B2" s="8" t="s">
        <v>20</v>
      </c>
      <c r="C2" s="9" t="s">
        <v>0</v>
      </c>
      <c r="D2" s="10" t="s">
        <v>1</v>
      </c>
      <c r="E2" s="9" t="s">
        <v>2</v>
      </c>
      <c r="F2" s="10" t="s">
        <v>3</v>
      </c>
      <c r="G2" s="9" t="s">
        <v>4</v>
      </c>
      <c r="H2" s="10" t="s">
        <v>5</v>
      </c>
      <c r="I2" s="9" t="s">
        <v>6</v>
      </c>
      <c r="J2" s="10" t="s">
        <v>7</v>
      </c>
      <c r="K2" s="9" t="s">
        <v>8</v>
      </c>
      <c r="L2" s="10" t="s">
        <v>9</v>
      </c>
      <c r="M2" s="9" t="s">
        <v>10</v>
      </c>
      <c r="N2" s="10" t="s">
        <v>11</v>
      </c>
      <c r="O2" s="9" t="s">
        <v>12</v>
      </c>
      <c r="P2" s="10" t="s">
        <v>13</v>
      </c>
      <c r="Q2" s="9" t="s">
        <v>14</v>
      </c>
      <c r="R2" s="10" t="s">
        <v>15</v>
      </c>
      <c r="S2" s="9" t="s">
        <v>16</v>
      </c>
      <c r="T2" s="10" t="s">
        <v>45</v>
      </c>
      <c r="U2" s="9" t="s">
        <v>61</v>
      </c>
      <c r="V2" s="10" t="s">
        <v>62</v>
      </c>
      <c r="W2" s="9" t="s">
        <v>63</v>
      </c>
      <c r="X2" s="10" t="s">
        <v>64</v>
      </c>
    </row>
    <row r="3" spans="1:24" ht="16.5" customHeight="1" x14ac:dyDescent="0.2">
      <c r="A3" s="93" t="s">
        <v>42</v>
      </c>
      <c r="B3" s="12" t="s">
        <v>54</v>
      </c>
      <c r="C3" s="13">
        <v>105738.3894447238</v>
      </c>
      <c r="D3" s="14">
        <v>101616.95548342142</v>
      </c>
      <c r="E3" s="13">
        <v>98988.551841825072</v>
      </c>
      <c r="F3" s="14">
        <v>102157.62925337083</v>
      </c>
      <c r="G3" s="13">
        <v>96978.223702757066</v>
      </c>
      <c r="H3" s="14">
        <v>95525.334108213487</v>
      </c>
      <c r="I3" s="13">
        <v>93099.780379114964</v>
      </c>
      <c r="J3" s="14">
        <v>89046.895252904622</v>
      </c>
      <c r="K3" s="13">
        <v>86832.846880167024</v>
      </c>
      <c r="L3" s="14">
        <v>85827.489969972055</v>
      </c>
      <c r="M3" s="13">
        <v>80838.758776850809</v>
      </c>
      <c r="N3" s="14">
        <v>73531.929740407286</v>
      </c>
      <c r="O3" s="13">
        <v>73187.161346584835</v>
      </c>
      <c r="P3" s="14">
        <v>70673.269352578674</v>
      </c>
      <c r="Q3" s="13">
        <v>71835.736234942917</v>
      </c>
      <c r="R3" s="14">
        <v>69440.010584090385</v>
      </c>
      <c r="S3" s="13">
        <v>59493.616095812082</v>
      </c>
      <c r="T3" s="14">
        <v>44706.561542805597</v>
      </c>
      <c r="U3" s="13">
        <v>36628.188797324139</v>
      </c>
      <c r="V3" s="14">
        <v>33388.078492568369</v>
      </c>
      <c r="W3" s="13">
        <v>33532.051748011021</v>
      </c>
      <c r="X3" s="14">
        <v>33635.511598412784</v>
      </c>
    </row>
    <row r="4" spans="1:24" ht="16.5" customHeight="1" x14ac:dyDescent="0.2">
      <c r="A4" s="94"/>
      <c r="B4" s="12" t="s">
        <v>55</v>
      </c>
      <c r="C4" s="13">
        <v>32184.499307837919</v>
      </c>
      <c r="D4" s="14">
        <v>32191.753509514339</v>
      </c>
      <c r="E4" s="13">
        <v>32256.300686468989</v>
      </c>
      <c r="F4" s="14">
        <v>32545.616636965606</v>
      </c>
      <c r="G4" s="13">
        <v>30103.304089523237</v>
      </c>
      <c r="H4" s="14">
        <v>29998.501592662647</v>
      </c>
      <c r="I4" s="13">
        <v>32553.046982392421</v>
      </c>
      <c r="J4" s="14">
        <v>32563.90355194451</v>
      </c>
      <c r="K4" s="13">
        <v>28773.58408255114</v>
      </c>
      <c r="L4" s="14">
        <v>32471.792321209621</v>
      </c>
      <c r="M4" s="13">
        <v>28719.402290572209</v>
      </c>
      <c r="N4" s="14">
        <v>28634.507799898878</v>
      </c>
      <c r="O4" s="13">
        <v>32086.521190765947</v>
      </c>
      <c r="P4" s="14">
        <v>32151.441502535421</v>
      </c>
      <c r="Q4" s="13">
        <v>22369.636801931982</v>
      </c>
      <c r="R4" s="14">
        <v>22365.30557948802</v>
      </c>
      <c r="S4" s="13">
        <v>22421.484399000354</v>
      </c>
      <c r="T4" s="14">
        <v>22538.901509707452</v>
      </c>
      <c r="U4" s="13">
        <v>18692.36366302934</v>
      </c>
      <c r="V4" s="14">
        <v>22465.052082931779</v>
      </c>
      <c r="W4" s="13">
        <v>18754.036659587022</v>
      </c>
      <c r="X4" s="14">
        <v>18749.346128128262</v>
      </c>
    </row>
    <row r="5" spans="1:24" ht="16.5" customHeight="1" x14ac:dyDescent="0.2">
      <c r="A5" s="94"/>
      <c r="B5" s="12" t="s">
        <v>17</v>
      </c>
      <c r="C5" s="13">
        <v>15797.150798448924</v>
      </c>
      <c r="D5" s="14">
        <v>15840.43066365019</v>
      </c>
      <c r="E5" s="13">
        <v>15797.150798448811</v>
      </c>
      <c r="F5" s="14">
        <v>15797.1507984489</v>
      </c>
      <c r="G5" s="13">
        <v>15797.15079844916</v>
      </c>
      <c r="H5" s="14">
        <v>15840.430663650131</v>
      </c>
      <c r="I5" s="13">
        <v>15729.268557402942</v>
      </c>
      <c r="J5" s="14">
        <v>15797.150798448982</v>
      </c>
      <c r="K5" s="13">
        <v>15797.150798448922</v>
      </c>
      <c r="L5" s="14">
        <v>15840.430663650113</v>
      </c>
      <c r="M5" s="13">
        <v>15797.150798449022</v>
      </c>
      <c r="N5" s="14">
        <v>15797.150798449091</v>
      </c>
      <c r="O5" s="13">
        <v>15797.150798448982</v>
      </c>
      <c r="P5" s="14">
        <v>15840.430663650119</v>
      </c>
      <c r="Q5" s="13">
        <v>15797.150798448971</v>
      </c>
      <c r="R5" s="14">
        <v>15797.150798448971</v>
      </c>
      <c r="S5" s="13">
        <v>15797.150798449062</v>
      </c>
      <c r="T5" s="14">
        <v>15840.430663650202</v>
      </c>
      <c r="U5" s="13">
        <v>15797.150798449033</v>
      </c>
      <c r="V5" s="14">
        <v>15797.150798449111</v>
      </c>
      <c r="W5" s="13">
        <v>15797.150798448942</v>
      </c>
      <c r="X5" s="14">
        <v>15840.430663650151</v>
      </c>
    </row>
    <row r="6" spans="1:24" ht="16.5" customHeight="1" x14ac:dyDescent="0.2">
      <c r="A6" s="94"/>
      <c r="B6" s="12" t="s">
        <v>44</v>
      </c>
      <c r="C6" s="13">
        <v>14101</v>
      </c>
      <c r="D6" s="14">
        <v>11137</v>
      </c>
      <c r="E6" s="13">
        <v>11048</v>
      </c>
      <c r="F6" s="14">
        <v>6262</v>
      </c>
      <c r="G6" s="13">
        <v>9568</v>
      </c>
      <c r="H6" s="14">
        <v>8547</v>
      </c>
      <c r="I6" s="13">
        <v>3959</v>
      </c>
      <c r="J6" s="14">
        <v>5820</v>
      </c>
      <c r="K6" s="13">
        <v>8197</v>
      </c>
      <c r="L6" s="14">
        <v>4855</v>
      </c>
      <c r="M6" s="13">
        <v>7328</v>
      </c>
      <c r="N6" s="14">
        <v>9767</v>
      </c>
      <c r="O6" s="13">
        <v>9173</v>
      </c>
      <c r="P6" s="14">
        <v>12114</v>
      </c>
      <c r="Q6" s="13">
        <v>16925</v>
      </c>
      <c r="R6" s="14">
        <v>17562</v>
      </c>
      <c r="S6" s="13">
        <v>29931</v>
      </c>
      <c r="T6" s="14">
        <v>45845</v>
      </c>
      <c r="U6" s="13">
        <v>52906</v>
      </c>
      <c r="V6" s="14">
        <v>52386</v>
      </c>
      <c r="W6" s="13">
        <v>53456</v>
      </c>
      <c r="X6" s="14">
        <v>53380</v>
      </c>
    </row>
    <row r="7" spans="1:24" ht="16.5" customHeight="1" x14ac:dyDescent="0.2">
      <c r="A7" s="94"/>
      <c r="B7" s="12" t="s">
        <v>56</v>
      </c>
      <c r="C7" s="13">
        <v>1232</v>
      </c>
      <c r="D7" s="14">
        <v>557</v>
      </c>
      <c r="E7" s="13">
        <v>469</v>
      </c>
      <c r="F7" s="14">
        <v>177</v>
      </c>
      <c r="G7" s="13">
        <v>545</v>
      </c>
      <c r="H7" s="14">
        <v>335</v>
      </c>
      <c r="I7" s="13">
        <v>900</v>
      </c>
      <c r="J7" s="14">
        <v>1308</v>
      </c>
      <c r="K7" s="13">
        <v>2033</v>
      </c>
      <c r="L7" s="14">
        <v>894</v>
      </c>
      <c r="M7" s="13">
        <v>1812</v>
      </c>
      <c r="N7" s="14">
        <v>4307</v>
      </c>
      <c r="O7" s="13">
        <v>2394</v>
      </c>
      <c r="P7" s="14">
        <v>2616</v>
      </c>
      <c r="Q7" s="13">
        <v>2930</v>
      </c>
      <c r="R7" s="14">
        <v>4131</v>
      </c>
      <c r="S7" s="13">
        <v>3257</v>
      </c>
      <c r="T7" s="14">
        <v>1169</v>
      </c>
      <c r="U7" s="13">
        <v>6684</v>
      </c>
      <c r="V7" s="14">
        <v>8463</v>
      </c>
      <c r="W7" s="13">
        <v>11558</v>
      </c>
      <c r="X7" s="14">
        <v>12618</v>
      </c>
    </row>
    <row r="8" spans="1:24" ht="16.5" customHeight="1" x14ac:dyDescent="0.2">
      <c r="A8" s="94"/>
      <c r="B8" s="12" t="s">
        <v>18</v>
      </c>
      <c r="C8" s="13">
        <v>18209.462649832865</v>
      </c>
      <c r="D8" s="14">
        <v>24360.551369952649</v>
      </c>
      <c r="E8" s="13">
        <v>26243.735571411911</v>
      </c>
      <c r="F8" s="14">
        <v>27379.906753221818</v>
      </c>
      <c r="G8" s="13">
        <v>28941.545151687642</v>
      </c>
      <c r="H8" s="14">
        <v>30935.750070108228</v>
      </c>
      <c r="I8" s="13">
        <v>32477.112479098458</v>
      </c>
      <c r="J8" s="14">
        <v>32561.975720766008</v>
      </c>
      <c r="K8" s="13">
        <v>33496.168806826689</v>
      </c>
      <c r="L8" s="14">
        <v>33383.592832661438</v>
      </c>
      <c r="M8" s="13">
        <v>35894.966854456608</v>
      </c>
      <c r="N8" s="14">
        <v>37497.482078995024</v>
      </c>
      <c r="O8" s="13">
        <v>36106.648788395571</v>
      </c>
      <c r="P8" s="14">
        <v>36296.595031965953</v>
      </c>
      <c r="Q8" s="13">
        <v>38119.173844639547</v>
      </c>
      <c r="R8" s="14">
        <v>38586.644290728167</v>
      </c>
      <c r="S8" s="13">
        <v>38912.418947963721</v>
      </c>
      <c r="T8" s="14">
        <v>39077.610564522045</v>
      </c>
      <c r="U8" s="13">
        <v>39444.807319534695</v>
      </c>
      <c r="V8" s="14">
        <v>39233.920139882481</v>
      </c>
      <c r="W8" s="13">
        <v>39836.273269514975</v>
      </c>
      <c r="X8" s="14">
        <v>40730.097730267895</v>
      </c>
    </row>
    <row r="9" spans="1:24" ht="16.5" customHeight="1" x14ac:dyDescent="0.2">
      <c r="A9" s="94"/>
      <c r="B9" s="12" t="s">
        <v>57</v>
      </c>
      <c r="C9" s="13">
        <v>4830.3847271585701</v>
      </c>
      <c r="D9" s="14">
        <v>7336.700339759489</v>
      </c>
      <c r="E9" s="13">
        <v>7308.6376109989696</v>
      </c>
      <c r="F9" s="14">
        <v>7311.0577166809408</v>
      </c>
      <c r="G9" s="13">
        <v>8442.621739405311</v>
      </c>
      <c r="H9" s="14">
        <v>9909.6142750930121</v>
      </c>
      <c r="I9" s="13">
        <v>11619.59511772065</v>
      </c>
      <c r="J9" s="14">
        <v>14669.89728600023</v>
      </c>
      <c r="K9" s="13">
        <v>16757.370604976088</v>
      </c>
      <c r="L9" s="14">
        <v>18714.302239939429</v>
      </c>
      <c r="M9" s="13">
        <v>19531.840053491869</v>
      </c>
      <c r="N9" s="14">
        <v>20124.08921502177</v>
      </c>
      <c r="O9" s="13">
        <v>20057.121493792361</v>
      </c>
      <c r="P9" s="14">
        <v>20099.41294616435</v>
      </c>
      <c r="Q9" s="13">
        <v>20114.336199622532</v>
      </c>
      <c r="R9" s="14">
        <v>20041.934809616763</v>
      </c>
      <c r="S9" s="13">
        <v>19978.78773563209</v>
      </c>
      <c r="T9" s="14">
        <v>20071.049950922919</v>
      </c>
      <c r="U9" s="13">
        <v>21443.438815219921</v>
      </c>
      <c r="V9" s="14">
        <v>21515.369133209722</v>
      </c>
      <c r="W9" s="13">
        <v>21619.72246510299</v>
      </c>
      <c r="X9" s="14">
        <v>21615.589854616486</v>
      </c>
    </row>
    <row r="10" spans="1:24" ht="16.5" customHeight="1" x14ac:dyDescent="0.2">
      <c r="A10" s="94"/>
      <c r="B10" s="12" t="s">
        <v>65</v>
      </c>
      <c r="C10" s="13">
        <v>-129.64786896908885</v>
      </c>
      <c r="D10" s="14">
        <v>-256.83333478139991</v>
      </c>
      <c r="E10" s="13">
        <v>-368.87504838857768</v>
      </c>
      <c r="F10" s="14">
        <v>-564.10106112270023</v>
      </c>
      <c r="G10" s="13">
        <v>-813.60427256274409</v>
      </c>
      <c r="H10" s="14">
        <v>-1020.9229514156661</v>
      </c>
      <c r="I10" s="13">
        <v>-1170.7292633982761</v>
      </c>
      <c r="J10" s="14">
        <v>-1325.2948361513579</v>
      </c>
      <c r="K10" s="13">
        <v>-1493.00154131709</v>
      </c>
      <c r="L10" s="14">
        <v>-1652.35975382981</v>
      </c>
      <c r="M10" s="13">
        <v>-1876.8491130103691</v>
      </c>
      <c r="N10" s="14">
        <v>-2019.7325104273577</v>
      </c>
      <c r="O10" s="13">
        <v>-2127.2645664615989</v>
      </c>
      <c r="P10" s="14">
        <v>-2268.4753258598221</v>
      </c>
      <c r="Q10" s="13">
        <v>-2391.6936488850988</v>
      </c>
      <c r="R10" s="14">
        <v>-2511.7484551140456</v>
      </c>
      <c r="S10" s="13">
        <v>-2636.589618768011</v>
      </c>
      <c r="T10" s="14">
        <v>-2459.2875250201992</v>
      </c>
      <c r="U10" s="13">
        <v>-2919.694432855621</v>
      </c>
      <c r="V10" s="14">
        <v>-3039.0088063679323</v>
      </c>
      <c r="W10" s="13">
        <v>-3129.3000658576661</v>
      </c>
      <c r="X10" s="14">
        <v>-3254.9436558491357</v>
      </c>
    </row>
    <row r="11" spans="1:24" ht="16.5" customHeight="1" x14ac:dyDescent="0.2">
      <c r="A11" s="94"/>
      <c r="B11" s="12" t="s">
        <v>66</v>
      </c>
      <c r="C11" s="13">
        <v>1076.26629468028</v>
      </c>
      <c r="D11" s="14">
        <v>111.20858739022998</v>
      </c>
      <c r="E11" s="13">
        <v>83.014680521779979</v>
      </c>
      <c r="F11" s="14">
        <v>167.75601894780996</v>
      </c>
      <c r="G11" s="13">
        <v>416.61167728642056</v>
      </c>
      <c r="H11" s="14">
        <v>409.49904860084041</v>
      </c>
      <c r="I11" s="13">
        <v>557.64576494388052</v>
      </c>
      <c r="J11" s="14">
        <v>1189.0854375122008</v>
      </c>
      <c r="K11" s="13">
        <v>1499.7632634231607</v>
      </c>
      <c r="L11" s="14">
        <v>1417.7884775047605</v>
      </c>
      <c r="M11" s="13">
        <v>1593.3222411933205</v>
      </c>
      <c r="N11" s="14">
        <v>1814.0924150805306</v>
      </c>
      <c r="O11" s="13">
        <v>1739.1727785153705</v>
      </c>
      <c r="P11" s="14">
        <v>1762.2191215336106</v>
      </c>
      <c r="Q11" s="13">
        <v>2432.2114427721103</v>
      </c>
      <c r="R11" s="14">
        <v>2479.0106776076295</v>
      </c>
      <c r="S11" s="13">
        <v>2098.2966595187199</v>
      </c>
      <c r="T11" s="14">
        <v>1423.27655018218</v>
      </c>
      <c r="U11" s="13">
        <v>2329.5637794272202</v>
      </c>
      <c r="V11" s="14">
        <v>2370.1944694891408</v>
      </c>
      <c r="W11" s="13">
        <v>2405.2316184277506</v>
      </c>
      <c r="X11" s="14">
        <v>2484.0105688787371</v>
      </c>
    </row>
    <row r="12" spans="1:24" ht="16.5" customHeight="1" x14ac:dyDescent="0.2">
      <c r="A12" s="94"/>
      <c r="B12" s="12" t="s">
        <v>59</v>
      </c>
      <c r="C12" s="13">
        <v>0</v>
      </c>
      <c r="D12" s="14">
        <v>0</v>
      </c>
      <c r="E12" s="13">
        <v>0</v>
      </c>
      <c r="F12" s="14">
        <v>0</v>
      </c>
      <c r="G12" s="13">
        <v>0</v>
      </c>
      <c r="H12" s="14">
        <v>0</v>
      </c>
      <c r="I12" s="13">
        <v>0</v>
      </c>
      <c r="J12" s="14">
        <v>0</v>
      </c>
      <c r="K12" s="13">
        <v>0</v>
      </c>
      <c r="L12" s="14">
        <v>0</v>
      </c>
      <c r="M12" s="13">
        <v>0</v>
      </c>
      <c r="N12" s="14">
        <v>0</v>
      </c>
      <c r="O12" s="13">
        <v>0</v>
      </c>
      <c r="P12" s="14">
        <v>0</v>
      </c>
      <c r="Q12" s="13">
        <v>0</v>
      </c>
      <c r="R12" s="14">
        <v>0</v>
      </c>
      <c r="S12" s="13">
        <v>0</v>
      </c>
      <c r="T12" s="14">
        <v>0</v>
      </c>
      <c r="U12" s="13">
        <v>0</v>
      </c>
      <c r="V12" s="14">
        <v>0</v>
      </c>
      <c r="W12" s="13">
        <v>0</v>
      </c>
      <c r="X12" s="14">
        <v>0</v>
      </c>
    </row>
    <row r="13" spans="1:24" ht="16.5" customHeight="1" x14ac:dyDescent="0.2">
      <c r="A13" s="94"/>
      <c r="B13" s="12" t="s">
        <v>67</v>
      </c>
      <c r="C13" s="13">
        <v>-1345.3328683503498</v>
      </c>
      <c r="D13" s="14">
        <v>-139.01073423778746</v>
      </c>
      <c r="E13" s="13">
        <v>-103.76835065222497</v>
      </c>
      <c r="F13" s="14">
        <v>-209.69502368476245</v>
      </c>
      <c r="G13" s="13">
        <v>-520.76459660802561</v>
      </c>
      <c r="H13" s="14">
        <v>-511.87381075105048</v>
      </c>
      <c r="I13" s="13">
        <v>-697.0572061798506</v>
      </c>
      <c r="J13" s="14">
        <v>-1486.356796890251</v>
      </c>
      <c r="K13" s="13">
        <v>-1874.7040792789508</v>
      </c>
      <c r="L13" s="14">
        <v>-1772.2355968809507</v>
      </c>
      <c r="M13" s="13">
        <v>-1991.6528014916505</v>
      </c>
      <c r="N13" s="14">
        <v>-2267.6155188506632</v>
      </c>
      <c r="O13" s="13">
        <v>-2173.965973144213</v>
      </c>
      <c r="P13" s="14">
        <v>-2202.7739019170131</v>
      </c>
      <c r="Q13" s="13">
        <v>-3040.2643034651378</v>
      </c>
      <c r="R13" s="14">
        <v>-3098.7633470095366</v>
      </c>
      <c r="S13" s="13">
        <v>-2622.8708243983997</v>
      </c>
      <c r="T13" s="14">
        <v>-1779.0956877277249</v>
      </c>
      <c r="U13" s="13">
        <v>-2911.9547242840249</v>
      </c>
      <c r="V13" s="14">
        <v>-2962.743086861426</v>
      </c>
      <c r="W13" s="13">
        <v>-3006.539523034688</v>
      </c>
      <c r="X13" s="14">
        <v>-3105.0132110984214</v>
      </c>
    </row>
    <row r="14" spans="1:24" ht="16.5" customHeight="1" x14ac:dyDescent="0.2">
      <c r="A14" s="94"/>
      <c r="B14" s="12" t="s">
        <v>68</v>
      </c>
      <c r="C14" s="13">
        <v>116.68308207217997</v>
      </c>
      <c r="D14" s="14">
        <v>231.15000130325993</v>
      </c>
      <c r="E14" s="13">
        <v>331.98754354971993</v>
      </c>
      <c r="F14" s="14">
        <v>507.69095501043017</v>
      </c>
      <c r="G14" s="13">
        <v>732.24384530646967</v>
      </c>
      <c r="H14" s="14">
        <v>918.83065627409951</v>
      </c>
      <c r="I14" s="13">
        <v>1053.6563370584486</v>
      </c>
      <c r="J14" s="14">
        <v>1192.7653525362221</v>
      </c>
      <c r="K14" s="13">
        <v>1343.701387185381</v>
      </c>
      <c r="L14" s="14">
        <v>1487.123778446829</v>
      </c>
      <c r="M14" s="13">
        <v>1689.1642017093322</v>
      </c>
      <c r="N14" s="14">
        <v>1817.7592593846221</v>
      </c>
      <c r="O14" s="13">
        <v>1914.5381098154389</v>
      </c>
      <c r="P14" s="14">
        <v>2041.6277932738399</v>
      </c>
      <c r="Q14" s="13">
        <v>2152.524283996589</v>
      </c>
      <c r="R14" s="14">
        <v>2260.5736096026412</v>
      </c>
      <c r="S14" s="13">
        <v>2372.9306568912098</v>
      </c>
      <c r="T14" s="14">
        <v>2213.3587725181792</v>
      </c>
      <c r="U14" s="13">
        <v>2627.7249895700588</v>
      </c>
      <c r="V14" s="14">
        <v>2735.1079257311389</v>
      </c>
      <c r="W14" s="13">
        <v>2816.3700592718997</v>
      </c>
      <c r="X14" s="14">
        <v>2929.4492902642223</v>
      </c>
    </row>
    <row r="15" spans="1:24" s="1" customFormat="1" ht="16.5" customHeight="1" x14ac:dyDescent="0.2">
      <c r="A15" s="94"/>
      <c r="B15" s="12" t="s">
        <v>41</v>
      </c>
      <c r="C15" s="13">
        <v>9475</v>
      </c>
      <c r="D15" s="14">
        <v>10796</v>
      </c>
      <c r="E15" s="13">
        <v>12167</v>
      </c>
      <c r="F15" s="14">
        <v>13376</v>
      </c>
      <c r="G15" s="13">
        <v>14355</v>
      </c>
      <c r="H15" s="14">
        <v>16163</v>
      </c>
      <c r="I15" s="13">
        <v>17452</v>
      </c>
      <c r="J15" s="14">
        <v>18649</v>
      </c>
      <c r="K15" s="13">
        <v>19832</v>
      </c>
      <c r="L15" s="14">
        <v>21164</v>
      </c>
      <c r="M15" s="13">
        <v>22247</v>
      </c>
      <c r="N15" s="14">
        <v>23373</v>
      </c>
      <c r="O15" s="13">
        <v>24371</v>
      </c>
      <c r="P15" s="14">
        <v>25416</v>
      </c>
      <c r="Q15" s="13">
        <v>26359</v>
      </c>
      <c r="R15" s="14">
        <v>27143</v>
      </c>
      <c r="S15" s="13">
        <v>27900</v>
      </c>
      <c r="T15" s="14">
        <v>28674</v>
      </c>
      <c r="U15" s="13">
        <v>29301</v>
      </c>
      <c r="V15" s="14">
        <v>29864</v>
      </c>
      <c r="W15" s="13">
        <v>30469</v>
      </c>
      <c r="X15" s="14">
        <v>31010</v>
      </c>
    </row>
    <row r="16" spans="1:24" ht="16.5" customHeight="1" x14ac:dyDescent="0.2">
      <c r="A16" s="94"/>
      <c r="B16" s="21" t="s">
        <v>40</v>
      </c>
      <c r="C16" s="22">
        <f>SUM(C3:C15)</f>
        <v>201285.85556743506</v>
      </c>
      <c r="D16" s="23">
        <f>SUM(D3:D15)</f>
        <v>203782.9058859724</v>
      </c>
      <c r="E16" s="22">
        <f t="shared" ref="E16:X16" si="0">SUM(E3:E15)</f>
        <v>204220.7353341844</v>
      </c>
      <c r="F16" s="23">
        <f t="shared" si="0"/>
        <v>204908.01204783889</v>
      </c>
      <c r="G16" s="22">
        <f t="shared" si="0"/>
        <v>204545.33213524453</v>
      </c>
      <c r="H16" s="23">
        <f t="shared" si="0"/>
        <v>207050.16365243573</v>
      </c>
      <c r="I16" s="22">
        <f t="shared" si="0"/>
        <v>207533.31914815365</v>
      </c>
      <c r="J16" s="23">
        <f t="shared" si="0"/>
        <v>209987.02176707113</v>
      </c>
      <c r="K16" s="22">
        <f t="shared" si="0"/>
        <v>211194.88020298237</v>
      </c>
      <c r="L16" s="23">
        <f t="shared" si="0"/>
        <v>212630.92493267349</v>
      </c>
      <c r="M16" s="22">
        <f t="shared" si="0"/>
        <v>211583.10330222116</v>
      </c>
      <c r="N16" s="23">
        <f t="shared" si="0"/>
        <v>212376.66327795916</v>
      </c>
      <c r="O16" s="22">
        <f t="shared" si="0"/>
        <v>212525.0839667127</v>
      </c>
      <c r="P16" s="23">
        <f t="shared" si="0"/>
        <v>214539.74718392512</v>
      </c>
      <c r="Q16" s="22">
        <f t="shared" si="0"/>
        <v>213602.81165400444</v>
      </c>
      <c r="R16" s="23">
        <f t="shared" si="0"/>
        <v>214196.11854745899</v>
      </c>
      <c r="S16" s="22">
        <f t="shared" si="0"/>
        <v>216903.22485010084</v>
      </c>
      <c r="T16" s="23">
        <f t="shared" si="0"/>
        <v>217320.80634156064</v>
      </c>
      <c r="U16" s="22">
        <f t="shared" si="0"/>
        <v>220022.58900541477</v>
      </c>
      <c r="V16" s="23">
        <f t="shared" si="0"/>
        <v>222216.12114903238</v>
      </c>
      <c r="W16" s="22">
        <f t="shared" si="0"/>
        <v>224107.99702947223</v>
      </c>
      <c r="X16" s="23">
        <f t="shared" si="0"/>
        <v>226632.47896727102</v>
      </c>
    </row>
    <row r="19" spans="1:24" ht="16.5" customHeight="1" x14ac:dyDescent="0.2">
      <c r="C19" s="28"/>
      <c r="D19" s="28"/>
      <c r="E19" s="28"/>
      <c r="F19" s="28"/>
      <c r="G19" s="28"/>
      <c r="H19" s="28"/>
      <c r="I19" s="28"/>
      <c r="J19" s="28"/>
      <c r="K19" s="28"/>
      <c r="L19" s="28"/>
      <c r="M19" s="28"/>
      <c r="N19" s="28"/>
      <c r="O19" s="28"/>
      <c r="P19" s="28"/>
      <c r="Q19" s="28"/>
      <c r="R19" s="28"/>
      <c r="S19" s="28"/>
      <c r="T19" s="28"/>
      <c r="U19" s="28"/>
      <c r="V19" s="28"/>
      <c r="W19" s="28"/>
      <c r="X19" s="28"/>
    </row>
    <row r="20" spans="1:24" s="11" customFormat="1" ht="16.5" customHeight="1" x14ac:dyDescent="0.2">
      <c r="A20" s="27" t="s">
        <v>34</v>
      </c>
      <c r="B20" s="8" t="s">
        <v>20</v>
      </c>
      <c r="C20" s="9" t="s">
        <v>0</v>
      </c>
      <c r="D20" s="10" t="s">
        <v>1</v>
      </c>
      <c r="E20" s="9" t="s">
        <v>2</v>
      </c>
      <c r="F20" s="10" t="s">
        <v>3</v>
      </c>
      <c r="G20" s="9" t="s">
        <v>4</v>
      </c>
      <c r="H20" s="10" t="s">
        <v>5</v>
      </c>
      <c r="I20" s="9" t="s">
        <v>6</v>
      </c>
      <c r="J20" s="10" t="s">
        <v>7</v>
      </c>
      <c r="K20" s="9" t="s">
        <v>8</v>
      </c>
      <c r="L20" s="10" t="s">
        <v>9</v>
      </c>
      <c r="M20" s="9" t="s">
        <v>10</v>
      </c>
      <c r="N20" s="10" t="s">
        <v>11</v>
      </c>
      <c r="O20" s="9" t="s">
        <v>12</v>
      </c>
      <c r="P20" s="10" t="s">
        <v>13</v>
      </c>
      <c r="Q20" s="9" t="s">
        <v>14</v>
      </c>
      <c r="R20" s="10" t="s">
        <v>15</v>
      </c>
      <c r="S20" s="9" t="s">
        <v>16</v>
      </c>
      <c r="T20" s="10" t="s">
        <v>45</v>
      </c>
      <c r="U20" s="9" t="s">
        <v>61</v>
      </c>
      <c r="V20" s="10" t="s">
        <v>62</v>
      </c>
      <c r="W20" s="9" t="s">
        <v>63</v>
      </c>
      <c r="X20" s="10" t="s">
        <v>64</v>
      </c>
    </row>
    <row r="21" spans="1:24" ht="16.5" customHeight="1" x14ac:dyDescent="0.2">
      <c r="A21" s="93" t="s">
        <v>35</v>
      </c>
      <c r="B21" s="12" t="s">
        <v>54</v>
      </c>
      <c r="C21" s="13">
        <v>51414.416415848202</v>
      </c>
      <c r="D21" s="14">
        <v>51250.724704227294</v>
      </c>
      <c r="E21" s="13">
        <v>53928.092629578539</v>
      </c>
      <c r="F21" s="14">
        <v>53674.226685683971</v>
      </c>
      <c r="G21" s="13">
        <v>42976.048848619568</v>
      </c>
      <c r="H21" s="14">
        <v>42499.459187222907</v>
      </c>
      <c r="I21" s="13">
        <v>40833.749830699322</v>
      </c>
      <c r="J21" s="14">
        <v>37083.095049374337</v>
      </c>
      <c r="K21" s="13">
        <v>40576.662713161815</v>
      </c>
      <c r="L21" s="14">
        <v>42608.598701783936</v>
      </c>
      <c r="M21" s="13">
        <v>36644.016568135899</v>
      </c>
      <c r="N21" s="14">
        <v>36401.088412750614</v>
      </c>
      <c r="O21" s="13">
        <v>35731.74160447083</v>
      </c>
      <c r="P21" s="14">
        <v>35780.770049808278</v>
      </c>
      <c r="Q21" s="13">
        <v>36825.758904037393</v>
      </c>
      <c r="R21" s="14">
        <v>33395.235324883222</v>
      </c>
      <c r="S21" s="13">
        <v>22361.717249056721</v>
      </c>
      <c r="T21" s="14">
        <v>7573.0999730145595</v>
      </c>
      <c r="U21" s="13">
        <v>7657.0797786568201</v>
      </c>
      <c r="V21" s="14">
        <v>7620.4700313028006</v>
      </c>
      <c r="W21" s="13">
        <v>7655.0461245308798</v>
      </c>
      <c r="X21" s="14">
        <v>7663.8032464267098</v>
      </c>
    </row>
    <row r="22" spans="1:24" ht="16.5" customHeight="1" x14ac:dyDescent="0.2">
      <c r="A22" s="94"/>
      <c r="B22" s="12" t="s">
        <v>55</v>
      </c>
      <c r="C22" s="13">
        <v>0</v>
      </c>
      <c r="D22" s="14">
        <v>0</v>
      </c>
      <c r="E22" s="13">
        <v>0</v>
      </c>
      <c r="F22" s="14">
        <v>0</v>
      </c>
      <c r="G22" s="13">
        <v>0</v>
      </c>
      <c r="H22" s="14">
        <v>0</v>
      </c>
      <c r="I22" s="13">
        <v>0</v>
      </c>
      <c r="J22" s="14">
        <v>0</v>
      </c>
      <c r="K22" s="13">
        <v>0</v>
      </c>
      <c r="L22" s="14">
        <v>0</v>
      </c>
      <c r="M22" s="13">
        <v>0</v>
      </c>
      <c r="N22" s="14">
        <v>0</v>
      </c>
      <c r="O22" s="13">
        <v>0</v>
      </c>
      <c r="P22" s="14">
        <v>0</v>
      </c>
      <c r="Q22" s="13">
        <v>0</v>
      </c>
      <c r="R22" s="14">
        <v>0</v>
      </c>
      <c r="S22" s="13">
        <v>0</v>
      </c>
      <c r="T22" s="14">
        <v>0</v>
      </c>
      <c r="U22" s="13">
        <v>0</v>
      </c>
      <c r="V22" s="14">
        <v>0</v>
      </c>
      <c r="W22" s="13">
        <v>0</v>
      </c>
      <c r="X22" s="14">
        <v>0</v>
      </c>
    </row>
    <row r="23" spans="1:24" ht="16.5" customHeight="1" x14ac:dyDescent="0.2">
      <c r="A23" s="94"/>
      <c r="B23" s="12" t="s">
        <v>17</v>
      </c>
      <c r="C23" s="13">
        <v>3054.1423269568709</v>
      </c>
      <c r="D23" s="14">
        <v>3062.5098401814012</v>
      </c>
      <c r="E23" s="13">
        <v>3054.1423269568299</v>
      </c>
      <c r="F23" s="14">
        <v>3054.1423269568409</v>
      </c>
      <c r="G23" s="13">
        <v>3054.1423269569204</v>
      </c>
      <c r="H23" s="14">
        <v>3062.5098401813907</v>
      </c>
      <c r="I23" s="13">
        <v>3054.1423269568104</v>
      </c>
      <c r="J23" s="14">
        <v>3054.1423269568204</v>
      </c>
      <c r="K23" s="13">
        <v>3054.1423269568804</v>
      </c>
      <c r="L23" s="14">
        <v>3062.5098401814103</v>
      </c>
      <c r="M23" s="13">
        <v>3054.1423269569204</v>
      </c>
      <c r="N23" s="14">
        <v>3054.1423269568104</v>
      </c>
      <c r="O23" s="13">
        <v>3054.1423269568604</v>
      </c>
      <c r="P23" s="14">
        <v>3062.5098401813902</v>
      </c>
      <c r="Q23" s="13">
        <v>3054.1423269568209</v>
      </c>
      <c r="R23" s="14">
        <v>3054.1423269568804</v>
      </c>
      <c r="S23" s="13">
        <v>3054.1423269569004</v>
      </c>
      <c r="T23" s="14">
        <v>3062.5098401814007</v>
      </c>
      <c r="U23" s="13">
        <v>3054.1423269568604</v>
      </c>
      <c r="V23" s="14">
        <v>3054.1423269569309</v>
      </c>
      <c r="W23" s="13">
        <v>3054.1423269568709</v>
      </c>
      <c r="X23" s="14">
        <v>3062.5098401814507</v>
      </c>
    </row>
    <row r="24" spans="1:24" ht="16.5" customHeight="1" x14ac:dyDescent="0.2">
      <c r="A24" s="94"/>
      <c r="B24" s="12" t="s">
        <v>44</v>
      </c>
      <c r="C24" s="13">
        <v>2787.67464817159</v>
      </c>
      <c r="D24" s="14">
        <v>1563.86112191649</v>
      </c>
      <c r="E24" s="13">
        <v>1552.55436341162</v>
      </c>
      <c r="F24" s="14">
        <v>64.708122694300002</v>
      </c>
      <c r="G24" s="13">
        <v>1695.6108759722099</v>
      </c>
      <c r="H24" s="14">
        <v>1005.22621676807</v>
      </c>
      <c r="I24" s="13">
        <v>998.20487894188</v>
      </c>
      <c r="J24" s="14">
        <v>1909.7502179949599</v>
      </c>
      <c r="K24" s="13">
        <v>2399.0880985622002</v>
      </c>
      <c r="L24" s="14">
        <v>1110.2121456324501</v>
      </c>
      <c r="M24" s="13">
        <v>2459.1355268431407</v>
      </c>
      <c r="N24" s="14">
        <v>3003.6844675777202</v>
      </c>
      <c r="O24" s="13">
        <v>2527.5328055969703</v>
      </c>
      <c r="P24" s="14">
        <v>4901.3605883915798</v>
      </c>
      <c r="Q24" s="13">
        <v>9609.58869514041</v>
      </c>
      <c r="R24" s="14">
        <v>10038.004254932379</v>
      </c>
      <c r="S24" s="13">
        <v>19837.905122928689</v>
      </c>
      <c r="T24" s="14">
        <v>22075.061221344247</v>
      </c>
      <c r="U24" s="13">
        <v>25069.284994596681</v>
      </c>
      <c r="V24" s="14">
        <v>25021.04424461105</v>
      </c>
      <c r="W24" s="13">
        <v>25317.821974453811</v>
      </c>
      <c r="X24" s="14">
        <v>25270.591781771021</v>
      </c>
    </row>
    <row r="25" spans="1:24" ht="16.5" customHeight="1" x14ac:dyDescent="0.2">
      <c r="A25" s="94"/>
      <c r="B25" s="12" t="s">
        <v>56</v>
      </c>
      <c r="C25" s="13">
        <v>122.25085425833001</v>
      </c>
      <c r="D25" s="14">
        <v>58.973458194279999</v>
      </c>
      <c r="E25" s="13">
        <v>32.35163717703</v>
      </c>
      <c r="F25" s="14">
        <v>26.243231206570002</v>
      </c>
      <c r="G25" s="13">
        <v>144.42345846961001</v>
      </c>
      <c r="H25" s="14">
        <v>133.80232203185</v>
      </c>
      <c r="I25" s="13">
        <v>122.81484909526</v>
      </c>
      <c r="J25" s="14">
        <v>163.82671857289</v>
      </c>
      <c r="K25" s="13">
        <v>283.16821719327999</v>
      </c>
      <c r="L25" s="14">
        <v>117.00015411787001</v>
      </c>
      <c r="M25" s="13">
        <v>230.81377407108999</v>
      </c>
      <c r="N25" s="14">
        <v>1098.7742877579801</v>
      </c>
      <c r="O25" s="13">
        <v>622.03067080169001</v>
      </c>
      <c r="P25" s="14">
        <v>629.72523737178005</v>
      </c>
      <c r="Q25" s="13">
        <v>194.36558601277</v>
      </c>
      <c r="R25" s="14">
        <v>611.73223660948997</v>
      </c>
      <c r="S25" s="13">
        <v>109.39106336072001</v>
      </c>
      <c r="T25" s="14">
        <v>65.054843966850001</v>
      </c>
      <c r="U25" s="13">
        <v>344.49209219502995</v>
      </c>
      <c r="V25" s="14">
        <v>455.84623382655997</v>
      </c>
      <c r="W25" s="13">
        <v>790.70513872241008</v>
      </c>
      <c r="X25" s="14">
        <v>992.90353249843997</v>
      </c>
    </row>
    <row r="26" spans="1:24" ht="16.5" customHeight="1" x14ac:dyDescent="0.2">
      <c r="A26" s="94"/>
      <c r="B26" s="12" t="s">
        <v>18</v>
      </c>
      <c r="C26" s="13">
        <v>4176.731809135752</v>
      </c>
      <c r="D26" s="14">
        <v>4971.4348292069199</v>
      </c>
      <c r="E26" s="13">
        <v>4927.9427225464806</v>
      </c>
      <c r="F26" s="14">
        <v>4975.6300255969809</v>
      </c>
      <c r="G26" s="13">
        <v>4963.8828276588092</v>
      </c>
      <c r="H26" s="14">
        <v>5038.4792586140111</v>
      </c>
      <c r="I26" s="13">
        <v>4961.4317169020196</v>
      </c>
      <c r="J26" s="14">
        <v>4931.4103739191705</v>
      </c>
      <c r="K26" s="13">
        <v>4952.1995905013118</v>
      </c>
      <c r="L26" s="14">
        <v>4936.5323202492709</v>
      </c>
      <c r="M26" s="13">
        <v>4940.3977237121808</v>
      </c>
      <c r="N26" s="14">
        <v>4900.860789662991</v>
      </c>
      <c r="O26" s="13">
        <v>4879.0346322037003</v>
      </c>
      <c r="P26" s="14">
        <v>4869.0440445781605</v>
      </c>
      <c r="Q26" s="13">
        <v>4903.777107283061</v>
      </c>
      <c r="R26" s="14">
        <v>4899.0290535310505</v>
      </c>
      <c r="S26" s="13">
        <v>4940.1858201474606</v>
      </c>
      <c r="T26" s="14">
        <v>4972.4841106843396</v>
      </c>
      <c r="U26" s="13">
        <v>4902.7724218806998</v>
      </c>
      <c r="V26" s="14">
        <v>4889.2348749652701</v>
      </c>
      <c r="W26" s="13">
        <v>4951.3888851724096</v>
      </c>
      <c r="X26" s="14">
        <v>5015.6015087064397</v>
      </c>
    </row>
    <row r="27" spans="1:24" ht="16.5" customHeight="1" x14ac:dyDescent="0.2">
      <c r="A27" s="94"/>
      <c r="B27" s="12" t="s">
        <v>57</v>
      </c>
      <c r="C27" s="13">
        <v>825.51372106015003</v>
      </c>
      <c r="D27" s="14">
        <v>1732.7881276722801</v>
      </c>
      <c r="E27" s="13">
        <v>1732.1046583278699</v>
      </c>
      <c r="F27" s="14">
        <v>1726.73060589601</v>
      </c>
      <c r="G27" s="13">
        <v>2469.4559094081801</v>
      </c>
      <c r="H27" s="14">
        <v>2466.7550712389202</v>
      </c>
      <c r="I27" s="13">
        <v>2462.3723176521203</v>
      </c>
      <c r="J27" s="14">
        <v>2465.566028738639</v>
      </c>
      <c r="K27" s="13">
        <v>2463.0740099843301</v>
      </c>
      <c r="L27" s="14">
        <v>2462.4795838063401</v>
      </c>
      <c r="M27" s="13">
        <v>2463.0947406251689</v>
      </c>
      <c r="N27" s="14">
        <v>2455.3946465509298</v>
      </c>
      <c r="O27" s="13">
        <v>2456.7796121978699</v>
      </c>
      <c r="P27" s="14">
        <v>2465.5235074945795</v>
      </c>
      <c r="Q27" s="13">
        <v>2456.8854574744701</v>
      </c>
      <c r="R27" s="14">
        <v>2467.0062968192601</v>
      </c>
      <c r="S27" s="13">
        <v>2459.6054749395889</v>
      </c>
      <c r="T27" s="14">
        <v>2461.8441344017601</v>
      </c>
      <c r="U27" s="13">
        <v>2738.1150616382988</v>
      </c>
      <c r="V27" s="14">
        <v>2742.7738499665002</v>
      </c>
      <c r="W27" s="13">
        <v>2730.3128563811997</v>
      </c>
      <c r="X27" s="14">
        <v>2742.6180878541691</v>
      </c>
    </row>
    <row r="28" spans="1:24" ht="16.5" customHeight="1" x14ac:dyDescent="0.2">
      <c r="A28" s="94"/>
      <c r="B28" s="12" t="s">
        <v>65</v>
      </c>
      <c r="C28" s="13">
        <v>-54.686316348441636</v>
      </c>
      <c r="D28" s="14">
        <v>-106.61737443549274</v>
      </c>
      <c r="E28" s="13">
        <v>-145.40672947871508</v>
      </c>
      <c r="F28" s="14">
        <v>-232.85959294978895</v>
      </c>
      <c r="G28" s="13">
        <v>-356.88498895380957</v>
      </c>
      <c r="H28" s="14">
        <v>-454.45391829522907</v>
      </c>
      <c r="I28" s="13">
        <v>-532.60843081723272</v>
      </c>
      <c r="J28" s="14">
        <v>-605.82564339291059</v>
      </c>
      <c r="K28" s="13">
        <v>-687.89696049086217</v>
      </c>
      <c r="L28" s="14">
        <v>-755.34474634832554</v>
      </c>
      <c r="M28" s="13">
        <v>-846.4507102342194</v>
      </c>
      <c r="N28" s="14">
        <v>-892.86208051359449</v>
      </c>
      <c r="O28" s="13">
        <v>-982.34924960197509</v>
      </c>
      <c r="P28" s="14">
        <v>-1040.3862051623223</v>
      </c>
      <c r="Q28" s="13">
        <v>-1096.2874772664672</v>
      </c>
      <c r="R28" s="14">
        <v>-1145.4980918257093</v>
      </c>
      <c r="S28" s="13">
        <v>-1188.0257544460944</v>
      </c>
      <c r="T28" s="14">
        <v>-1067.273002848402</v>
      </c>
      <c r="U28" s="13">
        <v>-1320.1303350215376</v>
      </c>
      <c r="V28" s="14">
        <v>-1373.6485549198112</v>
      </c>
      <c r="W28" s="13">
        <v>-1402.0493032752154</v>
      </c>
      <c r="X28" s="14">
        <v>-1462.0352136210865</v>
      </c>
    </row>
    <row r="29" spans="1:24" ht="16.5" customHeight="1" x14ac:dyDescent="0.2">
      <c r="A29" s="94"/>
      <c r="B29" s="12" t="s">
        <v>66</v>
      </c>
      <c r="C29" s="13">
        <v>308.51410030412018</v>
      </c>
      <c r="D29" s="14">
        <v>26.450145525049997</v>
      </c>
      <c r="E29" s="13">
        <v>20.79996965027</v>
      </c>
      <c r="F29" s="14">
        <v>26.161386926180001</v>
      </c>
      <c r="G29" s="13">
        <v>118.15316425809002</v>
      </c>
      <c r="H29" s="14">
        <v>132.47270088935011</v>
      </c>
      <c r="I29" s="13">
        <v>142.77540619204018</v>
      </c>
      <c r="J29" s="14">
        <v>194.75365767697031</v>
      </c>
      <c r="K29" s="13">
        <v>268.79413771959031</v>
      </c>
      <c r="L29" s="14">
        <v>220.92713690441019</v>
      </c>
      <c r="M29" s="13">
        <v>280.80297237217007</v>
      </c>
      <c r="N29" s="14">
        <v>360.09828174249026</v>
      </c>
      <c r="O29" s="13">
        <v>321.21275070643031</v>
      </c>
      <c r="P29" s="14">
        <v>338.46453843465019</v>
      </c>
      <c r="Q29" s="13">
        <v>270.0386723130303</v>
      </c>
      <c r="R29" s="14">
        <v>297.70455489597032</v>
      </c>
      <c r="S29" s="13">
        <v>178.93802632784019</v>
      </c>
      <c r="T29" s="14">
        <v>98.632338882279981</v>
      </c>
      <c r="U29" s="13">
        <v>121.36212799977019</v>
      </c>
      <c r="V29" s="14">
        <v>138.38774918500019</v>
      </c>
      <c r="W29" s="13">
        <v>126.32679097781022</v>
      </c>
      <c r="X29" s="14">
        <v>132.7930232790701</v>
      </c>
    </row>
    <row r="30" spans="1:24" ht="16.5" customHeight="1" x14ac:dyDescent="0.2">
      <c r="A30" s="94"/>
      <c r="B30" s="12" t="s">
        <v>59</v>
      </c>
      <c r="C30" s="13">
        <v>0</v>
      </c>
      <c r="D30" s="14">
        <v>0</v>
      </c>
      <c r="E30" s="13">
        <v>0</v>
      </c>
      <c r="F30" s="14">
        <v>0</v>
      </c>
      <c r="G30" s="13">
        <v>0</v>
      </c>
      <c r="H30" s="14">
        <v>0</v>
      </c>
      <c r="I30" s="13">
        <v>0</v>
      </c>
      <c r="J30" s="14">
        <v>0</v>
      </c>
      <c r="K30" s="13">
        <v>0</v>
      </c>
      <c r="L30" s="14">
        <v>0</v>
      </c>
      <c r="M30" s="13">
        <v>0</v>
      </c>
      <c r="N30" s="14">
        <v>0</v>
      </c>
      <c r="O30" s="13">
        <v>0</v>
      </c>
      <c r="P30" s="14">
        <v>0</v>
      </c>
      <c r="Q30" s="13">
        <v>0</v>
      </c>
      <c r="R30" s="14">
        <v>0</v>
      </c>
      <c r="S30" s="13">
        <v>0</v>
      </c>
      <c r="T30" s="14">
        <v>0</v>
      </c>
      <c r="U30" s="13">
        <v>0</v>
      </c>
      <c r="V30" s="14">
        <v>0</v>
      </c>
      <c r="W30" s="13">
        <v>0</v>
      </c>
      <c r="X30" s="14">
        <v>0</v>
      </c>
    </row>
    <row r="31" spans="1:24" ht="16.5" customHeight="1" x14ac:dyDescent="0.2">
      <c r="A31" s="94"/>
      <c r="B31" s="12" t="s">
        <v>67</v>
      </c>
      <c r="C31" s="13">
        <v>-385.64262538015021</v>
      </c>
      <c r="D31" s="14">
        <v>-33.062681906312491</v>
      </c>
      <c r="E31" s="13">
        <v>-25.999962062837501</v>
      </c>
      <c r="F31" s="14">
        <v>-32.701733657725001</v>
      </c>
      <c r="G31" s="13">
        <v>-147.69145532261251</v>
      </c>
      <c r="H31" s="14">
        <v>-165.59087611168763</v>
      </c>
      <c r="I31" s="13">
        <v>-178.46925774005021</v>
      </c>
      <c r="J31" s="14">
        <v>-243.44207209621288</v>
      </c>
      <c r="K31" s="13">
        <v>-335.99267214948787</v>
      </c>
      <c r="L31" s="14">
        <v>-276.15892113051274</v>
      </c>
      <c r="M31" s="13">
        <v>-351.00371546521257</v>
      </c>
      <c r="N31" s="14">
        <v>-450.12285217811279</v>
      </c>
      <c r="O31" s="13">
        <v>-401.51593838303785</v>
      </c>
      <c r="P31" s="14">
        <v>-423.08067304331274</v>
      </c>
      <c r="Q31" s="13">
        <v>-337.54834039128787</v>
      </c>
      <c r="R31" s="14">
        <v>-372.13069361996287</v>
      </c>
      <c r="S31" s="13">
        <v>-223.67253290980022</v>
      </c>
      <c r="T31" s="14">
        <v>-123.29042360284997</v>
      </c>
      <c r="U31" s="13">
        <v>-151.70265999971272</v>
      </c>
      <c r="V31" s="14">
        <v>-172.98468648125024</v>
      </c>
      <c r="W31" s="13">
        <v>-157.90848872226277</v>
      </c>
      <c r="X31" s="14">
        <v>-165.99127909883762</v>
      </c>
    </row>
    <row r="32" spans="1:24" ht="16.5" customHeight="1" x14ac:dyDescent="0.2">
      <c r="A32" s="94"/>
      <c r="B32" s="12" t="s">
        <v>68</v>
      </c>
      <c r="C32" s="13">
        <v>49.217684713597471</v>
      </c>
      <c r="D32" s="14">
        <v>95.955636991943464</v>
      </c>
      <c r="E32" s="13">
        <v>130.86605653084357</v>
      </c>
      <c r="F32" s="14">
        <v>209.57363365481007</v>
      </c>
      <c r="G32" s="13">
        <v>321.19649005842859</v>
      </c>
      <c r="H32" s="14">
        <v>409.00852646570615</v>
      </c>
      <c r="I32" s="13">
        <v>479.34758773550948</v>
      </c>
      <c r="J32" s="14">
        <v>545.24307905361957</v>
      </c>
      <c r="K32" s="13">
        <v>619.10726444177601</v>
      </c>
      <c r="L32" s="14">
        <v>679.81027171349297</v>
      </c>
      <c r="M32" s="13">
        <v>761.80563921079749</v>
      </c>
      <c r="N32" s="14">
        <v>803.57587246223511</v>
      </c>
      <c r="O32" s="13">
        <v>884.11432464177756</v>
      </c>
      <c r="P32" s="14">
        <v>936.34758464609013</v>
      </c>
      <c r="Q32" s="13">
        <v>986.65872953982046</v>
      </c>
      <c r="R32" s="14">
        <v>1030.9482826431383</v>
      </c>
      <c r="S32" s="13">
        <v>1069.2231790014851</v>
      </c>
      <c r="T32" s="14">
        <v>960.54570256356192</v>
      </c>
      <c r="U32" s="13">
        <v>1188.1173015193838</v>
      </c>
      <c r="V32" s="14">
        <v>1236.28369942783</v>
      </c>
      <c r="W32" s="13">
        <v>1261.844372947694</v>
      </c>
      <c r="X32" s="14">
        <v>1315.8316922589779</v>
      </c>
    </row>
    <row r="33" spans="1:24" ht="16.5" customHeight="1" thickBot="1" x14ac:dyDescent="0.25">
      <c r="A33" s="95"/>
      <c r="B33" s="12" t="s">
        <v>41</v>
      </c>
      <c r="C33" s="13">
        <v>2723</v>
      </c>
      <c r="D33" s="14">
        <v>3226</v>
      </c>
      <c r="E33" s="13">
        <v>3765</v>
      </c>
      <c r="F33" s="14">
        <v>4312</v>
      </c>
      <c r="G33" s="13">
        <v>4845</v>
      </c>
      <c r="H33" s="14">
        <v>5397</v>
      </c>
      <c r="I33" s="13">
        <v>5950</v>
      </c>
      <c r="J33" s="14">
        <v>6470</v>
      </c>
      <c r="K33" s="13">
        <v>6985</v>
      </c>
      <c r="L33" s="14">
        <v>7556</v>
      </c>
      <c r="M33" s="13">
        <v>8049</v>
      </c>
      <c r="N33" s="14">
        <v>8553</v>
      </c>
      <c r="O33" s="13">
        <v>8991</v>
      </c>
      <c r="P33" s="14">
        <v>9475</v>
      </c>
      <c r="Q33" s="13">
        <v>9889</v>
      </c>
      <c r="R33" s="14">
        <v>10231</v>
      </c>
      <c r="S33" s="13">
        <v>10571</v>
      </c>
      <c r="T33" s="14">
        <v>10930</v>
      </c>
      <c r="U33" s="13">
        <v>11249</v>
      </c>
      <c r="V33" s="14">
        <v>11514</v>
      </c>
      <c r="W33" s="13">
        <v>11791</v>
      </c>
      <c r="X33" s="14">
        <v>12047</v>
      </c>
    </row>
    <row r="34" spans="1:24" ht="16.5" customHeight="1" x14ac:dyDescent="0.2">
      <c r="A34" s="96" t="s">
        <v>36</v>
      </c>
      <c r="B34" s="29" t="s">
        <v>54</v>
      </c>
      <c r="C34" s="14">
        <v>54323.973028875604</v>
      </c>
      <c r="D34" s="13">
        <v>50366.23077919412</v>
      </c>
      <c r="E34" s="14">
        <v>45060.459212246547</v>
      </c>
      <c r="F34" s="13">
        <v>48483.402567686884</v>
      </c>
      <c r="G34" s="14">
        <v>54002.174854137527</v>
      </c>
      <c r="H34" s="13">
        <v>53025.874920990565</v>
      </c>
      <c r="I34" s="14">
        <v>52266.030548415627</v>
      </c>
      <c r="J34" s="13">
        <v>51963.800203530249</v>
      </c>
      <c r="K34" s="14">
        <v>46256.184167005231</v>
      </c>
      <c r="L34" s="13">
        <v>43218.891268188127</v>
      </c>
      <c r="M34" s="14">
        <v>44194.74220871491</v>
      </c>
      <c r="N34" s="13">
        <v>37130.841327656664</v>
      </c>
      <c r="O34" s="14">
        <v>37455.419742113991</v>
      </c>
      <c r="P34" s="13">
        <v>34892.499302770397</v>
      </c>
      <c r="Q34" s="14">
        <v>35009.977330905516</v>
      </c>
      <c r="R34" s="13">
        <v>36044.775259207163</v>
      </c>
      <c r="S34" s="14">
        <v>37131.898846755357</v>
      </c>
      <c r="T34" s="13">
        <v>37133.461569791049</v>
      </c>
      <c r="U34" s="14">
        <v>28971.109018667317</v>
      </c>
      <c r="V34" s="13">
        <v>25767.608461265572</v>
      </c>
      <c r="W34" s="14">
        <v>25877.005623480141</v>
      </c>
      <c r="X34" s="13">
        <v>25971.708351986079</v>
      </c>
    </row>
    <row r="35" spans="1:24" ht="16.5" customHeight="1" x14ac:dyDescent="0.2">
      <c r="A35" s="97"/>
      <c r="B35" s="29" t="s">
        <v>55</v>
      </c>
      <c r="C35" s="14">
        <v>0</v>
      </c>
      <c r="D35" s="13">
        <v>0</v>
      </c>
      <c r="E35" s="14">
        <v>0</v>
      </c>
      <c r="F35" s="13">
        <v>0</v>
      </c>
      <c r="G35" s="14">
        <v>0</v>
      </c>
      <c r="H35" s="13">
        <v>0</v>
      </c>
      <c r="I35" s="14">
        <v>0</v>
      </c>
      <c r="J35" s="13">
        <v>0</v>
      </c>
      <c r="K35" s="14">
        <v>0</v>
      </c>
      <c r="L35" s="13">
        <v>0</v>
      </c>
      <c r="M35" s="14">
        <v>0</v>
      </c>
      <c r="N35" s="13">
        <v>0</v>
      </c>
      <c r="O35" s="14">
        <v>0</v>
      </c>
      <c r="P35" s="13">
        <v>0</v>
      </c>
      <c r="Q35" s="14">
        <v>0</v>
      </c>
      <c r="R35" s="13">
        <v>0</v>
      </c>
      <c r="S35" s="14">
        <v>0</v>
      </c>
      <c r="T35" s="13">
        <v>0</v>
      </c>
      <c r="U35" s="14">
        <v>0</v>
      </c>
      <c r="V35" s="13">
        <v>0</v>
      </c>
      <c r="W35" s="14">
        <v>0</v>
      </c>
      <c r="X35" s="13">
        <v>0</v>
      </c>
    </row>
    <row r="36" spans="1:24" ht="16.5" customHeight="1" x14ac:dyDescent="0.2">
      <c r="A36" s="97"/>
      <c r="B36" s="29" t="s">
        <v>17</v>
      </c>
      <c r="C36" s="14">
        <v>707.31977613261097</v>
      </c>
      <c r="D36" s="13">
        <v>709.25763853292096</v>
      </c>
      <c r="E36" s="14">
        <v>707.31977613256095</v>
      </c>
      <c r="F36" s="13">
        <v>707.31977613256095</v>
      </c>
      <c r="G36" s="14">
        <v>707.31977613257095</v>
      </c>
      <c r="H36" s="13">
        <v>709.25763853291096</v>
      </c>
      <c r="I36" s="14">
        <v>707.31977613255094</v>
      </c>
      <c r="J36" s="13">
        <v>707.31977613258096</v>
      </c>
      <c r="K36" s="14">
        <v>707.31977613256004</v>
      </c>
      <c r="L36" s="13">
        <v>709.25763853294097</v>
      </c>
      <c r="M36" s="14">
        <v>707.31977613257095</v>
      </c>
      <c r="N36" s="13">
        <v>707.31977613256004</v>
      </c>
      <c r="O36" s="14">
        <v>707.31977613259005</v>
      </c>
      <c r="P36" s="13">
        <v>709.25763853291005</v>
      </c>
      <c r="Q36" s="14">
        <v>707.31977613256004</v>
      </c>
      <c r="R36" s="13">
        <v>707.31977613258005</v>
      </c>
      <c r="S36" s="14">
        <v>707.31977613258005</v>
      </c>
      <c r="T36" s="13">
        <v>709.25763853294097</v>
      </c>
      <c r="U36" s="14">
        <v>707.31977613261097</v>
      </c>
      <c r="V36" s="13">
        <v>707.31977613256095</v>
      </c>
      <c r="W36" s="14">
        <v>707.31977613256197</v>
      </c>
      <c r="X36" s="13">
        <v>709.257638532942</v>
      </c>
    </row>
    <row r="37" spans="1:24" ht="16.5" customHeight="1" x14ac:dyDescent="0.2">
      <c r="A37" s="97"/>
      <c r="B37" s="29" t="s">
        <v>44</v>
      </c>
      <c r="C37" s="14">
        <v>5224.3961639458603</v>
      </c>
      <c r="D37" s="13">
        <v>4976.9402080889213</v>
      </c>
      <c r="E37" s="14">
        <v>4932.480763214151</v>
      </c>
      <c r="F37" s="13">
        <v>1627.5166888508043</v>
      </c>
      <c r="G37" s="14">
        <v>3218.1123231059346</v>
      </c>
      <c r="H37" s="13">
        <v>2929.8625982543449</v>
      </c>
      <c r="I37" s="14">
        <v>2941.1077912001551</v>
      </c>
      <c r="J37" s="13">
        <v>3883.0028155983073</v>
      </c>
      <c r="K37" s="14">
        <v>5755.3243573230548</v>
      </c>
      <c r="L37" s="13">
        <v>3725.3163203708154</v>
      </c>
      <c r="M37" s="14">
        <v>4835.8885982013871</v>
      </c>
      <c r="N37" s="13">
        <v>6705.0495135547335</v>
      </c>
      <c r="O37" s="14">
        <v>6617.8280687366632</v>
      </c>
      <c r="P37" s="13">
        <v>7212.6656976422728</v>
      </c>
      <c r="Q37" s="14">
        <v>7315.1731695787321</v>
      </c>
      <c r="R37" s="13">
        <v>7523.8254269870322</v>
      </c>
      <c r="S37" s="14">
        <v>7347.2239394481821</v>
      </c>
      <c r="T37" s="13">
        <v>6312.9778589977232</v>
      </c>
      <c r="U37" s="14">
        <v>8231.0663375050317</v>
      </c>
      <c r="V37" s="13">
        <v>8369.0031751283113</v>
      </c>
      <c r="W37" s="14">
        <v>8384.5360001399822</v>
      </c>
      <c r="X37" s="13">
        <v>8419.0064353346897</v>
      </c>
    </row>
    <row r="38" spans="1:24" ht="16.5" customHeight="1" x14ac:dyDescent="0.2">
      <c r="A38" s="97"/>
      <c r="B38" s="29" t="s">
        <v>56</v>
      </c>
      <c r="C38" s="14">
        <v>43.701334697249997</v>
      </c>
      <c r="D38" s="13">
        <v>6.058747158910001</v>
      </c>
      <c r="E38" s="14">
        <v>1.15311277417</v>
      </c>
      <c r="F38" s="13">
        <v>0.86681600419000004</v>
      </c>
      <c r="G38" s="14">
        <v>12.61320764049</v>
      </c>
      <c r="H38" s="13">
        <v>10.141559945969998</v>
      </c>
      <c r="I38" s="14">
        <v>12.419623692019998</v>
      </c>
      <c r="J38" s="13">
        <v>30.396476400639997</v>
      </c>
      <c r="K38" s="14">
        <v>117.27578094236</v>
      </c>
      <c r="L38" s="13">
        <v>56.443366810150003</v>
      </c>
      <c r="M38" s="14">
        <v>60.520595535779997</v>
      </c>
      <c r="N38" s="13">
        <v>441.23139824083006</v>
      </c>
      <c r="O38" s="14">
        <v>382.5736593012</v>
      </c>
      <c r="P38" s="13">
        <v>549.14592820846008</v>
      </c>
      <c r="Q38" s="14">
        <v>379.2218776089</v>
      </c>
      <c r="R38" s="13">
        <v>486.83583054665991</v>
      </c>
      <c r="S38" s="14">
        <v>138.09509771871001</v>
      </c>
      <c r="T38" s="13">
        <v>98.832290658959991</v>
      </c>
      <c r="U38" s="14">
        <v>2325.3263023859922</v>
      </c>
      <c r="V38" s="13">
        <v>4607.1439403197792</v>
      </c>
      <c r="W38" s="14">
        <v>5970.9593564398383</v>
      </c>
      <c r="X38" s="13">
        <v>6683.2599612453096</v>
      </c>
    </row>
    <row r="39" spans="1:24" ht="16.5" customHeight="1" x14ac:dyDescent="0.2">
      <c r="A39" s="97"/>
      <c r="B39" s="29" t="s">
        <v>18</v>
      </c>
      <c r="C39" s="14">
        <v>878.38393203494002</v>
      </c>
      <c r="D39" s="13">
        <v>2745.26960147716</v>
      </c>
      <c r="E39" s="14">
        <v>2749.5290111218401</v>
      </c>
      <c r="F39" s="13">
        <v>2746.4046902763303</v>
      </c>
      <c r="G39" s="14">
        <v>2756.3899309138501</v>
      </c>
      <c r="H39" s="13">
        <v>2787.7038596207203</v>
      </c>
      <c r="I39" s="14">
        <v>2741.7424463952002</v>
      </c>
      <c r="J39" s="13">
        <v>2752.7054666010299</v>
      </c>
      <c r="K39" s="14">
        <v>3149.99999999992</v>
      </c>
      <c r="L39" s="13">
        <v>3800.00000000002</v>
      </c>
      <c r="M39" s="14">
        <v>5557.1788285462699</v>
      </c>
      <c r="N39" s="13">
        <v>7660.3175123373803</v>
      </c>
      <c r="O39" s="14">
        <v>6804.5731811113401</v>
      </c>
      <c r="P39" s="13">
        <v>6930.4045537858801</v>
      </c>
      <c r="Q39" s="14">
        <v>6833.9740309734098</v>
      </c>
      <c r="R39" s="13">
        <v>6841.5095937370406</v>
      </c>
      <c r="S39" s="14">
        <v>6737.5903484099099</v>
      </c>
      <c r="T39" s="13">
        <v>6762.3873885655894</v>
      </c>
      <c r="U39" s="14">
        <v>7182.1827675352397</v>
      </c>
      <c r="V39" s="13">
        <v>7253.9351320882197</v>
      </c>
      <c r="W39" s="14">
        <v>7245.6909260959601</v>
      </c>
      <c r="X39" s="13">
        <v>7338.9691705500209</v>
      </c>
    </row>
    <row r="40" spans="1:24" ht="16.5" customHeight="1" x14ac:dyDescent="0.2">
      <c r="A40" s="97"/>
      <c r="B40" s="29" t="s">
        <v>57</v>
      </c>
      <c r="C40" s="14">
        <v>2730.0896288468903</v>
      </c>
      <c r="D40" s="13">
        <v>3152.3599076272299</v>
      </c>
      <c r="E40" s="14">
        <v>3131.2731483433299</v>
      </c>
      <c r="F40" s="13">
        <v>3144.4284083820503</v>
      </c>
      <c r="G40" s="14">
        <v>3133.4510383595007</v>
      </c>
      <c r="H40" s="13">
        <v>3153.7897929087494</v>
      </c>
      <c r="I40" s="14">
        <v>4458.2575536048598</v>
      </c>
      <c r="J40" s="13">
        <v>7347.2945333989792</v>
      </c>
      <c r="K40" s="14">
        <v>9450.0000000001619</v>
      </c>
      <c r="L40" s="13">
        <v>11399.999999999969</v>
      </c>
      <c r="M40" s="14">
        <v>12242.821171453881</v>
      </c>
      <c r="N40" s="13">
        <v>12839.68248766298</v>
      </c>
      <c r="O40" s="14">
        <v>12765.685838336511</v>
      </c>
      <c r="P40" s="13">
        <v>12784.29536794004</v>
      </c>
      <c r="Q40" s="14">
        <v>12824.164476685341</v>
      </c>
      <c r="R40" s="13">
        <v>12738.68490026469</v>
      </c>
      <c r="S40" s="14">
        <v>12694.281537545259</v>
      </c>
      <c r="T40" s="13">
        <v>12764.018590377251</v>
      </c>
      <c r="U40" s="14">
        <v>12771.524227717789</v>
      </c>
      <c r="V40" s="13">
        <v>12835.24668675564</v>
      </c>
      <c r="W40" s="14">
        <v>12888.52766959156</v>
      </c>
      <c r="X40" s="13">
        <v>12870.530291374642</v>
      </c>
    </row>
    <row r="41" spans="1:24" ht="16.5" customHeight="1" x14ac:dyDescent="0.2">
      <c r="A41" s="97"/>
      <c r="B41" s="29" t="s">
        <v>65</v>
      </c>
      <c r="C41" s="14">
        <v>-30.524167314724444</v>
      </c>
      <c r="D41" s="13">
        <v>-59.255681303219035</v>
      </c>
      <c r="E41" s="14">
        <v>-83.369085031013981</v>
      </c>
      <c r="F41" s="13">
        <v>-133.13760831805033</v>
      </c>
      <c r="G41" s="14">
        <v>-193.06993120497432</v>
      </c>
      <c r="H41" s="13">
        <v>-236.85750985441825</v>
      </c>
      <c r="I41" s="14">
        <v>-262.98961720444026</v>
      </c>
      <c r="J41" s="13">
        <v>-294.99080649830779</v>
      </c>
      <c r="K41" s="14">
        <v>-327.3432930177762</v>
      </c>
      <c r="L41" s="13">
        <v>-372.58422617249204</v>
      </c>
      <c r="M41" s="14">
        <v>-450.79688508477437</v>
      </c>
      <c r="N41" s="13">
        <v>-510.90754481368828</v>
      </c>
      <c r="O41" s="14">
        <v>-464.51091211321199</v>
      </c>
      <c r="P41" s="13">
        <v>-499.95331354749334</v>
      </c>
      <c r="Q41" s="14">
        <v>-533.4999395819242</v>
      </c>
      <c r="R41" s="13">
        <v>-567.46918121663657</v>
      </c>
      <c r="S41" s="14">
        <v>-602.45680613827642</v>
      </c>
      <c r="T41" s="13">
        <v>-635.03001584080914</v>
      </c>
      <c r="U41" s="14">
        <v>-664.77113813765504</v>
      </c>
      <c r="V41" s="13">
        <v>-694.52889090435485</v>
      </c>
      <c r="W41" s="14">
        <v>-722.35723625836124</v>
      </c>
      <c r="X41" s="13">
        <v>-750.202493826357</v>
      </c>
    </row>
    <row r="42" spans="1:24" ht="16.5" customHeight="1" x14ac:dyDescent="0.2">
      <c r="A42" s="97"/>
      <c r="B42" s="29" t="s">
        <v>66</v>
      </c>
      <c r="C42" s="14">
        <v>733.20254100619002</v>
      </c>
      <c r="D42" s="13">
        <v>37.219030952090002</v>
      </c>
      <c r="E42" s="14">
        <v>25.65157606416</v>
      </c>
      <c r="F42" s="13">
        <v>89.781123977420009</v>
      </c>
      <c r="G42" s="14">
        <v>236.6024362636806</v>
      </c>
      <c r="H42" s="13">
        <v>199.24042847080051</v>
      </c>
      <c r="I42" s="14">
        <v>316.3987078723506</v>
      </c>
      <c r="J42" s="13">
        <v>553.81165858065049</v>
      </c>
      <c r="K42" s="14">
        <v>753.35518672949047</v>
      </c>
      <c r="L42" s="13">
        <v>718.43778796013055</v>
      </c>
      <c r="M42" s="14">
        <v>811.87248189501042</v>
      </c>
      <c r="N42" s="13">
        <v>916.86059227597025</v>
      </c>
      <c r="O42" s="14">
        <v>886.28513240009045</v>
      </c>
      <c r="P42" s="13">
        <v>884.60277021856029</v>
      </c>
      <c r="Q42" s="14">
        <v>858.34216870435023</v>
      </c>
      <c r="R42" s="13">
        <v>878.25094608793927</v>
      </c>
      <c r="S42" s="14">
        <v>853.95263645691011</v>
      </c>
      <c r="T42" s="13">
        <v>763.27090494564004</v>
      </c>
      <c r="U42" s="14">
        <v>1292.8862351621901</v>
      </c>
      <c r="V42" s="13">
        <v>1295.6997392181104</v>
      </c>
      <c r="W42" s="14">
        <v>1284.3916135933002</v>
      </c>
      <c r="X42" s="13">
        <v>1300.3965518640182</v>
      </c>
    </row>
    <row r="43" spans="1:24" ht="16.5" customHeight="1" x14ac:dyDescent="0.2">
      <c r="A43" s="97"/>
      <c r="B43" s="29" t="s">
        <v>59</v>
      </c>
      <c r="C43" s="14">
        <v>0</v>
      </c>
      <c r="D43" s="13">
        <v>0</v>
      </c>
      <c r="E43" s="14">
        <v>0</v>
      </c>
      <c r="F43" s="13">
        <v>0</v>
      </c>
      <c r="G43" s="14">
        <v>0</v>
      </c>
      <c r="H43" s="13">
        <v>0</v>
      </c>
      <c r="I43" s="14">
        <v>0</v>
      </c>
      <c r="J43" s="13">
        <v>0</v>
      </c>
      <c r="K43" s="14">
        <v>0</v>
      </c>
      <c r="L43" s="13">
        <v>0</v>
      </c>
      <c r="M43" s="14">
        <v>0</v>
      </c>
      <c r="N43" s="13">
        <v>0</v>
      </c>
      <c r="O43" s="14">
        <v>0</v>
      </c>
      <c r="P43" s="13">
        <v>0</v>
      </c>
      <c r="Q43" s="14">
        <v>0</v>
      </c>
      <c r="R43" s="13">
        <v>0</v>
      </c>
      <c r="S43" s="14">
        <v>0</v>
      </c>
      <c r="T43" s="13">
        <v>0</v>
      </c>
      <c r="U43" s="14">
        <v>0</v>
      </c>
      <c r="V43" s="13">
        <v>0</v>
      </c>
      <c r="W43" s="14">
        <v>0</v>
      </c>
      <c r="X43" s="13">
        <v>0</v>
      </c>
    </row>
    <row r="44" spans="1:24" ht="16.5" customHeight="1" x14ac:dyDescent="0.2">
      <c r="A44" s="97"/>
      <c r="B44" s="29" t="s">
        <v>67</v>
      </c>
      <c r="C44" s="14">
        <v>-916.50317625773744</v>
      </c>
      <c r="D44" s="13">
        <v>-46.523788690112497</v>
      </c>
      <c r="E44" s="14">
        <v>-32.064470080199996</v>
      </c>
      <c r="F44" s="13">
        <v>-112.22640497177501</v>
      </c>
      <c r="G44" s="14">
        <v>-295.75304532960075</v>
      </c>
      <c r="H44" s="13">
        <v>-249.05053558850062</v>
      </c>
      <c r="I44" s="14">
        <v>-395.49838484043823</v>
      </c>
      <c r="J44" s="13">
        <v>-692.26457322581302</v>
      </c>
      <c r="K44" s="14">
        <v>-941.69398341186309</v>
      </c>
      <c r="L44" s="13">
        <v>-898.0472349501631</v>
      </c>
      <c r="M44" s="14">
        <v>-1014.840602368763</v>
      </c>
      <c r="N44" s="13">
        <v>-1146.0757403449627</v>
      </c>
      <c r="O44" s="14">
        <v>-1107.8564155001129</v>
      </c>
      <c r="P44" s="13">
        <v>-1105.7534627732002</v>
      </c>
      <c r="Q44" s="14">
        <v>-1072.9277108804376</v>
      </c>
      <c r="R44" s="13">
        <v>-1097.8136826099239</v>
      </c>
      <c r="S44" s="14">
        <v>-1067.4407955711376</v>
      </c>
      <c r="T44" s="13">
        <v>-954.08863118204999</v>
      </c>
      <c r="U44" s="14">
        <v>-1616.1077939527377</v>
      </c>
      <c r="V44" s="13">
        <v>-1619.6246740226379</v>
      </c>
      <c r="W44" s="14">
        <v>-1605.4895169916251</v>
      </c>
      <c r="X44" s="13">
        <v>-1625.4956898300227</v>
      </c>
    </row>
    <row r="45" spans="1:24" ht="16.5" customHeight="1" x14ac:dyDescent="0.2">
      <c r="A45" s="97"/>
      <c r="B45" s="29" t="s">
        <v>68</v>
      </c>
      <c r="C45" s="14">
        <v>27.471750583252</v>
      </c>
      <c r="D45" s="13">
        <v>53.330113172897136</v>
      </c>
      <c r="E45" s="14">
        <v>75.032176527912583</v>
      </c>
      <c r="F45" s="13">
        <v>119.82384748624528</v>
      </c>
      <c r="G45" s="14">
        <v>173.7629380844769</v>
      </c>
      <c r="H45" s="13">
        <v>213.17175886897644</v>
      </c>
      <c r="I45" s="14">
        <v>236.69065548399627</v>
      </c>
      <c r="J45" s="13">
        <v>265.49172584847702</v>
      </c>
      <c r="K45" s="14">
        <v>294.60896371599858</v>
      </c>
      <c r="L45" s="13">
        <v>335.32580355524283</v>
      </c>
      <c r="M45" s="14">
        <v>405.71719657629694</v>
      </c>
      <c r="N45" s="13">
        <v>459.81679033231944</v>
      </c>
      <c r="O45" s="14">
        <v>418.05982090189082</v>
      </c>
      <c r="P45" s="13">
        <v>449.957982192744</v>
      </c>
      <c r="Q45" s="14">
        <v>480.14994562373181</v>
      </c>
      <c r="R45" s="13">
        <v>510.7222630949729</v>
      </c>
      <c r="S45" s="14">
        <v>542.21112552444879</v>
      </c>
      <c r="T45" s="13">
        <v>571.52701425672819</v>
      </c>
      <c r="U45" s="14">
        <v>598.29402432388952</v>
      </c>
      <c r="V45" s="13">
        <v>625.07600181391933</v>
      </c>
      <c r="W45" s="14">
        <v>650.12151263252508</v>
      </c>
      <c r="X45" s="13">
        <v>675.18224444372129</v>
      </c>
    </row>
    <row r="46" spans="1:24" ht="16.5" customHeight="1" thickBot="1" x14ac:dyDescent="0.25">
      <c r="A46" s="98"/>
      <c r="B46" s="29" t="s">
        <v>41</v>
      </c>
      <c r="C46" s="14">
        <v>3319</v>
      </c>
      <c r="D46" s="13">
        <v>3691</v>
      </c>
      <c r="E46" s="14">
        <v>4068</v>
      </c>
      <c r="F46" s="13">
        <v>4443</v>
      </c>
      <c r="G46" s="14">
        <v>4783</v>
      </c>
      <c r="H46" s="13">
        <v>5131</v>
      </c>
      <c r="I46" s="14">
        <v>5446</v>
      </c>
      <c r="J46" s="13">
        <v>5754</v>
      </c>
      <c r="K46" s="14">
        <v>6046</v>
      </c>
      <c r="L46" s="13">
        <v>6401</v>
      </c>
      <c r="M46" s="14">
        <v>6682</v>
      </c>
      <c r="N46" s="13">
        <v>6959</v>
      </c>
      <c r="O46" s="14">
        <v>7227</v>
      </c>
      <c r="P46" s="13">
        <v>7498</v>
      </c>
      <c r="Q46" s="14">
        <v>7728</v>
      </c>
      <c r="R46" s="13">
        <v>7911</v>
      </c>
      <c r="S46" s="14">
        <v>8096</v>
      </c>
      <c r="T46" s="13">
        <v>8273</v>
      </c>
      <c r="U46" s="14">
        <v>8393</v>
      </c>
      <c r="V46" s="13">
        <v>8504</v>
      </c>
      <c r="W46" s="14">
        <v>8624</v>
      </c>
      <c r="X46" s="13">
        <v>8728</v>
      </c>
    </row>
    <row r="47" spans="1:24" ht="16.5" customHeight="1" x14ac:dyDescent="0.2">
      <c r="A47" s="93" t="s">
        <v>38</v>
      </c>
      <c r="B47" s="12" t="s">
        <v>54</v>
      </c>
      <c r="C47" s="13">
        <v>0</v>
      </c>
      <c r="D47" s="14">
        <v>0</v>
      </c>
      <c r="E47" s="13">
        <v>0</v>
      </c>
      <c r="F47" s="14">
        <v>0</v>
      </c>
      <c r="G47" s="13">
        <v>0</v>
      </c>
      <c r="H47" s="14">
        <v>0</v>
      </c>
      <c r="I47" s="13">
        <v>0</v>
      </c>
      <c r="J47" s="14">
        <v>0</v>
      </c>
      <c r="K47" s="13">
        <v>0</v>
      </c>
      <c r="L47" s="14">
        <v>0</v>
      </c>
      <c r="M47" s="13">
        <v>0</v>
      </c>
      <c r="N47" s="14">
        <v>0</v>
      </c>
      <c r="O47" s="13">
        <v>0</v>
      </c>
      <c r="P47" s="14">
        <v>0</v>
      </c>
      <c r="Q47" s="13">
        <v>0</v>
      </c>
      <c r="R47" s="14">
        <v>0</v>
      </c>
      <c r="S47" s="13">
        <v>0</v>
      </c>
      <c r="T47" s="14">
        <v>0</v>
      </c>
      <c r="U47" s="13">
        <v>0</v>
      </c>
      <c r="V47" s="14">
        <v>0</v>
      </c>
      <c r="W47" s="13">
        <v>0</v>
      </c>
      <c r="X47" s="14">
        <v>0</v>
      </c>
    </row>
    <row r="48" spans="1:24" ht="16.5" customHeight="1" x14ac:dyDescent="0.2">
      <c r="A48" s="94"/>
      <c r="B48" s="12" t="s">
        <v>55</v>
      </c>
      <c r="C48" s="13">
        <v>0</v>
      </c>
      <c r="D48" s="14">
        <v>0</v>
      </c>
      <c r="E48" s="13">
        <v>0</v>
      </c>
      <c r="F48" s="14">
        <v>0</v>
      </c>
      <c r="G48" s="13">
        <v>0</v>
      </c>
      <c r="H48" s="14">
        <v>0</v>
      </c>
      <c r="I48" s="13">
        <v>0</v>
      </c>
      <c r="J48" s="14">
        <v>0</v>
      </c>
      <c r="K48" s="13">
        <v>0</v>
      </c>
      <c r="L48" s="14">
        <v>0</v>
      </c>
      <c r="M48" s="13">
        <v>0</v>
      </c>
      <c r="N48" s="14">
        <v>0</v>
      </c>
      <c r="O48" s="13">
        <v>0</v>
      </c>
      <c r="P48" s="14">
        <v>0</v>
      </c>
      <c r="Q48" s="13">
        <v>0</v>
      </c>
      <c r="R48" s="14">
        <v>0</v>
      </c>
      <c r="S48" s="13">
        <v>0</v>
      </c>
      <c r="T48" s="14">
        <v>0</v>
      </c>
      <c r="U48" s="13">
        <v>0</v>
      </c>
      <c r="V48" s="14">
        <v>0</v>
      </c>
      <c r="W48" s="13">
        <v>0</v>
      </c>
      <c r="X48" s="14">
        <v>0</v>
      </c>
    </row>
    <row r="49" spans="1:24" ht="16.5" customHeight="1" x14ac:dyDescent="0.2">
      <c r="A49" s="94"/>
      <c r="B49" s="12" t="s">
        <v>17</v>
      </c>
      <c r="C49" s="13">
        <v>0</v>
      </c>
      <c r="D49" s="14">
        <v>0</v>
      </c>
      <c r="E49" s="13">
        <v>0</v>
      </c>
      <c r="F49" s="14">
        <v>0</v>
      </c>
      <c r="G49" s="13">
        <v>0</v>
      </c>
      <c r="H49" s="14">
        <v>0</v>
      </c>
      <c r="I49" s="13">
        <v>0</v>
      </c>
      <c r="J49" s="14">
        <v>0</v>
      </c>
      <c r="K49" s="13">
        <v>0</v>
      </c>
      <c r="L49" s="14">
        <v>0</v>
      </c>
      <c r="M49" s="13">
        <v>0</v>
      </c>
      <c r="N49" s="14">
        <v>0</v>
      </c>
      <c r="O49" s="13">
        <v>0</v>
      </c>
      <c r="P49" s="14">
        <v>0</v>
      </c>
      <c r="Q49" s="13">
        <v>0</v>
      </c>
      <c r="R49" s="14">
        <v>0</v>
      </c>
      <c r="S49" s="13">
        <v>0</v>
      </c>
      <c r="T49" s="14">
        <v>0</v>
      </c>
      <c r="U49" s="13">
        <v>0</v>
      </c>
      <c r="V49" s="14">
        <v>0</v>
      </c>
      <c r="W49" s="13">
        <v>0</v>
      </c>
      <c r="X49" s="14">
        <v>0</v>
      </c>
    </row>
    <row r="50" spans="1:24" ht="16.5" customHeight="1" x14ac:dyDescent="0.2">
      <c r="A50" s="94"/>
      <c r="B50" s="12" t="s">
        <v>44</v>
      </c>
      <c r="C50" s="13">
        <v>6039</v>
      </c>
      <c r="D50" s="14">
        <v>4562</v>
      </c>
      <c r="E50" s="13">
        <v>4538</v>
      </c>
      <c r="F50" s="14">
        <v>4546</v>
      </c>
      <c r="G50" s="13">
        <v>4624</v>
      </c>
      <c r="H50" s="14">
        <v>4589</v>
      </c>
      <c r="I50" s="13">
        <v>0</v>
      </c>
      <c r="J50" s="14">
        <v>0</v>
      </c>
      <c r="K50" s="13">
        <v>0</v>
      </c>
      <c r="L50" s="14">
        <v>0</v>
      </c>
      <c r="M50" s="13">
        <v>0</v>
      </c>
      <c r="N50" s="14">
        <v>0</v>
      </c>
      <c r="O50" s="13">
        <v>0</v>
      </c>
      <c r="P50" s="14">
        <v>0</v>
      </c>
      <c r="Q50" s="13">
        <v>0</v>
      </c>
      <c r="R50" s="14">
        <v>0</v>
      </c>
      <c r="S50" s="13">
        <v>0</v>
      </c>
      <c r="T50" s="14">
        <v>0</v>
      </c>
      <c r="U50" s="13">
        <v>0</v>
      </c>
      <c r="V50" s="14">
        <v>0</v>
      </c>
      <c r="W50" s="13">
        <v>0</v>
      </c>
      <c r="X50" s="14">
        <v>0</v>
      </c>
    </row>
    <row r="51" spans="1:24" ht="16.5" customHeight="1" x14ac:dyDescent="0.2">
      <c r="A51" s="94"/>
      <c r="B51" s="12" t="s">
        <v>56</v>
      </c>
      <c r="C51" s="13">
        <v>922</v>
      </c>
      <c r="D51" s="14">
        <v>402</v>
      </c>
      <c r="E51" s="13">
        <v>368</v>
      </c>
      <c r="F51" s="14">
        <v>87</v>
      </c>
      <c r="G51" s="13">
        <v>300</v>
      </c>
      <c r="H51" s="14">
        <v>123</v>
      </c>
      <c r="I51" s="13">
        <v>702</v>
      </c>
      <c r="J51" s="14">
        <v>1030</v>
      </c>
      <c r="K51" s="13">
        <v>1463</v>
      </c>
      <c r="L51" s="14">
        <v>671</v>
      </c>
      <c r="M51" s="13">
        <v>1372</v>
      </c>
      <c r="N51" s="14">
        <v>2565</v>
      </c>
      <c r="O51" s="13">
        <v>1301</v>
      </c>
      <c r="P51" s="14">
        <v>1342</v>
      </c>
      <c r="Q51" s="13">
        <v>2051</v>
      </c>
      <c r="R51" s="14">
        <v>2320</v>
      </c>
      <c r="S51" s="13">
        <v>2319</v>
      </c>
      <c r="T51" s="14">
        <v>936</v>
      </c>
      <c r="U51" s="13">
        <v>2485</v>
      </c>
      <c r="V51" s="14">
        <v>2488</v>
      </c>
      <c r="W51" s="13">
        <v>2693</v>
      </c>
      <c r="X51" s="14">
        <v>2761</v>
      </c>
    </row>
    <row r="52" spans="1:24" ht="16.5" customHeight="1" x14ac:dyDescent="0.2">
      <c r="A52" s="94"/>
      <c r="B52" s="12" t="s">
        <v>18</v>
      </c>
      <c r="C52" s="13">
        <v>6665.3482692476809</v>
      </c>
      <c r="D52" s="14">
        <v>6515.8982211703096</v>
      </c>
      <c r="E52" s="13">
        <v>6373.4552384571116</v>
      </c>
      <c r="F52" s="14">
        <v>6361.6469079073304</v>
      </c>
      <c r="G52" s="13">
        <v>6521.4309375361099</v>
      </c>
      <c r="H52" s="14">
        <v>6481.5066527629397</v>
      </c>
      <c r="I52" s="13">
        <v>6715.7939179619616</v>
      </c>
      <c r="J52" s="14">
        <v>6714.7471036034995</v>
      </c>
      <c r="K52" s="13">
        <v>6708.5465980801691</v>
      </c>
      <c r="L52" s="14">
        <v>6643.1743572161695</v>
      </c>
      <c r="M52" s="13">
        <v>6735.9177644432184</v>
      </c>
      <c r="N52" s="14">
        <v>6622.8167511120819</v>
      </c>
      <c r="O52" s="13">
        <v>6555.5324823953606</v>
      </c>
      <c r="P52" s="14">
        <v>6554.3050296991996</v>
      </c>
      <c r="Q52" s="13">
        <v>6593.2972213693101</v>
      </c>
      <c r="R52" s="14">
        <v>6710.1572823832403</v>
      </c>
      <c r="S52" s="13">
        <v>6752.4849600219295</v>
      </c>
      <c r="T52" s="14">
        <v>6738.48257783181</v>
      </c>
      <c r="U52" s="13">
        <v>6638.7413408755792</v>
      </c>
      <c r="V52" s="14">
        <v>6575.7801755286791</v>
      </c>
      <c r="W52" s="13">
        <v>6626.6781298842407</v>
      </c>
      <c r="X52" s="14">
        <v>6815.5875275445087</v>
      </c>
    </row>
    <row r="53" spans="1:24" ht="16.5" customHeight="1" x14ac:dyDescent="0.2">
      <c r="A53" s="94"/>
      <c r="B53" s="12" t="s">
        <v>57</v>
      </c>
      <c r="C53" s="13">
        <v>412.73092924625001</v>
      </c>
      <c r="D53" s="14">
        <v>1139.76498815933</v>
      </c>
      <c r="E53" s="13">
        <v>1134.75888733689</v>
      </c>
      <c r="F53" s="14">
        <v>1131.4995352795002</v>
      </c>
      <c r="G53" s="13">
        <v>1136.03188648991</v>
      </c>
      <c r="H53" s="14">
        <v>1138.19092559162</v>
      </c>
      <c r="I53" s="13">
        <v>1137.8367829844401</v>
      </c>
      <c r="J53" s="14">
        <v>1286.6483361672699</v>
      </c>
      <c r="K53" s="13">
        <v>1286.2886133657698</v>
      </c>
      <c r="L53" s="14">
        <v>1285.33733182114</v>
      </c>
      <c r="M53" s="13">
        <v>1286.14935021972</v>
      </c>
      <c r="N53" s="14">
        <v>1284.55130829373</v>
      </c>
      <c r="O53" s="13">
        <v>1285.75967130652</v>
      </c>
      <c r="P53" s="14">
        <v>1286.0021048830699</v>
      </c>
      <c r="Q53" s="13">
        <v>1280.0044098171402</v>
      </c>
      <c r="R53" s="14">
        <v>1286.37749909387</v>
      </c>
      <c r="S53" s="13">
        <v>1282.0712931354501</v>
      </c>
      <c r="T53" s="14">
        <v>1289.2397987593499</v>
      </c>
      <c r="U53" s="13">
        <v>2363.4111381685202</v>
      </c>
      <c r="V53" s="14">
        <v>2369.5018028567602</v>
      </c>
      <c r="W53" s="13">
        <v>2445.6775898001201</v>
      </c>
      <c r="X53" s="14">
        <v>2458.2363995088599</v>
      </c>
    </row>
    <row r="54" spans="1:24" ht="16.5" customHeight="1" x14ac:dyDescent="0.2">
      <c r="A54" s="94"/>
      <c r="B54" s="12" t="s">
        <v>65</v>
      </c>
      <c r="C54" s="13">
        <v>-10.029253348305074</v>
      </c>
      <c r="D54" s="14">
        <v>-20.407567021071781</v>
      </c>
      <c r="E54" s="13">
        <v>-33.575586632933813</v>
      </c>
      <c r="F54" s="14">
        <v>-49.851241139442678</v>
      </c>
      <c r="G54" s="13">
        <v>-66.630647535773292</v>
      </c>
      <c r="H54" s="14">
        <v>-87.205216890746314</v>
      </c>
      <c r="I54" s="13">
        <v>-105.30083396796502</v>
      </c>
      <c r="J54" s="14">
        <v>-122.58272427684518</v>
      </c>
      <c r="K54" s="13">
        <v>-139.29278007661543</v>
      </c>
      <c r="L54" s="14">
        <v>-157.14437133190316</v>
      </c>
      <c r="M54" s="13">
        <v>-175.77302337075832</v>
      </c>
      <c r="N54" s="14">
        <v>-190.43500519282881</v>
      </c>
      <c r="O54" s="13">
        <v>-211.07105873850824</v>
      </c>
      <c r="P54" s="14">
        <v>-227.8085501024317</v>
      </c>
      <c r="Q54" s="13">
        <v>-239.94977835046777</v>
      </c>
      <c r="R54" s="14">
        <v>-252.57846438510416</v>
      </c>
      <c r="S54" s="13">
        <v>-263.87476183075017</v>
      </c>
      <c r="T54" s="14">
        <v>-272.86255879474919</v>
      </c>
      <c r="U54" s="13">
        <v>-289.79991433829764</v>
      </c>
      <c r="V54" s="14">
        <v>-301.301883820265</v>
      </c>
      <c r="W54" s="13">
        <v>-312.18561456184176</v>
      </c>
      <c r="X54" s="14">
        <v>-323.47778788334466</v>
      </c>
    </row>
    <row r="55" spans="1:24" ht="16.5" customHeight="1" x14ac:dyDescent="0.2">
      <c r="A55" s="94"/>
      <c r="B55" s="12" t="s">
        <v>66</v>
      </c>
      <c r="C55" s="13">
        <v>20.16829831874</v>
      </c>
      <c r="D55" s="14">
        <v>23.70897579324</v>
      </c>
      <c r="E55" s="13">
        <v>19.81592208516</v>
      </c>
      <c r="F55" s="14">
        <v>27.37731534728</v>
      </c>
      <c r="G55" s="13">
        <v>30.624895439660001</v>
      </c>
      <c r="H55" s="14">
        <v>39.220575891779902</v>
      </c>
      <c r="I55" s="13">
        <v>61.4800524842599</v>
      </c>
      <c r="J55" s="14">
        <v>403.38187961060993</v>
      </c>
      <c r="K55" s="13">
        <v>441.81291428361993</v>
      </c>
      <c r="L55" s="14">
        <v>440.61029482219988</v>
      </c>
      <c r="M55" s="13">
        <v>464.45096983671999</v>
      </c>
      <c r="N55" s="14">
        <v>500.61498866175998</v>
      </c>
      <c r="O55" s="13">
        <v>494.17728202492992</v>
      </c>
      <c r="P55" s="14">
        <v>501.55307145884001</v>
      </c>
      <c r="Q55" s="13">
        <v>633.44523267837997</v>
      </c>
      <c r="R55" s="14">
        <v>635.60790444931001</v>
      </c>
      <c r="S55" s="13">
        <v>537.85928396128998</v>
      </c>
      <c r="T55" s="14">
        <v>293.19445269798996</v>
      </c>
      <c r="U55" s="13">
        <v>588.57569918679997</v>
      </c>
      <c r="V55" s="14">
        <v>599.1491839836001</v>
      </c>
      <c r="W55" s="13">
        <v>636.62321404716999</v>
      </c>
      <c r="X55" s="14">
        <v>663.94100175701897</v>
      </c>
    </row>
    <row r="56" spans="1:24" ht="16.5" customHeight="1" x14ac:dyDescent="0.2">
      <c r="A56" s="94"/>
      <c r="B56" s="12" t="s">
        <v>59</v>
      </c>
      <c r="C56" s="13">
        <v>0</v>
      </c>
      <c r="D56" s="14">
        <v>0</v>
      </c>
      <c r="E56" s="13">
        <v>0</v>
      </c>
      <c r="F56" s="14">
        <v>0</v>
      </c>
      <c r="G56" s="13">
        <v>0</v>
      </c>
      <c r="H56" s="14">
        <v>0</v>
      </c>
      <c r="I56" s="13">
        <v>0</v>
      </c>
      <c r="J56" s="14">
        <v>0</v>
      </c>
      <c r="K56" s="13">
        <v>0</v>
      </c>
      <c r="L56" s="14">
        <v>0</v>
      </c>
      <c r="M56" s="13">
        <v>0</v>
      </c>
      <c r="N56" s="14">
        <v>0</v>
      </c>
      <c r="O56" s="13">
        <v>0</v>
      </c>
      <c r="P56" s="14">
        <v>0</v>
      </c>
      <c r="Q56" s="13">
        <v>0</v>
      </c>
      <c r="R56" s="14">
        <v>0</v>
      </c>
      <c r="S56" s="13">
        <v>0</v>
      </c>
      <c r="T56" s="14">
        <v>0</v>
      </c>
      <c r="U56" s="13">
        <v>0</v>
      </c>
      <c r="V56" s="14">
        <v>0</v>
      </c>
      <c r="W56" s="13">
        <v>0</v>
      </c>
      <c r="X56" s="14">
        <v>0</v>
      </c>
    </row>
    <row r="57" spans="1:24" ht="16.5" customHeight="1" x14ac:dyDescent="0.2">
      <c r="A57" s="94"/>
      <c r="B57" s="12" t="s">
        <v>67</v>
      </c>
      <c r="C57" s="13">
        <v>-25.210372898425</v>
      </c>
      <c r="D57" s="14">
        <v>-29.636219741550001</v>
      </c>
      <c r="E57" s="13">
        <v>-24.76990260645</v>
      </c>
      <c r="F57" s="14">
        <v>-34.221644184100001</v>
      </c>
      <c r="G57" s="13">
        <v>-38.281119299574996</v>
      </c>
      <c r="H57" s="14">
        <v>-49.025719864724877</v>
      </c>
      <c r="I57" s="13">
        <v>-76.850065605324872</v>
      </c>
      <c r="J57" s="14">
        <v>-504.22734951326237</v>
      </c>
      <c r="K57" s="13">
        <v>-552.2661428545249</v>
      </c>
      <c r="L57" s="14">
        <v>-550.76286852774979</v>
      </c>
      <c r="M57" s="13">
        <v>-580.5637122958999</v>
      </c>
      <c r="N57" s="14">
        <v>-625.76873582719998</v>
      </c>
      <c r="O57" s="13">
        <v>-617.72160253116238</v>
      </c>
      <c r="P57" s="14">
        <v>-626.94133932354998</v>
      </c>
      <c r="Q57" s="13">
        <v>-791.80654084797493</v>
      </c>
      <c r="R57" s="14">
        <v>-794.50988056163749</v>
      </c>
      <c r="S57" s="13">
        <v>-672.32410495161241</v>
      </c>
      <c r="T57" s="14">
        <v>-366.49306587248742</v>
      </c>
      <c r="U57" s="13">
        <v>-735.7196239834999</v>
      </c>
      <c r="V57" s="14">
        <v>-748.93647997950006</v>
      </c>
      <c r="W57" s="13">
        <v>-795.77901755896244</v>
      </c>
      <c r="X57" s="14">
        <v>-829.92625219627371</v>
      </c>
    </row>
    <row r="58" spans="1:24" ht="16.5" customHeight="1" x14ac:dyDescent="0.2">
      <c r="A58" s="94"/>
      <c r="B58" s="12" t="s">
        <v>68</v>
      </c>
      <c r="C58" s="13">
        <v>9.0263280134745667</v>
      </c>
      <c r="D58" s="14">
        <v>18.366810318964603</v>
      </c>
      <c r="E58" s="13">
        <v>30.218027969640431</v>
      </c>
      <c r="F58" s="14">
        <v>44.866117025498411</v>
      </c>
      <c r="G58" s="13">
        <v>59.967582782195961</v>
      </c>
      <c r="H58" s="14">
        <v>78.484695201671684</v>
      </c>
      <c r="I58" s="13">
        <v>94.77075057116852</v>
      </c>
      <c r="J58" s="14">
        <v>110.32445184916067</v>
      </c>
      <c r="K58" s="13">
        <v>125.36350206895389</v>
      </c>
      <c r="L58" s="14">
        <v>141.42993419871286</v>
      </c>
      <c r="M58" s="13">
        <v>158.1957210336825</v>
      </c>
      <c r="N58" s="14">
        <v>171.39150467354594</v>
      </c>
      <c r="O58" s="13">
        <v>189.96395286465741</v>
      </c>
      <c r="P58" s="14">
        <v>205.02769509218854</v>
      </c>
      <c r="Q58" s="13">
        <v>215.954800515421</v>
      </c>
      <c r="R58" s="14">
        <v>227.32061794659376</v>
      </c>
      <c r="S58" s="13">
        <v>237.48728564767515</v>
      </c>
      <c r="T58" s="14">
        <v>245.57630291527425</v>
      </c>
      <c r="U58" s="13">
        <v>260.81992290446789</v>
      </c>
      <c r="V58" s="14">
        <v>271.17169543823849</v>
      </c>
      <c r="W58" s="13">
        <v>280.96705310565761</v>
      </c>
      <c r="X58" s="14">
        <v>291.13000909501022</v>
      </c>
    </row>
    <row r="59" spans="1:24" ht="16.5" customHeight="1" thickBot="1" x14ac:dyDescent="0.25">
      <c r="A59" s="95"/>
      <c r="B59" s="12" t="s">
        <v>41</v>
      </c>
      <c r="C59" s="13">
        <v>1285</v>
      </c>
      <c r="D59" s="14">
        <v>1390</v>
      </c>
      <c r="E59" s="13">
        <v>1504</v>
      </c>
      <c r="F59" s="14">
        <v>1460</v>
      </c>
      <c r="G59" s="13">
        <v>1251</v>
      </c>
      <c r="H59" s="14">
        <v>1857</v>
      </c>
      <c r="I59" s="13">
        <v>1976</v>
      </c>
      <c r="J59" s="14">
        <v>2085</v>
      </c>
      <c r="K59" s="13">
        <v>2201</v>
      </c>
      <c r="L59" s="14">
        <v>2333</v>
      </c>
      <c r="M59" s="13">
        <v>2450</v>
      </c>
      <c r="N59" s="14">
        <v>2566</v>
      </c>
      <c r="O59" s="13">
        <v>2672</v>
      </c>
      <c r="P59" s="14">
        <v>2790</v>
      </c>
      <c r="Q59" s="13">
        <v>2900</v>
      </c>
      <c r="R59" s="14">
        <v>3002</v>
      </c>
      <c r="S59" s="13">
        <v>3096</v>
      </c>
      <c r="T59" s="14">
        <v>3195</v>
      </c>
      <c r="U59" s="13">
        <v>3275</v>
      </c>
      <c r="V59" s="14">
        <v>3360</v>
      </c>
      <c r="W59" s="13">
        <v>3447</v>
      </c>
      <c r="X59" s="14">
        <v>3525</v>
      </c>
    </row>
    <row r="60" spans="1:24" ht="16.5" customHeight="1" x14ac:dyDescent="0.2">
      <c r="A60" s="96" t="s">
        <v>37</v>
      </c>
      <c r="B60" s="29" t="s">
        <v>54</v>
      </c>
      <c r="C60" s="14">
        <v>0</v>
      </c>
      <c r="D60" s="13">
        <v>0</v>
      </c>
      <c r="E60" s="14">
        <v>0</v>
      </c>
      <c r="F60" s="13">
        <v>0</v>
      </c>
      <c r="G60" s="14">
        <v>0</v>
      </c>
      <c r="H60" s="13">
        <v>0</v>
      </c>
      <c r="I60" s="14">
        <v>0</v>
      </c>
      <c r="J60" s="13">
        <v>0</v>
      </c>
      <c r="K60" s="14">
        <v>0</v>
      </c>
      <c r="L60" s="13">
        <v>0</v>
      </c>
      <c r="M60" s="14">
        <v>0</v>
      </c>
      <c r="N60" s="13">
        <v>0</v>
      </c>
      <c r="O60" s="14">
        <v>0</v>
      </c>
      <c r="P60" s="13">
        <v>0</v>
      </c>
      <c r="Q60" s="14">
        <v>0</v>
      </c>
      <c r="R60" s="13">
        <v>0</v>
      </c>
      <c r="S60" s="14">
        <v>0</v>
      </c>
      <c r="T60" s="13">
        <v>0</v>
      </c>
      <c r="U60" s="14">
        <v>0</v>
      </c>
      <c r="V60" s="13">
        <v>0</v>
      </c>
      <c r="W60" s="14">
        <v>0</v>
      </c>
      <c r="X60" s="13">
        <v>0</v>
      </c>
    </row>
    <row r="61" spans="1:24" ht="16.5" customHeight="1" x14ac:dyDescent="0.2">
      <c r="A61" s="97"/>
      <c r="B61" s="29" t="s">
        <v>55</v>
      </c>
      <c r="C61" s="14">
        <v>32184.499307837919</v>
      </c>
      <c r="D61" s="13">
        <v>32191.753509514339</v>
      </c>
      <c r="E61" s="14">
        <v>32256.300686468989</v>
      </c>
      <c r="F61" s="13">
        <v>32545.616636965606</v>
      </c>
      <c r="G61" s="14">
        <v>30103.304089523237</v>
      </c>
      <c r="H61" s="13">
        <v>29998.501592662647</v>
      </c>
      <c r="I61" s="14">
        <v>32553.046982392421</v>
      </c>
      <c r="J61" s="13">
        <v>32563.90355194451</v>
      </c>
      <c r="K61" s="14">
        <v>28773.58408255114</v>
      </c>
      <c r="L61" s="13">
        <v>32471.792321209621</v>
      </c>
      <c r="M61" s="14">
        <v>28719.402290572209</v>
      </c>
      <c r="N61" s="13">
        <v>28634.507799898878</v>
      </c>
      <c r="O61" s="14">
        <v>32086.521190765947</v>
      </c>
      <c r="P61" s="13">
        <v>32151.441502535421</v>
      </c>
      <c r="Q61" s="14">
        <v>22369.636801931982</v>
      </c>
      <c r="R61" s="13">
        <v>22365.30557948802</v>
      </c>
      <c r="S61" s="14">
        <v>22421.484399000354</v>
      </c>
      <c r="T61" s="13">
        <v>22538.901509707452</v>
      </c>
      <c r="U61" s="14">
        <v>18692.36366302934</v>
      </c>
      <c r="V61" s="13">
        <v>22465.052082931779</v>
      </c>
      <c r="W61" s="14">
        <v>18754.036659587022</v>
      </c>
      <c r="X61" s="13">
        <v>18749.346128128262</v>
      </c>
    </row>
    <row r="62" spans="1:24" ht="16.5" customHeight="1" x14ac:dyDescent="0.2">
      <c r="A62" s="97"/>
      <c r="B62" s="29" t="s">
        <v>17</v>
      </c>
      <c r="C62" s="14">
        <v>3362.7083170180204</v>
      </c>
      <c r="D62" s="13">
        <v>3371.9212165167601</v>
      </c>
      <c r="E62" s="14">
        <v>3362.7083170180804</v>
      </c>
      <c r="F62" s="13">
        <v>3362.7083170180913</v>
      </c>
      <c r="G62" s="14">
        <v>3362.7083170181204</v>
      </c>
      <c r="H62" s="13">
        <v>3371.9212165168701</v>
      </c>
      <c r="I62" s="14">
        <v>3362.7083170180213</v>
      </c>
      <c r="J62" s="13">
        <v>3362.7083170182</v>
      </c>
      <c r="K62" s="14">
        <v>3362.7083170180904</v>
      </c>
      <c r="L62" s="13">
        <v>3371.9212165168301</v>
      </c>
      <c r="M62" s="14">
        <v>3362.7083170180504</v>
      </c>
      <c r="N62" s="13">
        <v>3362.7083170182013</v>
      </c>
      <c r="O62" s="14">
        <v>3362.7083170180704</v>
      </c>
      <c r="P62" s="13">
        <v>3371.9212165168401</v>
      </c>
      <c r="Q62" s="14">
        <v>3362.7083170181904</v>
      </c>
      <c r="R62" s="13">
        <v>3362.7083170181604</v>
      </c>
      <c r="S62" s="14">
        <v>3362.7083170181304</v>
      </c>
      <c r="T62" s="13">
        <v>3371.9212165168401</v>
      </c>
      <c r="U62" s="14">
        <v>3362.7083170181204</v>
      </c>
      <c r="V62" s="13">
        <v>3362.7083170181909</v>
      </c>
      <c r="W62" s="14">
        <v>3362.7083170181709</v>
      </c>
      <c r="X62" s="13">
        <v>3371.9212165168101</v>
      </c>
    </row>
    <row r="63" spans="1:24" ht="16.5" customHeight="1" x14ac:dyDescent="0.2">
      <c r="A63" s="97"/>
      <c r="B63" s="29" t="s">
        <v>44</v>
      </c>
      <c r="C63" s="14">
        <v>50.520145668710001</v>
      </c>
      <c r="D63" s="13">
        <v>34.114700089289997</v>
      </c>
      <c r="E63" s="14">
        <v>25.405095792680001</v>
      </c>
      <c r="F63" s="13">
        <v>24.351122199439999</v>
      </c>
      <c r="G63" s="14">
        <v>29.892761198300001</v>
      </c>
      <c r="H63" s="13">
        <v>23.136190396490001</v>
      </c>
      <c r="I63" s="14">
        <v>19.928404191079998</v>
      </c>
      <c r="J63" s="13">
        <v>27.416949742410001</v>
      </c>
      <c r="K63" s="14">
        <v>42.878317697070003</v>
      </c>
      <c r="L63" s="13">
        <v>19.296779980810001</v>
      </c>
      <c r="M63" s="14">
        <v>33.128493189929998</v>
      </c>
      <c r="N63" s="13">
        <v>58.471033174310001</v>
      </c>
      <c r="O63" s="14">
        <v>27.234135524759999</v>
      </c>
      <c r="P63" s="13">
        <v>0</v>
      </c>
      <c r="Q63" s="14">
        <v>0</v>
      </c>
      <c r="R63" s="13">
        <v>0</v>
      </c>
      <c r="S63" s="14">
        <v>2745.4948991381698</v>
      </c>
      <c r="T63" s="13">
        <v>17456.6253463352</v>
      </c>
      <c r="U63" s="14">
        <v>19605.3325491246</v>
      </c>
      <c r="V63" s="13">
        <v>18996.385521311098</v>
      </c>
      <c r="W63" s="14">
        <v>19753.435372161101</v>
      </c>
      <c r="X63" s="13">
        <v>19690.223156738499</v>
      </c>
    </row>
    <row r="64" spans="1:24" ht="16.5" customHeight="1" x14ac:dyDescent="0.2">
      <c r="A64" s="97"/>
      <c r="B64" s="29" t="s">
        <v>56</v>
      </c>
      <c r="C64" s="14">
        <v>144.11398827174997</v>
      </c>
      <c r="D64" s="13">
        <v>90.241901160229986</v>
      </c>
      <c r="E64" s="14">
        <v>67.11627467916</v>
      </c>
      <c r="F64" s="13">
        <v>63.250014957809995</v>
      </c>
      <c r="G64" s="14">
        <v>87.845970298529991</v>
      </c>
      <c r="H64" s="13">
        <v>66.920397924199989</v>
      </c>
      <c r="I64" s="14">
        <v>62.823119106590006</v>
      </c>
      <c r="J64" s="13">
        <v>84.250891349029999</v>
      </c>
      <c r="K64" s="14">
        <v>169.50737089189002</v>
      </c>
      <c r="L64" s="13">
        <v>49.883065220760002</v>
      </c>
      <c r="M64" s="14">
        <v>148.58596221968</v>
      </c>
      <c r="N64" s="13">
        <v>200.53192752355997</v>
      </c>
      <c r="O64" s="14">
        <v>88.560041776429998</v>
      </c>
      <c r="P64" s="13">
        <v>95.791835850300004</v>
      </c>
      <c r="Q64" s="14">
        <v>305.75198601597998</v>
      </c>
      <c r="R64" s="13">
        <v>711.79876217488902</v>
      </c>
      <c r="S64" s="14">
        <v>690.70220593859995</v>
      </c>
      <c r="T64" s="13">
        <v>69.353537367019996</v>
      </c>
      <c r="U64" s="14">
        <v>1528.50273257462</v>
      </c>
      <c r="V64" s="13">
        <v>912.14860262676905</v>
      </c>
      <c r="W64" s="14">
        <v>2103.9039749916301</v>
      </c>
      <c r="X64" s="13">
        <v>2180.8292161614299</v>
      </c>
    </row>
    <row r="65" spans="1:24" ht="16.5" customHeight="1" x14ac:dyDescent="0.2">
      <c r="A65" s="97"/>
      <c r="B65" s="29" t="s">
        <v>18</v>
      </c>
      <c r="C65" s="14">
        <v>5437.24420910345</v>
      </c>
      <c r="D65" s="13">
        <v>9061.777756526948</v>
      </c>
      <c r="E65" s="14">
        <v>11139.45467190566</v>
      </c>
      <c r="F65" s="13">
        <v>12240.981597531441</v>
      </c>
      <c r="G65" s="14">
        <v>13648.246286705409</v>
      </c>
      <c r="H65" s="13">
        <v>15566.645921846588</v>
      </c>
      <c r="I65" s="14">
        <v>16996.353869990431</v>
      </c>
      <c r="J65" s="13">
        <v>17102.683052236091</v>
      </c>
      <c r="K65" s="14">
        <v>17628.689780225948</v>
      </c>
      <c r="L65" s="13">
        <v>16943.971572965886</v>
      </c>
      <c r="M65" s="14">
        <v>17604.285868334919</v>
      </c>
      <c r="N65" s="13">
        <v>17261.732596093218</v>
      </c>
      <c r="O65" s="14">
        <v>16805.717965312997</v>
      </c>
      <c r="P65" s="13">
        <v>16874.95231328559</v>
      </c>
      <c r="Q65" s="14">
        <v>18018.273237193902</v>
      </c>
      <c r="R65" s="13">
        <v>18305.800217950993</v>
      </c>
      <c r="S65" s="14">
        <v>18648.909995625359</v>
      </c>
      <c r="T65" s="13">
        <v>18753.91310072687</v>
      </c>
      <c r="U65" s="14">
        <v>18595.891630120001</v>
      </c>
      <c r="V65" s="13">
        <v>18410.975501091871</v>
      </c>
      <c r="W65" s="14">
        <v>18522.187423109761</v>
      </c>
      <c r="X65" s="13">
        <v>19033.005498428149</v>
      </c>
    </row>
    <row r="66" spans="1:24" ht="16.5" customHeight="1" x14ac:dyDescent="0.2">
      <c r="A66" s="97"/>
      <c r="B66" s="29" t="s">
        <v>57</v>
      </c>
      <c r="C66" s="14">
        <v>862.05044800527992</v>
      </c>
      <c r="D66" s="13">
        <v>1311.7873163006502</v>
      </c>
      <c r="E66" s="14">
        <v>1310.5009169908799</v>
      </c>
      <c r="F66" s="13">
        <v>1308.3991671233798</v>
      </c>
      <c r="G66" s="14">
        <v>1703.6829051477202</v>
      </c>
      <c r="H66" s="13">
        <v>3150.87848535372</v>
      </c>
      <c r="I66" s="14">
        <v>3561.12846347923</v>
      </c>
      <c r="J66" s="13">
        <v>3570.3883876953396</v>
      </c>
      <c r="K66" s="14">
        <v>3558.0079816258299</v>
      </c>
      <c r="L66" s="13">
        <v>3566.4853243119801</v>
      </c>
      <c r="M66" s="14">
        <v>3539.7747911931001</v>
      </c>
      <c r="N66" s="13">
        <v>3544.46077251413</v>
      </c>
      <c r="O66" s="14">
        <v>3548.89637195146</v>
      </c>
      <c r="P66" s="13">
        <v>3563.5919658466601</v>
      </c>
      <c r="Q66" s="14">
        <v>3553.2818556455795</v>
      </c>
      <c r="R66" s="13">
        <v>3549.8661134389404</v>
      </c>
      <c r="S66" s="14">
        <v>3542.8294300117905</v>
      </c>
      <c r="T66" s="13">
        <v>3555.9474273845599</v>
      </c>
      <c r="U66" s="14">
        <v>3570.3883876953096</v>
      </c>
      <c r="V66" s="13">
        <v>3567.8467936308198</v>
      </c>
      <c r="W66" s="14">
        <v>3555.2043493301098</v>
      </c>
      <c r="X66" s="13">
        <v>3544.20507587882</v>
      </c>
    </row>
    <row r="67" spans="1:24" ht="16.5" customHeight="1" x14ac:dyDescent="0.2">
      <c r="A67" s="97"/>
      <c r="B67" s="29" t="s">
        <v>65</v>
      </c>
      <c r="C67" s="14">
        <v>-32.230320633138149</v>
      </c>
      <c r="D67" s="13">
        <v>-66.574211173259414</v>
      </c>
      <c r="E67" s="14">
        <v>-100.48512575679521</v>
      </c>
      <c r="F67" s="13">
        <v>-140.4426302556665</v>
      </c>
      <c r="G67" s="14">
        <v>-187.49512459091667</v>
      </c>
      <c r="H67" s="13">
        <v>-231.9857512148545</v>
      </c>
      <c r="I67" s="14">
        <v>-259.16483759834188</v>
      </c>
      <c r="J67" s="13">
        <v>-291.08841118509883</v>
      </c>
      <c r="K67" s="14">
        <v>-327.8085793316809</v>
      </c>
      <c r="L67" s="13">
        <v>-356.65702126814392</v>
      </c>
      <c r="M67" s="14">
        <v>-393.27687814953737</v>
      </c>
      <c r="N67" s="13">
        <v>-415.0216997458258</v>
      </c>
      <c r="O67" s="14">
        <v>-458.85356838266273</v>
      </c>
      <c r="P67" s="13">
        <v>-489.85769790654393</v>
      </c>
      <c r="Q67" s="14">
        <v>-511.49180176866355</v>
      </c>
      <c r="R67" s="13">
        <v>-535.7183134696138</v>
      </c>
      <c r="S67" s="14">
        <v>-571.71731550356526</v>
      </c>
      <c r="T67" s="13">
        <v>-473.55508474171842</v>
      </c>
      <c r="U67" s="14">
        <v>-634.33050751587894</v>
      </c>
      <c r="V67" s="13">
        <v>-658.84047872616509</v>
      </c>
      <c r="W67" s="14">
        <v>-681.89440838763824</v>
      </c>
      <c r="X67" s="13">
        <v>-708.32674765027707</v>
      </c>
    </row>
    <row r="68" spans="1:24" ht="16.5" customHeight="1" x14ac:dyDescent="0.2">
      <c r="A68" s="97"/>
      <c r="B68" s="29" t="s">
        <v>66</v>
      </c>
      <c r="C68" s="14">
        <v>14.381355051230001</v>
      </c>
      <c r="D68" s="13">
        <v>23.830435119849973</v>
      </c>
      <c r="E68" s="14">
        <v>16.747212722189989</v>
      </c>
      <c r="F68" s="13">
        <v>24.436192696929972</v>
      </c>
      <c r="G68" s="14">
        <v>31.23118132498989</v>
      </c>
      <c r="H68" s="13">
        <v>38.565343348909906</v>
      </c>
      <c r="I68" s="14">
        <v>36.9915983952299</v>
      </c>
      <c r="J68" s="13">
        <v>37.138241643969899</v>
      </c>
      <c r="K68" s="14">
        <v>35.801024690459897</v>
      </c>
      <c r="L68" s="13">
        <v>37.813257818019899</v>
      </c>
      <c r="M68" s="14">
        <v>36.195817089419897</v>
      </c>
      <c r="N68" s="13">
        <v>36.5185524003099</v>
      </c>
      <c r="O68" s="14">
        <v>37.497613383919898</v>
      </c>
      <c r="P68" s="13">
        <v>37.5987414215599</v>
      </c>
      <c r="Q68" s="14">
        <v>670.38536907634989</v>
      </c>
      <c r="R68" s="13">
        <v>667.44727217440993</v>
      </c>
      <c r="S68" s="14">
        <v>527.54671277267983</v>
      </c>
      <c r="T68" s="13">
        <v>268.17885365627001</v>
      </c>
      <c r="U68" s="14">
        <v>326.73971707845993</v>
      </c>
      <c r="V68" s="13">
        <v>336.95779710242994</v>
      </c>
      <c r="W68" s="14">
        <v>357.88999980946988</v>
      </c>
      <c r="X68" s="13">
        <v>386.8799919786299</v>
      </c>
    </row>
    <row r="69" spans="1:24" ht="16.5" customHeight="1" x14ac:dyDescent="0.2">
      <c r="A69" s="97"/>
      <c r="B69" s="29" t="s">
        <v>59</v>
      </c>
      <c r="C69" s="14">
        <v>0</v>
      </c>
      <c r="D69" s="13">
        <v>0</v>
      </c>
      <c r="E69" s="14">
        <v>0</v>
      </c>
      <c r="F69" s="13">
        <v>0</v>
      </c>
      <c r="G69" s="14">
        <v>0</v>
      </c>
      <c r="H69" s="13">
        <v>0</v>
      </c>
      <c r="I69" s="14">
        <v>0</v>
      </c>
      <c r="J69" s="13">
        <v>0</v>
      </c>
      <c r="K69" s="14">
        <v>0</v>
      </c>
      <c r="L69" s="13">
        <v>0</v>
      </c>
      <c r="M69" s="14">
        <v>0</v>
      </c>
      <c r="N69" s="13">
        <v>0</v>
      </c>
      <c r="O69" s="14">
        <v>0</v>
      </c>
      <c r="P69" s="13">
        <v>0</v>
      </c>
      <c r="Q69" s="14">
        <v>0</v>
      </c>
      <c r="R69" s="13">
        <v>0</v>
      </c>
      <c r="S69" s="14">
        <v>0</v>
      </c>
      <c r="T69" s="13">
        <v>0</v>
      </c>
      <c r="U69" s="14">
        <v>0</v>
      </c>
      <c r="V69" s="13">
        <v>0</v>
      </c>
      <c r="W69" s="14">
        <v>0</v>
      </c>
      <c r="X69" s="13">
        <v>0</v>
      </c>
    </row>
    <row r="70" spans="1:24" ht="16.5" customHeight="1" x14ac:dyDescent="0.2">
      <c r="A70" s="97"/>
      <c r="B70" s="29" t="s">
        <v>67</v>
      </c>
      <c r="C70" s="14">
        <v>-17.9766938140375</v>
      </c>
      <c r="D70" s="13">
        <v>-29.788043899812465</v>
      </c>
      <c r="E70" s="14">
        <v>-20.934015902737485</v>
      </c>
      <c r="F70" s="13">
        <v>-30.545240871162463</v>
      </c>
      <c r="G70" s="14">
        <v>-39.038976656237359</v>
      </c>
      <c r="H70" s="13">
        <v>-48.206679186137379</v>
      </c>
      <c r="I70" s="14">
        <v>-46.239497994037372</v>
      </c>
      <c r="J70" s="13">
        <v>-46.422802054962368</v>
      </c>
      <c r="K70" s="14">
        <v>-44.751280863074868</v>
      </c>
      <c r="L70" s="13">
        <v>-47.266572272524868</v>
      </c>
      <c r="M70" s="14">
        <v>-45.244771361774866</v>
      </c>
      <c r="N70" s="13">
        <v>-45.648190500387372</v>
      </c>
      <c r="O70" s="14">
        <v>-46.872016729899869</v>
      </c>
      <c r="P70" s="13">
        <v>-46.99842677694987</v>
      </c>
      <c r="Q70" s="14">
        <v>-837.98171134543736</v>
      </c>
      <c r="R70" s="13">
        <v>-834.30909021801233</v>
      </c>
      <c r="S70" s="14">
        <v>-659.43339096584975</v>
      </c>
      <c r="T70" s="13">
        <v>-335.22356707033748</v>
      </c>
      <c r="U70" s="14">
        <v>-408.42464634807487</v>
      </c>
      <c r="V70" s="13">
        <v>-421.19724637803739</v>
      </c>
      <c r="W70" s="14">
        <v>-447.36249976183734</v>
      </c>
      <c r="X70" s="13">
        <v>-483.59998997328734</v>
      </c>
    </row>
    <row r="71" spans="1:24" ht="16.5" customHeight="1" x14ac:dyDescent="0.2">
      <c r="A71" s="97"/>
      <c r="B71" s="29" t="s">
        <v>68</v>
      </c>
      <c r="C71" s="14">
        <v>29.007288569824333</v>
      </c>
      <c r="D71" s="13">
        <v>59.916790055933475</v>
      </c>
      <c r="E71" s="14">
        <v>90.436613181115689</v>
      </c>
      <c r="F71" s="13">
        <v>126.39836723009985</v>
      </c>
      <c r="G71" s="14">
        <v>168.745612131825</v>
      </c>
      <c r="H71" s="13">
        <v>208.78717609336906</v>
      </c>
      <c r="I71" s="14">
        <v>233.24835383850768</v>
      </c>
      <c r="J71" s="13">
        <v>261.97957006658896</v>
      </c>
      <c r="K71" s="14">
        <v>295.02772139851282</v>
      </c>
      <c r="L71" s="13">
        <v>320.99131914132954</v>
      </c>
      <c r="M71" s="14">
        <v>353.94919033458365</v>
      </c>
      <c r="N71" s="13">
        <v>373.51952977124324</v>
      </c>
      <c r="O71" s="14">
        <v>412.96821154439647</v>
      </c>
      <c r="P71" s="13">
        <v>440.87192811588955</v>
      </c>
      <c r="Q71" s="14">
        <v>460.34262159179718</v>
      </c>
      <c r="R71" s="13">
        <v>482.1464821226524</v>
      </c>
      <c r="S71" s="14">
        <v>514.54558395320873</v>
      </c>
      <c r="T71" s="13">
        <v>426.1995762675466</v>
      </c>
      <c r="U71" s="14">
        <v>570.89745676429106</v>
      </c>
      <c r="V71" s="13">
        <v>592.95643085354857</v>
      </c>
      <c r="W71" s="14">
        <v>613.70496754887438</v>
      </c>
      <c r="X71" s="13">
        <v>637.49407288524935</v>
      </c>
    </row>
    <row r="72" spans="1:24" ht="16.5" customHeight="1" thickBot="1" x14ac:dyDescent="0.25">
      <c r="A72" s="98"/>
      <c r="B72" s="29" t="s">
        <v>41</v>
      </c>
      <c r="C72" s="14">
        <v>1970</v>
      </c>
      <c r="D72" s="13">
        <v>2286</v>
      </c>
      <c r="E72" s="14">
        <v>2604</v>
      </c>
      <c r="F72" s="13">
        <v>2913</v>
      </c>
      <c r="G72" s="14">
        <v>3212</v>
      </c>
      <c r="H72" s="13">
        <v>3505</v>
      </c>
      <c r="I72" s="14">
        <v>3799</v>
      </c>
      <c r="J72" s="13">
        <v>4056</v>
      </c>
      <c r="K72" s="14">
        <v>4312</v>
      </c>
      <c r="L72" s="13">
        <v>4582</v>
      </c>
      <c r="M72" s="14">
        <v>4803</v>
      </c>
      <c r="N72" s="13">
        <v>4997</v>
      </c>
      <c r="O72" s="14">
        <v>5181</v>
      </c>
      <c r="P72" s="13">
        <v>5366</v>
      </c>
      <c r="Q72" s="14">
        <v>5535</v>
      </c>
      <c r="R72" s="13">
        <v>5689</v>
      </c>
      <c r="S72" s="14">
        <v>5824</v>
      </c>
      <c r="T72" s="13">
        <v>5959</v>
      </c>
      <c r="U72" s="14">
        <v>6065</v>
      </c>
      <c r="V72" s="13">
        <v>6165</v>
      </c>
      <c r="W72" s="14">
        <v>6280</v>
      </c>
      <c r="X72" s="13">
        <v>6381</v>
      </c>
    </row>
    <row r="73" spans="1:24" ht="16.5" customHeight="1" x14ac:dyDescent="0.2">
      <c r="A73" s="93" t="s">
        <v>39</v>
      </c>
      <c r="B73" s="12" t="s">
        <v>54</v>
      </c>
      <c r="C73" s="13">
        <v>0</v>
      </c>
      <c r="D73" s="14">
        <v>0</v>
      </c>
      <c r="E73" s="13">
        <v>0</v>
      </c>
      <c r="F73" s="14">
        <v>0</v>
      </c>
      <c r="G73" s="13">
        <v>0</v>
      </c>
      <c r="H73" s="14">
        <v>0</v>
      </c>
      <c r="I73" s="13">
        <v>0</v>
      </c>
      <c r="J73" s="14">
        <v>0</v>
      </c>
      <c r="K73" s="13">
        <v>0</v>
      </c>
      <c r="L73" s="14">
        <v>0</v>
      </c>
      <c r="M73" s="13">
        <v>0</v>
      </c>
      <c r="N73" s="14">
        <v>0</v>
      </c>
      <c r="O73" s="13">
        <v>0</v>
      </c>
      <c r="P73" s="14">
        <v>0</v>
      </c>
      <c r="Q73" s="13">
        <v>0</v>
      </c>
      <c r="R73" s="14">
        <v>0</v>
      </c>
      <c r="S73" s="13">
        <v>0</v>
      </c>
      <c r="T73" s="14">
        <v>0</v>
      </c>
      <c r="U73" s="13">
        <v>0</v>
      </c>
      <c r="V73" s="14">
        <v>0</v>
      </c>
      <c r="W73" s="13">
        <v>0</v>
      </c>
      <c r="X73" s="14">
        <v>0</v>
      </c>
    </row>
    <row r="74" spans="1:24" ht="16.5" customHeight="1" x14ac:dyDescent="0.2">
      <c r="A74" s="94"/>
      <c r="B74" s="12" t="s">
        <v>55</v>
      </c>
      <c r="C74" s="13">
        <v>0</v>
      </c>
      <c r="D74" s="14">
        <v>0</v>
      </c>
      <c r="E74" s="13">
        <v>0</v>
      </c>
      <c r="F74" s="14">
        <v>0</v>
      </c>
      <c r="G74" s="13">
        <v>0</v>
      </c>
      <c r="H74" s="14">
        <v>0</v>
      </c>
      <c r="I74" s="13">
        <v>0</v>
      </c>
      <c r="J74" s="14">
        <v>0</v>
      </c>
      <c r="K74" s="13">
        <v>0</v>
      </c>
      <c r="L74" s="14">
        <v>0</v>
      </c>
      <c r="M74" s="13">
        <v>0</v>
      </c>
      <c r="N74" s="14">
        <v>0</v>
      </c>
      <c r="O74" s="13">
        <v>0</v>
      </c>
      <c r="P74" s="14">
        <v>0</v>
      </c>
      <c r="Q74" s="13">
        <v>0</v>
      </c>
      <c r="R74" s="14">
        <v>0</v>
      </c>
      <c r="S74" s="13">
        <v>0</v>
      </c>
      <c r="T74" s="14">
        <v>0</v>
      </c>
      <c r="U74" s="13">
        <v>0</v>
      </c>
      <c r="V74" s="14">
        <v>0</v>
      </c>
      <c r="W74" s="13">
        <v>0</v>
      </c>
      <c r="X74" s="14">
        <v>0</v>
      </c>
    </row>
    <row r="75" spans="1:24" ht="16.5" customHeight="1" x14ac:dyDescent="0.2">
      <c r="A75" s="94"/>
      <c r="B75" s="12" t="s">
        <v>17</v>
      </c>
      <c r="C75" s="13">
        <v>8672.9803783414209</v>
      </c>
      <c r="D75" s="14">
        <v>8696.74196841911</v>
      </c>
      <c r="E75" s="13">
        <v>8672.9803783413408</v>
      </c>
      <c r="F75" s="14">
        <v>8672.98037834141</v>
      </c>
      <c r="G75" s="13">
        <v>8672.98037834155</v>
      </c>
      <c r="H75" s="14">
        <v>8696.741968418959</v>
      </c>
      <c r="I75" s="13">
        <v>8605.0981372955594</v>
      </c>
      <c r="J75" s="14">
        <v>8672.980378341379</v>
      </c>
      <c r="K75" s="13">
        <v>8672.98037834139</v>
      </c>
      <c r="L75" s="14">
        <v>8696.7419684189317</v>
      </c>
      <c r="M75" s="13">
        <v>8672.9803783414809</v>
      </c>
      <c r="N75" s="14">
        <v>8672.9803783415191</v>
      </c>
      <c r="O75" s="13">
        <v>8672.9803783414591</v>
      </c>
      <c r="P75" s="14">
        <v>8696.741968418979</v>
      </c>
      <c r="Q75" s="13">
        <v>8672.980378341399</v>
      </c>
      <c r="R75" s="14">
        <v>8672.9803783413499</v>
      </c>
      <c r="S75" s="13">
        <v>8672.98037834145</v>
      </c>
      <c r="T75" s="14">
        <v>8696.7419684190208</v>
      </c>
      <c r="U75" s="13">
        <v>8672.9803783414409</v>
      </c>
      <c r="V75" s="14">
        <v>8672.98037834143</v>
      </c>
      <c r="W75" s="13">
        <v>8672.9803783413408</v>
      </c>
      <c r="X75" s="14">
        <v>8696.7419684189499</v>
      </c>
    </row>
    <row r="76" spans="1:24" ht="16.5" customHeight="1" x14ac:dyDescent="0.2">
      <c r="A76" s="94"/>
      <c r="B76" s="12" t="s">
        <v>44</v>
      </c>
      <c r="C76" s="13">
        <v>0</v>
      </c>
      <c r="D76" s="14">
        <v>0</v>
      </c>
      <c r="E76" s="13">
        <v>0</v>
      </c>
      <c r="F76" s="14">
        <v>0</v>
      </c>
      <c r="G76" s="13">
        <v>0</v>
      </c>
      <c r="H76" s="14">
        <v>0</v>
      </c>
      <c r="I76" s="13">
        <v>0</v>
      </c>
      <c r="J76" s="14">
        <v>0</v>
      </c>
      <c r="K76" s="13">
        <v>0</v>
      </c>
      <c r="L76" s="14">
        <v>0</v>
      </c>
      <c r="M76" s="13">
        <v>0</v>
      </c>
      <c r="N76" s="14">
        <v>0</v>
      </c>
      <c r="O76" s="13">
        <v>0</v>
      </c>
      <c r="P76" s="14">
        <v>0</v>
      </c>
      <c r="Q76" s="13">
        <v>0</v>
      </c>
      <c r="R76" s="14">
        <v>0</v>
      </c>
      <c r="S76" s="13">
        <v>0</v>
      </c>
      <c r="T76" s="14">
        <v>0</v>
      </c>
      <c r="U76" s="13">
        <v>0</v>
      </c>
      <c r="V76" s="14">
        <v>0</v>
      </c>
      <c r="W76" s="13">
        <v>0</v>
      </c>
      <c r="X76" s="14">
        <v>0</v>
      </c>
    </row>
    <row r="77" spans="1:24" ht="16.5" customHeight="1" x14ac:dyDescent="0.2">
      <c r="A77" s="94"/>
      <c r="B77" s="12" t="s">
        <v>56</v>
      </c>
      <c r="C77" s="13">
        <v>0.28835492444999999</v>
      </c>
      <c r="D77" s="14">
        <v>8.3469036280000006E-2</v>
      </c>
      <c r="E77" s="13">
        <v>8.0875935800000007E-2</v>
      </c>
      <c r="F77" s="14">
        <v>0</v>
      </c>
      <c r="G77" s="13">
        <v>0</v>
      </c>
      <c r="H77" s="14">
        <v>5.9072260060000006E-2</v>
      </c>
      <c r="I77" s="13">
        <v>1.848886722E-2</v>
      </c>
      <c r="J77" s="14">
        <v>0.46467577769000007</v>
      </c>
      <c r="K77" s="13">
        <v>0</v>
      </c>
      <c r="L77" s="14">
        <v>4.4187682299999999E-3</v>
      </c>
      <c r="M77" s="13">
        <v>1.2994709179999999E-2</v>
      </c>
      <c r="N77" s="14">
        <v>1.110849945E-2</v>
      </c>
      <c r="O77" s="13">
        <v>7.7748113999999997E-3</v>
      </c>
      <c r="P77" s="14">
        <v>5.6334546399999996E-3</v>
      </c>
      <c r="Q77" s="13">
        <v>0</v>
      </c>
      <c r="R77" s="14">
        <v>0</v>
      </c>
      <c r="S77" s="13">
        <v>0</v>
      </c>
      <c r="T77" s="14">
        <v>0</v>
      </c>
      <c r="U77" s="13">
        <v>0</v>
      </c>
      <c r="V77" s="14">
        <v>0</v>
      </c>
      <c r="W77" s="13">
        <v>0</v>
      </c>
      <c r="X77" s="14">
        <v>0</v>
      </c>
    </row>
    <row r="78" spans="1:24" ht="16.5" customHeight="1" x14ac:dyDescent="0.2">
      <c r="A78" s="94"/>
      <c r="B78" s="12" t="s">
        <v>18</v>
      </c>
      <c r="C78" s="13">
        <v>1051.7544303110401</v>
      </c>
      <c r="D78" s="14">
        <v>1066.1709615713</v>
      </c>
      <c r="E78" s="13">
        <v>1053.3539273808201</v>
      </c>
      <c r="F78" s="14">
        <v>1055.2435319097399</v>
      </c>
      <c r="G78" s="13">
        <v>1051.5951688734599</v>
      </c>
      <c r="H78" s="14">
        <v>1061.41437726397</v>
      </c>
      <c r="I78" s="13">
        <v>1061.7905278488502</v>
      </c>
      <c r="J78" s="14">
        <v>1060.42972440622</v>
      </c>
      <c r="K78" s="13">
        <v>1056.7328380193399</v>
      </c>
      <c r="L78" s="14">
        <v>1059.9145822301</v>
      </c>
      <c r="M78" s="13">
        <v>1057.18666942001</v>
      </c>
      <c r="N78" s="14">
        <v>1051.7544297893701</v>
      </c>
      <c r="O78" s="13">
        <v>1061.7905273721799</v>
      </c>
      <c r="P78" s="14">
        <v>1067.88909061712</v>
      </c>
      <c r="Q78" s="13">
        <v>1769.8522478198602</v>
      </c>
      <c r="R78" s="14">
        <v>1830.1481431258499</v>
      </c>
      <c r="S78" s="13">
        <v>1833.2478237590699</v>
      </c>
      <c r="T78" s="14">
        <v>1850.3433867134299</v>
      </c>
      <c r="U78" s="13">
        <v>2125.2191591231704</v>
      </c>
      <c r="V78" s="14">
        <v>2103.9944562084502</v>
      </c>
      <c r="W78" s="13">
        <v>2490.3279052526095</v>
      </c>
      <c r="X78" s="14">
        <v>2526.93402503878</v>
      </c>
    </row>
    <row r="79" spans="1:24" ht="16.5" customHeight="1" x14ac:dyDescent="0.2">
      <c r="A79" s="94"/>
      <c r="B79" s="12" t="s">
        <v>57</v>
      </c>
      <c r="C79" s="13">
        <v>0</v>
      </c>
      <c r="D79" s="14">
        <v>0</v>
      </c>
      <c r="E79" s="13">
        <v>0</v>
      </c>
      <c r="F79" s="14">
        <v>0</v>
      </c>
      <c r="G79" s="13">
        <v>0</v>
      </c>
      <c r="H79" s="14">
        <v>0</v>
      </c>
      <c r="I79" s="13">
        <v>0</v>
      </c>
      <c r="J79" s="14">
        <v>0</v>
      </c>
      <c r="K79" s="13">
        <v>0</v>
      </c>
      <c r="L79" s="14">
        <v>0</v>
      </c>
      <c r="M79" s="13">
        <v>0</v>
      </c>
      <c r="N79" s="14">
        <v>0</v>
      </c>
      <c r="O79" s="13">
        <v>0</v>
      </c>
      <c r="P79" s="14">
        <v>0</v>
      </c>
      <c r="Q79" s="13">
        <v>0</v>
      </c>
      <c r="R79" s="14">
        <v>0</v>
      </c>
      <c r="S79" s="13">
        <v>0</v>
      </c>
      <c r="T79" s="14">
        <v>0</v>
      </c>
      <c r="U79" s="13">
        <v>0</v>
      </c>
      <c r="V79" s="14">
        <v>0</v>
      </c>
      <c r="W79" s="13">
        <v>0</v>
      </c>
      <c r="X79" s="14">
        <v>0</v>
      </c>
    </row>
    <row r="80" spans="1:24" ht="16.5" customHeight="1" x14ac:dyDescent="0.2">
      <c r="A80" s="94"/>
      <c r="B80" s="12" t="s">
        <v>65</v>
      </c>
      <c r="C80" s="13">
        <v>-2.1778113531364967</v>
      </c>
      <c r="D80" s="14">
        <v>-3.9785008793626773</v>
      </c>
      <c r="E80" s="13">
        <v>-6.0385214597232322</v>
      </c>
      <c r="F80" s="14">
        <v>-7.8099884331425695</v>
      </c>
      <c r="G80" s="13">
        <v>-9.5235803300857373</v>
      </c>
      <c r="H80" s="14">
        <v>-10.420555148688697</v>
      </c>
      <c r="I80" s="13">
        <v>-10.6655437592326</v>
      </c>
      <c r="J80" s="14">
        <v>-10.807250811484828</v>
      </c>
      <c r="K80" s="13">
        <v>-10.659928422389349</v>
      </c>
      <c r="L80" s="14">
        <v>-10.629388674703355</v>
      </c>
      <c r="M80" s="13">
        <v>-10.5516162170616</v>
      </c>
      <c r="N80" s="14">
        <v>-10.50618015594169</v>
      </c>
      <c r="O80" s="13">
        <v>-10.479777603278592</v>
      </c>
      <c r="P80" s="14">
        <v>-10.469559160464177</v>
      </c>
      <c r="Q80" s="13">
        <v>-10.464651922630024</v>
      </c>
      <c r="R80" s="14">
        <v>-10.484404554983662</v>
      </c>
      <c r="S80" s="13">
        <v>-10.514980823806855</v>
      </c>
      <c r="T80" s="14">
        <v>-10.566863282774248</v>
      </c>
      <c r="U80" s="13">
        <v>-10.662537303751126</v>
      </c>
      <c r="V80" s="14">
        <v>-10.68899832186975</v>
      </c>
      <c r="W80" s="13">
        <v>-10.813503492063029</v>
      </c>
      <c r="X80" s="14">
        <v>-10.901413198950214</v>
      </c>
    </row>
    <row r="81" spans="1:24" ht="16.5" customHeight="1" x14ac:dyDescent="0.2">
      <c r="A81" s="94"/>
      <c r="B81" s="12" t="s">
        <v>66</v>
      </c>
      <c r="C81" s="13">
        <v>0</v>
      </c>
      <c r="D81" s="14">
        <v>0</v>
      </c>
      <c r="E81" s="13">
        <v>0</v>
      </c>
      <c r="F81" s="14">
        <v>0</v>
      </c>
      <c r="G81" s="13">
        <v>0</v>
      </c>
      <c r="H81" s="14">
        <v>0</v>
      </c>
      <c r="I81" s="13">
        <v>0</v>
      </c>
      <c r="J81" s="14">
        <v>0</v>
      </c>
      <c r="K81" s="13">
        <v>0</v>
      </c>
      <c r="L81" s="14">
        <v>0</v>
      </c>
      <c r="M81" s="13">
        <v>0</v>
      </c>
      <c r="N81" s="14">
        <v>0</v>
      </c>
      <c r="O81" s="13">
        <v>0</v>
      </c>
      <c r="P81" s="14">
        <v>0</v>
      </c>
      <c r="Q81" s="13">
        <v>0</v>
      </c>
      <c r="R81" s="14">
        <v>0</v>
      </c>
      <c r="S81" s="13">
        <v>0</v>
      </c>
      <c r="T81" s="14">
        <v>0</v>
      </c>
      <c r="U81" s="13">
        <v>0</v>
      </c>
      <c r="V81" s="14">
        <v>0</v>
      </c>
      <c r="W81" s="13">
        <v>0</v>
      </c>
      <c r="X81" s="14">
        <v>0</v>
      </c>
    </row>
    <row r="82" spans="1:24" ht="16.5" customHeight="1" x14ac:dyDescent="0.2">
      <c r="A82" s="94"/>
      <c r="B82" s="12" t="s">
        <v>59</v>
      </c>
      <c r="C82" s="13">
        <v>0</v>
      </c>
      <c r="D82" s="14">
        <v>0</v>
      </c>
      <c r="E82" s="13">
        <v>0</v>
      </c>
      <c r="F82" s="14">
        <v>0</v>
      </c>
      <c r="G82" s="13">
        <v>0</v>
      </c>
      <c r="H82" s="14">
        <v>0</v>
      </c>
      <c r="I82" s="13">
        <v>0</v>
      </c>
      <c r="J82" s="14">
        <v>0</v>
      </c>
      <c r="K82" s="13">
        <v>0</v>
      </c>
      <c r="L82" s="14">
        <v>0</v>
      </c>
      <c r="M82" s="13">
        <v>0</v>
      </c>
      <c r="N82" s="14">
        <v>0</v>
      </c>
      <c r="O82" s="13">
        <v>0</v>
      </c>
      <c r="P82" s="14">
        <v>0</v>
      </c>
      <c r="Q82" s="13">
        <v>0</v>
      </c>
      <c r="R82" s="14">
        <v>0</v>
      </c>
      <c r="S82" s="13">
        <v>0</v>
      </c>
      <c r="T82" s="14">
        <v>0</v>
      </c>
      <c r="U82" s="13">
        <v>0</v>
      </c>
      <c r="V82" s="14">
        <v>0</v>
      </c>
      <c r="W82" s="13">
        <v>0</v>
      </c>
      <c r="X82" s="14">
        <v>0</v>
      </c>
    </row>
    <row r="83" spans="1:24" ht="16.5" customHeight="1" x14ac:dyDescent="0.2">
      <c r="A83" s="94"/>
      <c r="B83" s="12" t="s">
        <v>67</v>
      </c>
      <c r="C83" s="13">
        <v>0</v>
      </c>
      <c r="D83" s="14">
        <v>0</v>
      </c>
      <c r="E83" s="13">
        <v>0</v>
      </c>
      <c r="F83" s="14">
        <v>0</v>
      </c>
      <c r="G83" s="13">
        <v>0</v>
      </c>
      <c r="H83" s="14">
        <v>0</v>
      </c>
      <c r="I83" s="13">
        <v>0</v>
      </c>
      <c r="J83" s="14">
        <v>0</v>
      </c>
      <c r="K83" s="13">
        <v>0</v>
      </c>
      <c r="L83" s="14">
        <v>0</v>
      </c>
      <c r="M83" s="13">
        <v>0</v>
      </c>
      <c r="N83" s="14">
        <v>0</v>
      </c>
      <c r="O83" s="13">
        <v>0</v>
      </c>
      <c r="P83" s="14">
        <v>0</v>
      </c>
      <c r="Q83" s="13">
        <v>0</v>
      </c>
      <c r="R83" s="14">
        <v>0</v>
      </c>
      <c r="S83" s="13">
        <v>0</v>
      </c>
      <c r="T83" s="14">
        <v>0</v>
      </c>
      <c r="U83" s="13">
        <v>0</v>
      </c>
      <c r="V83" s="14">
        <v>0</v>
      </c>
      <c r="W83" s="13">
        <v>0</v>
      </c>
      <c r="X83" s="14">
        <v>0</v>
      </c>
    </row>
    <row r="84" spans="1:24" ht="16.5" customHeight="1" x14ac:dyDescent="0.2">
      <c r="A84" s="94"/>
      <c r="B84" s="12" t="s">
        <v>68</v>
      </c>
      <c r="C84" s="13">
        <v>1.960030217822847</v>
      </c>
      <c r="D84" s="14">
        <v>3.5806507914264096</v>
      </c>
      <c r="E84" s="13">
        <v>5.4346693137509092</v>
      </c>
      <c r="F84" s="14">
        <v>7.0289895898283126</v>
      </c>
      <c r="G84" s="13">
        <v>8.5712222970771634</v>
      </c>
      <c r="H84" s="14">
        <v>9.3784996338198283</v>
      </c>
      <c r="I84" s="13">
        <v>9.5989893833093394</v>
      </c>
      <c r="J84" s="14">
        <v>9.7265257303363448</v>
      </c>
      <c r="K84" s="13">
        <v>9.5939355801504149</v>
      </c>
      <c r="L84" s="14">
        <v>9.5664498072330204</v>
      </c>
      <c r="M84" s="13">
        <v>9.4964545953554396</v>
      </c>
      <c r="N84" s="14">
        <v>9.4555621403475207</v>
      </c>
      <c r="O84" s="13">
        <v>9.431799842950733</v>
      </c>
      <c r="P84" s="14">
        <v>9.4226032444177594</v>
      </c>
      <c r="Q84" s="13">
        <v>9.4181867303670224</v>
      </c>
      <c r="R84" s="14">
        <v>9.4359640994852967</v>
      </c>
      <c r="S84" s="13">
        <v>9.4634827414261693</v>
      </c>
      <c r="T84" s="14">
        <v>9.5101769544968242</v>
      </c>
      <c r="U84" s="13">
        <v>9.596283573376013</v>
      </c>
      <c r="V84" s="14">
        <v>9.6200984896827748</v>
      </c>
      <c r="W84" s="13">
        <v>9.7321531428567258</v>
      </c>
      <c r="X84" s="14">
        <v>9.8112718790551927</v>
      </c>
    </row>
    <row r="85" spans="1:24" ht="16.5" customHeight="1" thickBot="1" x14ac:dyDescent="0.25">
      <c r="A85" s="95"/>
      <c r="B85" s="12" t="s">
        <v>41</v>
      </c>
      <c r="C85" s="13">
        <v>178</v>
      </c>
      <c r="D85" s="14">
        <v>202</v>
      </c>
      <c r="E85" s="13">
        <v>226</v>
      </c>
      <c r="F85" s="14">
        <v>249</v>
      </c>
      <c r="G85" s="13">
        <v>265</v>
      </c>
      <c r="H85" s="14">
        <v>274</v>
      </c>
      <c r="I85" s="13">
        <v>281</v>
      </c>
      <c r="J85" s="14">
        <v>284</v>
      </c>
      <c r="K85" s="13">
        <v>287</v>
      </c>
      <c r="L85" s="14">
        <v>292</v>
      </c>
      <c r="M85" s="13">
        <v>263</v>
      </c>
      <c r="N85" s="14">
        <v>298</v>
      </c>
      <c r="O85" s="13">
        <v>300</v>
      </c>
      <c r="P85" s="14">
        <v>287</v>
      </c>
      <c r="Q85" s="13">
        <v>307</v>
      </c>
      <c r="R85" s="14">
        <v>310</v>
      </c>
      <c r="S85" s="13">
        <v>313</v>
      </c>
      <c r="T85" s="14">
        <v>317</v>
      </c>
      <c r="U85" s="13">
        <v>320</v>
      </c>
      <c r="V85" s="14">
        <v>322</v>
      </c>
      <c r="W85" s="13">
        <v>326</v>
      </c>
      <c r="X85" s="14">
        <v>329</v>
      </c>
    </row>
  </sheetData>
  <mergeCells count="6">
    <mergeCell ref="A73:A85"/>
    <mergeCell ref="A3:A16"/>
    <mergeCell ref="A21:A33"/>
    <mergeCell ref="A34:A46"/>
    <mergeCell ref="A47:A59"/>
    <mergeCell ref="A60:A7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W16"/>
  <sheetViews>
    <sheetView zoomScaleNormal="100" workbookViewId="0"/>
  </sheetViews>
  <sheetFormatPr defaultColWidth="9.140625" defaultRowHeight="15.75" customHeight="1" x14ac:dyDescent="0.2"/>
  <cols>
    <col min="1" max="1" width="28.5703125" style="16" customWidth="1"/>
    <col min="2" max="23" width="10.42578125" style="16" customWidth="1"/>
    <col min="24" max="16384" width="9.140625" style="16"/>
  </cols>
  <sheetData>
    <row r="1" spans="1:23" ht="15.75" customHeight="1" x14ac:dyDescent="0.25">
      <c r="A1" s="7" t="s">
        <v>21</v>
      </c>
      <c r="G1" s="18"/>
      <c r="H1" s="19"/>
      <c r="I1" s="19"/>
      <c r="J1" s="19"/>
      <c r="K1" s="19"/>
      <c r="L1" s="19"/>
      <c r="M1" s="19"/>
    </row>
    <row r="2" spans="1:23" s="11" customFormat="1" ht="15.75" customHeight="1" x14ac:dyDescent="0.2">
      <c r="A2" s="8" t="s">
        <v>20</v>
      </c>
      <c r="B2" s="9" t="s">
        <v>0</v>
      </c>
      <c r="C2" s="10" t="s">
        <v>1</v>
      </c>
      <c r="D2" s="9" t="s">
        <v>2</v>
      </c>
      <c r="E2" s="10" t="s">
        <v>3</v>
      </c>
      <c r="F2" s="9" t="s">
        <v>4</v>
      </c>
      <c r="G2" s="10" t="s">
        <v>5</v>
      </c>
      <c r="H2" s="9" t="s">
        <v>6</v>
      </c>
      <c r="I2" s="10" t="s">
        <v>7</v>
      </c>
      <c r="J2" s="9" t="s">
        <v>8</v>
      </c>
      <c r="K2" s="10" t="s">
        <v>9</v>
      </c>
      <c r="L2" s="9" t="s">
        <v>10</v>
      </c>
      <c r="M2" s="10" t="s">
        <v>11</v>
      </c>
      <c r="N2" s="9" t="s">
        <v>12</v>
      </c>
      <c r="O2" s="10" t="s">
        <v>13</v>
      </c>
      <c r="P2" s="9" t="s">
        <v>14</v>
      </c>
      <c r="Q2" s="10" t="s">
        <v>15</v>
      </c>
      <c r="R2" s="9" t="s">
        <v>16</v>
      </c>
      <c r="S2" s="10" t="s">
        <v>45</v>
      </c>
      <c r="T2" s="9" t="s">
        <v>61</v>
      </c>
      <c r="U2" s="10" t="s">
        <v>62</v>
      </c>
      <c r="V2" s="9" t="s">
        <v>63</v>
      </c>
      <c r="W2" s="10" t="s">
        <v>64</v>
      </c>
    </row>
    <row r="3" spans="1:23" s="20" customFormat="1" ht="15.75" customHeight="1" x14ac:dyDescent="0.2">
      <c r="A3" s="12" t="s">
        <v>54</v>
      </c>
      <c r="B3" s="13">
        <v>0</v>
      </c>
      <c r="C3" s="14">
        <v>0</v>
      </c>
      <c r="D3" s="13">
        <v>0</v>
      </c>
      <c r="E3" s="14">
        <v>0</v>
      </c>
      <c r="F3" s="13">
        <v>-1800</v>
      </c>
      <c r="G3" s="14">
        <v>-1800</v>
      </c>
      <c r="H3" s="13">
        <v>-1800</v>
      </c>
      <c r="I3" s="14">
        <v>-1800</v>
      </c>
      <c r="J3" s="13">
        <v>-2165</v>
      </c>
      <c r="K3" s="14">
        <v>-2165</v>
      </c>
      <c r="L3" s="13">
        <v>-3485</v>
      </c>
      <c r="M3" s="14">
        <v>-5165</v>
      </c>
      <c r="N3" s="13">
        <v>-5165</v>
      </c>
      <c r="O3" s="14">
        <v>-5165</v>
      </c>
      <c r="P3" s="13">
        <v>-5165</v>
      </c>
      <c r="Q3" s="14">
        <v>-5165</v>
      </c>
      <c r="R3" s="13">
        <v>-8045</v>
      </c>
      <c r="S3" s="14">
        <v>-10685</v>
      </c>
      <c r="T3" s="13">
        <v>-12085</v>
      </c>
      <c r="U3" s="14">
        <v>-12085</v>
      </c>
      <c r="V3" s="13">
        <v>-12785</v>
      </c>
      <c r="W3" s="14">
        <v>-12785</v>
      </c>
    </row>
    <row r="4" spans="1:23" s="20" customFormat="1" ht="15.75" customHeight="1" x14ac:dyDescent="0.2">
      <c r="A4" s="12" t="s">
        <v>55</v>
      </c>
      <c r="B4" s="13">
        <v>0</v>
      </c>
      <c r="C4" s="14">
        <v>0</v>
      </c>
      <c r="D4" s="13">
        <v>0</v>
      </c>
      <c r="E4" s="14">
        <v>0</v>
      </c>
      <c r="F4" s="13">
        <v>0</v>
      </c>
      <c r="G4" s="14">
        <v>0</v>
      </c>
      <c r="H4" s="13">
        <v>0</v>
      </c>
      <c r="I4" s="14">
        <v>0</v>
      </c>
      <c r="J4" s="13">
        <v>0</v>
      </c>
      <c r="K4" s="14">
        <v>0</v>
      </c>
      <c r="L4" s="13">
        <v>0</v>
      </c>
      <c r="M4" s="14">
        <v>0</v>
      </c>
      <c r="N4" s="13">
        <v>0</v>
      </c>
      <c r="O4" s="14">
        <v>0</v>
      </c>
      <c r="P4" s="13">
        <v>-1528</v>
      </c>
      <c r="Q4" s="14">
        <v>-1528</v>
      </c>
      <c r="R4" s="13">
        <v>-1528</v>
      </c>
      <c r="S4" s="14">
        <v>-1528</v>
      </c>
      <c r="T4" s="13">
        <v>-1528</v>
      </c>
      <c r="U4" s="14">
        <v>-1528</v>
      </c>
      <c r="V4" s="13">
        <v>-1528</v>
      </c>
      <c r="W4" s="14">
        <v>-1528</v>
      </c>
    </row>
    <row r="5" spans="1:23" s="20" customFormat="1" ht="15.75" customHeight="1" x14ac:dyDescent="0.2">
      <c r="A5" s="12" t="s">
        <v>17</v>
      </c>
      <c r="B5" s="13">
        <v>0</v>
      </c>
      <c r="C5" s="14">
        <v>0</v>
      </c>
      <c r="D5" s="13">
        <v>0</v>
      </c>
      <c r="E5" s="14">
        <v>0</v>
      </c>
      <c r="F5" s="13">
        <v>0</v>
      </c>
      <c r="G5" s="14">
        <v>0</v>
      </c>
      <c r="H5" s="13">
        <v>0</v>
      </c>
      <c r="I5" s="14">
        <v>0</v>
      </c>
      <c r="J5" s="13">
        <v>0</v>
      </c>
      <c r="K5" s="14">
        <v>0</v>
      </c>
      <c r="L5" s="13">
        <v>0</v>
      </c>
      <c r="M5" s="14">
        <v>0</v>
      </c>
      <c r="N5" s="13">
        <v>0</v>
      </c>
      <c r="O5" s="14">
        <v>0</v>
      </c>
      <c r="P5" s="13">
        <v>0</v>
      </c>
      <c r="Q5" s="14">
        <v>0</v>
      </c>
      <c r="R5" s="13">
        <v>0</v>
      </c>
      <c r="S5" s="14">
        <v>0</v>
      </c>
      <c r="T5" s="13">
        <v>0</v>
      </c>
      <c r="U5" s="14">
        <v>0</v>
      </c>
      <c r="V5" s="13">
        <v>0</v>
      </c>
      <c r="W5" s="14">
        <v>0</v>
      </c>
    </row>
    <row r="6" spans="1:23" s="20" customFormat="1" ht="15.75" customHeight="1" x14ac:dyDescent="0.2">
      <c r="A6" s="12" t="s">
        <v>44</v>
      </c>
      <c r="B6" s="13">
        <v>0</v>
      </c>
      <c r="C6" s="14">
        <v>0</v>
      </c>
      <c r="D6" s="13">
        <v>0</v>
      </c>
      <c r="E6" s="14">
        <v>0</v>
      </c>
      <c r="F6" s="13">
        <v>0</v>
      </c>
      <c r="G6" s="14">
        <v>0</v>
      </c>
      <c r="H6" s="13">
        <v>-1462</v>
      </c>
      <c r="I6" s="14">
        <v>-1462</v>
      </c>
      <c r="J6" s="13">
        <v>-1462</v>
      </c>
      <c r="K6" s="14">
        <v>-1462</v>
      </c>
      <c r="L6" s="13">
        <v>-1462</v>
      </c>
      <c r="M6" s="14">
        <v>-1462</v>
      </c>
      <c r="N6" s="13">
        <v>-1462</v>
      </c>
      <c r="O6" s="14">
        <v>-1572</v>
      </c>
      <c r="P6" s="13">
        <v>-772</v>
      </c>
      <c r="Q6" s="14">
        <v>-772</v>
      </c>
      <c r="R6" s="13">
        <v>1228</v>
      </c>
      <c r="S6" s="14">
        <v>4428</v>
      </c>
      <c r="T6" s="13">
        <v>4428</v>
      </c>
      <c r="U6" s="14">
        <v>4428</v>
      </c>
      <c r="V6" s="13">
        <v>4428</v>
      </c>
      <c r="W6" s="14">
        <v>4428</v>
      </c>
    </row>
    <row r="7" spans="1:23" s="20" customFormat="1" ht="15.75" customHeight="1" x14ac:dyDescent="0.2">
      <c r="A7" s="12" t="s">
        <v>56</v>
      </c>
      <c r="B7" s="13">
        <v>0</v>
      </c>
      <c r="C7" s="14">
        <v>-24</v>
      </c>
      <c r="D7" s="13">
        <v>-24</v>
      </c>
      <c r="E7" s="14">
        <v>-298</v>
      </c>
      <c r="F7" s="13">
        <v>155</v>
      </c>
      <c r="G7" s="14">
        <v>155</v>
      </c>
      <c r="H7" s="13">
        <v>820</v>
      </c>
      <c r="I7" s="14">
        <v>820</v>
      </c>
      <c r="J7" s="13">
        <v>820</v>
      </c>
      <c r="K7" s="14">
        <v>820</v>
      </c>
      <c r="L7" s="13">
        <v>820</v>
      </c>
      <c r="M7" s="14">
        <v>820</v>
      </c>
      <c r="N7" s="13">
        <v>820</v>
      </c>
      <c r="O7" s="14">
        <v>820</v>
      </c>
      <c r="P7" s="13">
        <v>976</v>
      </c>
      <c r="Q7" s="14">
        <v>976</v>
      </c>
      <c r="R7" s="13">
        <v>1449</v>
      </c>
      <c r="S7" s="14">
        <v>1449</v>
      </c>
      <c r="T7" s="13">
        <v>1623</v>
      </c>
      <c r="U7" s="14">
        <v>1945</v>
      </c>
      <c r="V7" s="13">
        <v>2297</v>
      </c>
      <c r="W7" s="14">
        <v>2387</v>
      </c>
    </row>
    <row r="8" spans="1:23" s="20" customFormat="1" ht="15.75" customHeight="1" x14ac:dyDescent="0.2">
      <c r="A8" s="12" t="s">
        <v>18</v>
      </c>
      <c r="B8" s="13">
        <v>0</v>
      </c>
      <c r="C8" s="14">
        <v>1894</v>
      </c>
      <c r="D8" s="13">
        <v>2294</v>
      </c>
      <c r="E8" s="14">
        <v>2694</v>
      </c>
      <c r="F8" s="13">
        <v>3094</v>
      </c>
      <c r="G8" s="14">
        <v>3987</v>
      </c>
      <c r="H8" s="13">
        <v>4387</v>
      </c>
      <c r="I8" s="14">
        <v>4387</v>
      </c>
      <c r="J8" s="13">
        <v>4477</v>
      </c>
      <c r="K8" s="14">
        <v>4640</v>
      </c>
      <c r="L8" s="13">
        <v>5127</v>
      </c>
      <c r="M8" s="14">
        <v>5613</v>
      </c>
      <c r="N8" s="13">
        <v>5613</v>
      </c>
      <c r="O8" s="14">
        <v>5613</v>
      </c>
      <c r="P8" s="13">
        <v>5768</v>
      </c>
      <c r="Q8" s="14">
        <v>5779</v>
      </c>
      <c r="R8" s="13">
        <v>5779</v>
      </c>
      <c r="S8" s="14">
        <v>5779</v>
      </c>
      <c r="T8" s="13">
        <v>5842</v>
      </c>
      <c r="U8" s="14">
        <v>5842</v>
      </c>
      <c r="V8" s="13">
        <v>5925</v>
      </c>
      <c r="W8" s="14">
        <v>5925</v>
      </c>
    </row>
    <row r="9" spans="1:23" s="20" customFormat="1" ht="15.75" customHeight="1" x14ac:dyDescent="0.2">
      <c r="A9" s="12" t="s">
        <v>57</v>
      </c>
      <c r="B9" s="13">
        <v>0</v>
      </c>
      <c r="C9" s="14">
        <v>631</v>
      </c>
      <c r="D9" s="13">
        <v>631</v>
      </c>
      <c r="E9" s="14">
        <v>631</v>
      </c>
      <c r="F9" s="13">
        <v>1060</v>
      </c>
      <c r="G9" s="14">
        <v>1644</v>
      </c>
      <c r="H9" s="13">
        <v>2271</v>
      </c>
      <c r="I9" s="14">
        <v>3364</v>
      </c>
      <c r="J9" s="13">
        <v>4101</v>
      </c>
      <c r="K9" s="14">
        <v>4769</v>
      </c>
      <c r="L9" s="13">
        <v>5114</v>
      </c>
      <c r="M9" s="14">
        <v>5324</v>
      </c>
      <c r="N9" s="13">
        <v>5324</v>
      </c>
      <c r="O9" s="14">
        <v>5324</v>
      </c>
      <c r="P9" s="13">
        <v>5324</v>
      </c>
      <c r="Q9" s="14">
        <v>5324</v>
      </c>
      <c r="R9" s="13">
        <v>5324</v>
      </c>
      <c r="S9" s="14">
        <v>5324</v>
      </c>
      <c r="T9" s="13">
        <v>5808</v>
      </c>
      <c r="U9" s="14">
        <v>5808</v>
      </c>
      <c r="V9" s="13">
        <v>5841</v>
      </c>
      <c r="W9" s="14">
        <v>5841</v>
      </c>
    </row>
    <row r="10" spans="1:23" s="20" customFormat="1" ht="15.75" customHeight="1" x14ac:dyDescent="0.2">
      <c r="A10" s="12" t="s">
        <v>58</v>
      </c>
      <c r="B10" s="13">
        <v>0</v>
      </c>
      <c r="C10" s="14">
        <v>20</v>
      </c>
      <c r="D10" s="13">
        <v>120</v>
      </c>
      <c r="E10" s="14">
        <v>120</v>
      </c>
      <c r="F10" s="13">
        <v>120</v>
      </c>
      <c r="G10" s="14">
        <v>120</v>
      </c>
      <c r="H10" s="13">
        <v>136</v>
      </c>
      <c r="I10" s="14">
        <v>395</v>
      </c>
      <c r="J10" s="13">
        <v>395</v>
      </c>
      <c r="K10" s="14">
        <v>395</v>
      </c>
      <c r="L10" s="13">
        <v>404</v>
      </c>
      <c r="M10" s="14">
        <v>404</v>
      </c>
      <c r="N10" s="13">
        <v>404</v>
      </c>
      <c r="O10" s="14">
        <v>404</v>
      </c>
      <c r="P10" s="13">
        <v>1006</v>
      </c>
      <c r="Q10" s="14">
        <v>1006</v>
      </c>
      <c r="R10" s="13">
        <v>1006</v>
      </c>
      <c r="S10" s="14">
        <v>1006</v>
      </c>
      <c r="T10" s="13">
        <v>1222</v>
      </c>
      <c r="U10" s="14">
        <v>1222</v>
      </c>
      <c r="V10" s="13">
        <v>1222</v>
      </c>
      <c r="W10" s="14">
        <v>1222</v>
      </c>
    </row>
    <row r="11" spans="1:23" s="20" customFormat="1" ht="15.75" customHeight="1" x14ac:dyDescent="0.2">
      <c r="A11" s="12" t="s">
        <v>59</v>
      </c>
      <c r="B11" s="13">
        <v>0</v>
      </c>
      <c r="C11" s="14">
        <v>0</v>
      </c>
      <c r="D11" s="13">
        <v>0</v>
      </c>
      <c r="E11" s="14">
        <v>0</v>
      </c>
      <c r="F11" s="13">
        <v>0</v>
      </c>
      <c r="G11" s="14">
        <v>0</v>
      </c>
      <c r="H11" s="13">
        <v>0</v>
      </c>
      <c r="I11" s="14">
        <v>0</v>
      </c>
      <c r="J11" s="13">
        <v>0</v>
      </c>
      <c r="K11" s="14">
        <v>0</v>
      </c>
      <c r="L11" s="13">
        <v>0</v>
      </c>
      <c r="M11" s="14">
        <v>0</v>
      </c>
      <c r="N11" s="13">
        <v>0</v>
      </c>
      <c r="O11" s="14">
        <v>0</v>
      </c>
      <c r="P11" s="13">
        <v>0</v>
      </c>
      <c r="Q11" s="14">
        <v>0</v>
      </c>
      <c r="R11" s="13">
        <v>0</v>
      </c>
      <c r="S11" s="14">
        <v>0</v>
      </c>
      <c r="T11" s="13">
        <v>0</v>
      </c>
      <c r="U11" s="14">
        <v>0</v>
      </c>
      <c r="V11" s="13">
        <v>0</v>
      </c>
      <c r="W11" s="14">
        <v>0</v>
      </c>
    </row>
    <row r="12" spans="1:23" ht="15.75" customHeight="1" x14ac:dyDescent="0.2">
      <c r="A12" s="12" t="s">
        <v>60</v>
      </c>
      <c r="B12" s="13">
        <v>0</v>
      </c>
      <c r="C12" s="14">
        <v>289</v>
      </c>
      <c r="D12" s="13">
        <v>665</v>
      </c>
      <c r="E12" s="14">
        <v>1011</v>
      </c>
      <c r="F12" s="13">
        <v>1344</v>
      </c>
      <c r="G12" s="14">
        <v>1663</v>
      </c>
      <c r="H12" s="13">
        <v>1976</v>
      </c>
      <c r="I12" s="14">
        <v>2276</v>
      </c>
      <c r="J12" s="13">
        <v>2569</v>
      </c>
      <c r="K12" s="14">
        <v>2854</v>
      </c>
      <c r="L12" s="13">
        <v>3134</v>
      </c>
      <c r="M12" s="14">
        <v>3411</v>
      </c>
      <c r="N12" s="13">
        <v>3668</v>
      </c>
      <c r="O12" s="14">
        <v>3900</v>
      </c>
      <c r="P12" s="13">
        <v>4124</v>
      </c>
      <c r="Q12" s="14">
        <v>4339</v>
      </c>
      <c r="R12" s="13">
        <v>4548</v>
      </c>
      <c r="S12" s="14">
        <v>4753</v>
      </c>
      <c r="T12" s="13">
        <v>4950</v>
      </c>
      <c r="U12" s="14">
        <v>5140</v>
      </c>
      <c r="V12" s="13">
        <v>5280</v>
      </c>
      <c r="W12" s="14">
        <v>5462</v>
      </c>
    </row>
    <row r="13" spans="1:23" ht="15.75" customHeight="1" x14ac:dyDescent="0.2">
      <c r="A13" s="12" t="s">
        <v>41</v>
      </c>
      <c r="B13" s="13">
        <v>0</v>
      </c>
      <c r="C13" s="14">
        <v>940</v>
      </c>
      <c r="D13" s="13">
        <v>1862</v>
      </c>
      <c r="E13" s="14">
        <v>2758</v>
      </c>
      <c r="F13" s="13">
        <v>3634</v>
      </c>
      <c r="G13" s="14">
        <v>4493</v>
      </c>
      <c r="H13" s="13">
        <v>5327</v>
      </c>
      <c r="I13" s="14">
        <v>6135</v>
      </c>
      <c r="J13" s="13">
        <v>6924</v>
      </c>
      <c r="K13" s="14">
        <v>7686</v>
      </c>
      <c r="L13" s="13">
        <v>8415</v>
      </c>
      <c r="M13" s="14">
        <v>9115</v>
      </c>
      <c r="N13" s="13">
        <v>9768</v>
      </c>
      <c r="O13" s="14">
        <v>10377</v>
      </c>
      <c r="P13" s="13">
        <v>10921</v>
      </c>
      <c r="Q13" s="14">
        <v>11420</v>
      </c>
      <c r="R13" s="13">
        <v>11890</v>
      </c>
      <c r="S13" s="14">
        <v>12331</v>
      </c>
      <c r="T13" s="13">
        <v>12734</v>
      </c>
      <c r="U13" s="14">
        <v>13062</v>
      </c>
      <c r="V13" s="13">
        <v>13400</v>
      </c>
      <c r="W13" s="14">
        <v>13694</v>
      </c>
    </row>
    <row r="14" spans="1:23" s="24" customFormat="1" ht="15.75" customHeight="1" x14ac:dyDescent="0.25">
      <c r="A14" s="21" t="s">
        <v>19</v>
      </c>
      <c r="B14" s="22">
        <f t="shared" ref="B14:U14" si="0">SUM(B3:B13)</f>
        <v>0</v>
      </c>
      <c r="C14" s="23">
        <f>SUM(C3:C13)</f>
        <v>3750</v>
      </c>
      <c r="D14" s="22">
        <f t="shared" si="0"/>
        <v>5548</v>
      </c>
      <c r="E14" s="23">
        <f t="shared" si="0"/>
        <v>6916</v>
      </c>
      <c r="F14" s="22">
        <f t="shared" si="0"/>
        <v>7607</v>
      </c>
      <c r="G14" s="23">
        <f t="shared" si="0"/>
        <v>10262</v>
      </c>
      <c r="H14" s="22">
        <f t="shared" si="0"/>
        <v>11655</v>
      </c>
      <c r="I14" s="23">
        <f t="shared" si="0"/>
        <v>14115</v>
      </c>
      <c r="J14" s="22">
        <f t="shared" si="0"/>
        <v>15659</v>
      </c>
      <c r="K14" s="23">
        <f t="shared" si="0"/>
        <v>17537</v>
      </c>
      <c r="L14" s="22">
        <f t="shared" si="0"/>
        <v>18067</v>
      </c>
      <c r="M14" s="23">
        <f t="shared" si="0"/>
        <v>18060</v>
      </c>
      <c r="N14" s="22">
        <f t="shared" si="0"/>
        <v>18970</v>
      </c>
      <c r="O14" s="23">
        <f t="shared" si="0"/>
        <v>19701</v>
      </c>
      <c r="P14" s="22">
        <f t="shared" si="0"/>
        <v>20654</v>
      </c>
      <c r="Q14" s="23">
        <f t="shared" si="0"/>
        <v>21379</v>
      </c>
      <c r="R14" s="22">
        <f t="shared" si="0"/>
        <v>21651</v>
      </c>
      <c r="S14" s="23">
        <f t="shared" si="0"/>
        <v>22857</v>
      </c>
      <c r="T14" s="22">
        <f t="shared" si="0"/>
        <v>22994</v>
      </c>
      <c r="U14" s="23">
        <f t="shared" si="0"/>
        <v>23834</v>
      </c>
      <c r="V14" s="22">
        <f t="shared" ref="V14:W14" si="1">SUM(V3:V13)</f>
        <v>24080</v>
      </c>
      <c r="W14" s="23">
        <f t="shared" si="1"/>
        <v>24646</v>
      </c>
    </row>
    <row r="15" spans="1:23" ht="15.75" customHeight="1" x14ac:dyDescent="0.2">
      <c r="B15" s="17"/>
      <c r="C15" s="17"/>
    </row>
    <row r="16" spans="1:23" ht="15.75" customHeight="1" x14ac:dyDescent="0.2">
      <c r="B16" s="17"/>
      <c r="C16" s="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Z10"/>
  <sheetViews>
    <sheetView workbookViewId="0"/>
  </sheetViews>
  <sheetFormatPr defaultColWidth="9.140625" defaultRowHeight="12.75" x14ac:dyDescent="0.2"/>
  <cols>
    <col min="1" max="1" width="13.85546875" style="2" bestFit="1" customWidth="1"/>
    <col min="2" max="23" width="10.42578125" style="2" customWidth="1"/>
    <col min="24" max="16384" width="9.140625" style="2"/>
  </cols>
  <sheetData>
    <row r="1" spans="1:26" ht="15.75" x14ac:dyDescent="0.25">
      <c r="A1" s="7" t="s">
        <v>70</v>
      </c>
    </row>
    <row r="2" spans="1:26" s="11" customFormat="1" ht="15.75" customHeight="1" x14ac:dyDescent="0.2">
      <c r="A2" s="8" t="s">
        <v>34</v>
      </c>
      <c r="B2" s="9" t="s">
        <v>0</v>
      </c>
      <c r="C2" s="10" t="s">
        <v>1</v>
      </c>
      <c r="D2" s="9" t="s">
        <v>2</v>
      </c>
      <c r="E2" s="10" t="s">
        <v>3</v>
      </c>
      <c r="F2" s="9" t="s">
        <v>4</v>
      </c>
      <c r="G2" s="10" t="s">
        <v>5</v>
      </c>
      <c r="H2" s="9" t="s">
        <v>6</v>
      </c>
      <c r="I2" s="10" t="s">
        <v>7</v>
      </c>
      <c r="J2" s="9" t="s">
        <v>8</v>
      </c>
      <c r="K2" s="10" t="s">
        <v>9</v>
      </c>
      <c r="L2" s="9" t="s">
        <v>10</v>
      </c>
      <c r="M2" s="10" t="s">
        <v>11</v>
      </c>
      <c r="N2" s="9" t="s">
        <v>12</v>
      </c>
      <c r="O2" s="10" t="s">
        <v>13</v>
      </c>
      <c r="P2" s="9" t="s">
        <v>14</v>
      </c>
      <c r="Q2" s="10" t="s">
        <v>15</v>
      </c>
      <c r="R2" s="9" t="s">
        <v>16</v>
      </c>
      <c r="S2" s="10" t="s">
        <v>45</v>
      </c>
      <c r="T2" s="9" t="s">
        <v>61</v>
      </c>
      <c r="U2" s="10" t="s">
        <v>62</v>
      </c>
      <c r="V2" s="9" t="s">
        <v>63</v>
      </c>
      <c r="W2" s="10" t="s">
        <v>64</v>
      </c>
    </row>
    <row r="3" spans="1:26" s="5" customFormat="1" ht="15.75" customHeight="1" x14ac:dyDescent="0.2">
      <c r="A3" s="12" t="s">
        <v>35</v>
      </c>
      <c r="B3" s="13">
        <v>0</v>
      </c>
      <c r="C3" s="14">
        <v>31.874192273298569</v>
      </c>
      <c r="D3" s="13">
        <v>31.874192273298569</v>
      </c>
      <c r="E3" s="14">
        <v>31.874192273298569</v>
      </c>
      <c r="F3" s="13">
        <v>101.48243063136755</v>
      </c>
      <c r="G3" s="14">
        <v>101.48243063136755</v>
      </c>
      <c r="H3" s="13">
        <v>101.48243063136755</v>
      </c>
      <c r="I3" s="14">
        <v>101.48243063136755</v>
      </c>
      <c r="J3" s="13">
        <v>101.48243063136755</v>
      </c>
      <c r="K3" s="14">
        <v>101.48243063136755</v>
      </c>
      <c r="L3" s="13">
        <v>101.48243063136755</v>
      </c>
      <c r="M3" s="14">
        <v>101.48243063136755</v>
      </c>
      <c r="N3" s="13">
        <v>101.48243063136755</v>
      </c>
      <c r="O3" s="14">
        <v>101.48243063136755</v>
      </c>
      <c r="P3" s="13">
        <v>101.48243063136755</v>
      </c>
      <c r="Q3" s="14">
        <v>101.48243063136755</v>
      </c>
      <c r="R3" s="13">
        <v>101.48243063136755</v>
      </c>
      <c r="S3" s="14">
        <v>101.48243063136755</v>
      </c>
      <c r="T3" s="13">
        <v>112.21026737392461</v>
      </c>
      <c r="U3" s="14">
        <v>112.21026737392461</v>
      </c>
      <c r="V3" s="13">
        <v>112.21026737392461</v>
      </c>
      <c r="W3" s="14">
        <v>112.21026737392461</v>
      </c>
    </row>
    <row r="4" spans="1:26" s="5" customFormat="1" ht="15.75" customHeight="1" x14ac:dyDescent="0.2">
      <c r="A4" s="12" t="s">
        <v>36</v>
      </c>
      <c r="B4" s="13">
        <v>0</v>
      </c>
      <c r="C4" s="14">
        <v>0</v>
      </c>
      <c r="D4" s="13">
        <v>0</v>
      </c>
      <c r="E4" s="14">
        <v>0</v>
      </c>
      <c r="F4" s="13">
        <v>0</v>
      </c>
      <c r="G4" s="14">
        <v>0</v>
      </c>
      <c r="H4" s="13">
        <v>57.165327528391082</v>
      </c>
      <c r="I4" s="14">
        <v>182.61489815468215</v>
      </c>
      <c r="J4" s="13">
        <v>286.35412919844583</v>
      </c>
      <c r="K4" s="14">
        <v>393.73479024832108</v>
      </c>
      <c r="L4" s="13">
        <v>520.21355588864901</v>
      </c>
      <c r="M4" s="14">
        <v>629.57407700170893</v>
      </c>
      <c r="N4" s="13">
        <v>629.57407700170893</v>
      </c>
      <c r="O4" s="14">
        <v>629.57407700170893</v>
      </c>
      <c r="P4" s="13">
        <v>629.57407700170893</v>
      </c>
      <c r="Q4" s="14">
        <v>629.57407700170893</v>
      </c>
      <c r="R4" s="13">
        <v>629.57407700170893</v>
      </c>
      <c r="S4" s="14">
        <v>629.57407700170893</v>
      </c>
      <c r="T4" s="13">
        <v>663.67321307547411</v>
      </c>
      <c r="U4" s="14">
        <v>687.18517149994352</v>
      </c>
      <c r="V4" s="13">
        <v>712.7958506592405</v>
      </c>
      <c r="W4" s="14">
        <v>719.29818318425851</v>
      </c>
    </row>
    <row r="5" spans="1:26" s="5" customFormat="1" ht="15.75" customHeight="1" x14ac:dyDescent="0.2">
      <c r="A5" s="12" t="s">
        <v>37</v>
      </c>
      <c r="B5" s="13">
        <v>0</v>
      </c>
      <c r="C5" s="14">
        <v>14.466949785785069</v>
      </c>
      <c r="D5" s="13">
        <v>85.837913499357938</v>
      </c>
      <c r="E5" s="14">
        <v>157.14468775406357</v>
      </c>
      <c r="F5" s="13">
        <v>248.80342600560084</v>
      </c>
      <c r="G5" s="14">
        <v>480.86940739276054</v>
      </c>
      <c r="H5" s="13">
        <v>571.70874891431254</v>
      </c>
      <c r="I5" s="14">
        <v>571.70874891431254</v>
      </c>
      <c r="J5" s="13">
        <v>571.70874891431254</v>
      </c>
      <c r="K5" s="14">
        <v>571.70874891431254</v>
      </c>
      <c r="L5" s="13">
        <v>571.70874891431254</v>
      </c>
      <c r="M5" s="14">
        <v>571.70874891431254</v>
      </c>
      <c r="N5" s="13">
        <v>571.70874891431254</v>
      </c>
      <c r="O5" s="14">
        <v>571.70874891431254</v>
      </c>
      <c r="P5" s="13">
        <v>631.3689740001447</v>
      </c>
      <c r="Q5" s="14">
        <v>631.3689740001447</v>
      </c>
      <c r="R5" s="13">
        <v>657.48506953947833</v>
      </c>
      <c r="S5" s="14">
        <v>657.48506953947833</v>
      </c>
      <c r="T5" s="13">
        <v>657.48506953947833</v>
      </c>
      <c r="U5" s="14">
        <v>657.48506953947833</v>
      </c>
      <c r="V5" s="13">
        <v>657.48506953947833</v>
      </c>
      <c r="W5" s="14">
        <v>656.2332858732924</v>
      </c>
    </row>
    <row r="6" spans="1:26" s="5" customFormat="1" ht="15.75" customHeight="1" x14ac:dyDescent="0.2">
      <c r="A6" s="12" t="s">
        <v>38</v>
      </c>
      <c r="B6" s="13">
        <v>0</v>
      </c>
      <c r="C6" s="14">
        <v>14.106053641104237</v>
      </c>
      <c r="D6" s="13">
        <v>14.106053641104237</v>
      </c>
      <c r="E6" s="14">
        <v>14.106053641104237</v>
      </c>
      <c r="F6" s="13">
        <v>14.106053641104237</v>
      </c>
      <c r="G6" s="14">
        <v>14.106053641104237</v>
      </c>
      <c r="H6" s="13">
        <v>66.736474724970947</v>
      </c>
      <c r="I6" s="14">
        <v>100.24623064112076</v>
      </c>
      <c r="J6" s="13">
        <v>100.24623064112076</v>
      </c>
      <c r="K6" s="14">
        <v>100.24623064112076</v>
      </c>
      <c r="L6" s="13">
        <v>101.09601249724349</v>
      </c>
      <c r="M6" s="14">
        <v>101.09601249724349</v>
      </c>
      <c r="N6" s="13">
        <v>101.09601249724349</v>
      </c>
      <c r="O6" s="14">
        <v>101.09601249724349</v>
      </c>
      <c r="P6" s="13">
        <v>113.62855722436505</v>
      </c>
      <c r="Q6" s="14">
        <v>113.62855722436505</v>
      </c>
      <c r="R6" s="13">
        <v>122.02240960694874</v>
      </c>
      <c r="S6" s="14">
        <v>122.02240960694874</v>
      </c>
      <c r="T6" s="13">
        <v>162.71445299283451</v>
      </c>
      <c r="U6" s="14">
        <v>162.71445299283451</v>
      </c>
      <c r="V6" s="13">
        <v>166.08805878824535</v>
      </c>
      <c r="W6" s="14">
        <v>166.08805878824535</v>
      </c>
    </row>
    <row r="7" spans="1:26" s="5" customFormat="1" ht="15.75" customHeight="1" x14ac:dyDescent="0.2">
      <c r="A7" s="12" t="s">
        <v>39</v>
      </c>
      <c r="B7" s="13">
        <v>0</v>
      </c>
      <c r="C7" s="14">
        <v>0</v>
      </c>
      <c r="D7" s="13">
        <v>0</v>
      </c>
      <c r="E7" s="14">
        <v>0</v>
      </c>
      <c r="F7" s="13">
        <v>0</v>
      </c>
      <c r="G7" s="14">
        <v>0</v>
      </c>
      <c r="H7" s="13">
        <v>0</v>
      </c>
      <c r="I7" s="14">
        <v>0</v>
      </c>
      <c r="J7" s="13">
        <v>0</v>
      </c>
      <c r="K7" s="14">
        <v>0</v>
      </c>
      <c r="L7" s="13">
        <v>0</v>
      </c>
      <c r="M7" s="14">
        <v>0</v>
      </c>
      <c r="N7" s="13">
        <v>0</v>
      </c>
      <c r="O7" s="14">
        <v>0</v>
      </c>
      <c r="P7" s="13">
        <v>27.132424525556278</v>
      </c>
      <c r="Q7" s="14">
        <v>29.079909705043224</v>
      </c>
      <c r="R7" s="13">
        <v>29.079909705043224</v>
      </c>
      <c r="S7" s="14">
        <v>29.079909705043224</v>
      </c>
      <c r="T7" s="13">
        <v>39.881983162329448</v>
      </c>
      <c r="U7" s="14">
        <v>39.881983162329448</v>
      </c>
      <c r="V7" s="13">
        <v>54.00552409869406</v>
      </c>
      <c r="W7" s="14">
        <v>54.044945769885274</v>
      </c>
    </row>
    <row r="8" spans="1:26" x14ac:dyDescent="0.2">
      <c r="A8" s="15" t="s">
        <v>76</v>
      </c>
      <c r="B8" s="6"/>
      <c r="C8" s="6"/>
      <c r="D8" s="6"/>
      <c r="E8" s="6"/>
      <c r="F8" s="6"/>
      <c r="G8" s="6"/>
      <c r="H8" s="6"/>
      <c r="I8" s="6"/>
      <c r="J8" s="6"/>
      <c r="K8" s="6"/>
      <c r="L8" s="6"/>
      <c r="M8" s="6"/>
      <c r="N8" s="6"/>
      <c r="O8" s="6"/>
      <c r="P8" s="6"/>
      <c r="Q8" s="6"/>
      <c r="R8" s="6"/>
      <c r="S8" s="6"/>
      <c r="T8" s="6"/>
      <c r="U8" s="6"/>
      <c r="V8" s="6"/>
      <c r="W8" s="6"/>
    </row>
    <row r="10" spans="1:26" ht="14.25" x14ac:dyDescent="0.2">
      <c r="A10" s="16"/>
      <c r="B10" s="17"/>
      <c r="C10" s="17"/>
      <c r="D10" s="16"/>
      <c r="E10" s="16"/>
      <c r="F10" s="16"/>
      <c r="G10" s="16"/>
      <c r="H10" s="16"/>
      <c r="I10" s="16"/>
      <c r="J10" s="16"/>
      <c r="K10" s="16"/>
      <c r="L10" s="16"/>
      <c r="M10" s="16"/>
      <c r="N10" s="16"/>
      <c r="O10" s="16"/>
      <c r="P10" s="16"/>
      <c r="Q10" s="16"/>
      <c r="R10" s="16"/>
      <c r="S10" s="16"/>
      <c r="T10" s="16"/>
      <c r="U10" s="16"/>
      <c r="V10" s="16"/>
      <c r="W10" s="16"/>
      <c r="X10" s="16"/>
      <c r="Y10" s="16"/>
      <c r="Z10" s="1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E5EE2FDD9A15D549AEA83EA1B400EBDA" ma:contentTypeVersion="0" ma:contentTypeDescription="Create a new document." ma:contentTypeScope="" ma:versionID="ad79084dcdd2c6282bac2fbd9f324cf9">
  <xsd:schema xmlns:xsd="http://www.w3.org/2001/XMLSchema" xmlns:xs="http://www.w3.org/2001/XMLSchema" xmlns:p="http://schemas.microsoft.com/office/2006/metadata/properties" xmlns:ns2="a14523ce-dede-483e-883a-2d83261080bd" targetNamespace="http://schemas.microsoft.com/office/2006/metadata/properties" ma:root="true" ma:fieldsID="7609b2132cc27c2e027996f255529d92" ns2:_="">
    <xsd:import namespace="a14523ce-dede-483e-883a-2d83261080bd"/>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4523ce-dede-483e-883a-2d83261080b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14523ce-dede-483e-883a-2d83261080bd">NETWORKDEV-1262562635-210</_dlc_DocId>
    <_dlc_DocIdUrl xmlns="a14523ce-dede-483e-883a-2d83261080bd">
      <Url>http://sharedocs/sites/nd/BusinessAsUsual/_layouts/15/DocIdRedir.aspx?ID=NETWORKDEV-1262562635-210</Url>
      <Description>NETWORKDEV-1262562635-210</Description>
    </_dlc_DocIdUrl>
  </documentManagement>
</p:properties>
</file>

<file path=customXml/itemProps1.xml><?xml version="1.0" encoding="utf-8"?>
<ds:datastoreItem xmlns:ds="http://schemas.openxmlformats.org/officeDocument/2006/customXml" ds:itemID="{C8D9CBFA-012F-41AD-B831-097640CDA270}">
  <ds:schemaRefs>
    <ds:schemaRef ds:uri="http://schemas.microsoft.com/sharepoint/events"/>
  </ds:schemaRefs>
</ds:datastoreItem>
</file>

<file path=customXml/itemProps2.xml><?xml version="1.0" encoding="utf-8"?>
<ds:datastoreItem xmlns:ds="http://schemas.openxmlformats.org/officeDocument/2006/customXml" ds:itemID="{914F6B22-2DBC-4B96-80CF-E82EFF143B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4523ce-dede-483e-883a-2d83261080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884797-D8A5-45D4-A6C8-85916C62C8C0}">
  <ds:schemaRefs>
    <ds:schemaRef ds:uri="http://schemas.microsoft.com/sharepoint/v3/contenttype/forms"/>
  </ds:schemaRefs>
</ds:datastoreItem>
</file>

<file path=customXml/itemProps4.xml><?xml version="1.0" encoding="utf-8"?>
<ds:datastoreItem xmlns:ds="http://schemas.openxmlformats.org/officeDocument/2006/customXml" ds:itemID="{F3203936-8F89-476E-B0D1-A4F68C695FA1}">
  <ds:schemaRefs>
    <ds:schemaRef ds:uri="http://schemas.microsoft.com/office/2006/documentManagement/types"/>
    <ds:schemaRef ds:uri="a14523ce-dede-483e-883a-2d83261080bd"/>
    <ds:schemaRef ds:uri="http://schemas.microsoft.com/office/infopath/2007/PartnerControls"/>
    <ds:schemaRef ds:uri="http://purl.org/dc/terms/"/>
    <ds:schemaRef ds:uri="http://purl.org/dc/elements/1.1/"/>
    <ds:schemaRef ds:uri="http://www.w3.org/XML/1998/namespace"/>
    <ds:schemaRef ds:uri="http://purl.org/dc/dcmitype/"/>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3</vt:i4>
      </vt:variant>
    </vt:vector>
  </HeadingPairs>
  <TitlesOfParts>
    <vt:vector size="10" baseType="lpstr">
      <vt:lpstr>Index</vt:lpstr>
      <vt:lpstr>Market Benefits Summary</vt:lpstr>
      <vt:lpstr>Net Market Benefits</vt:lpstr>
      <vt:lpstr>NEMInstalledCapacity Data</vt:lpstr>
      <vt:lpstr>NEMEnergyGenerated Data</vt:lpstr>
      <vt:lpstr>NewAndRetiredCapacity Data</vt:lpstr>
      <vt:lpstr>GenerationInvestment</vt:lpstr>
      <vt:lpstr>NEMInstalledCapacity Figure</vt:lpstr>
      <vt:lpstr>NEMEnergyGenerated Figure</vt:lpstr>
      <vt:lpstr>NewAndRetiredCapacity Figure</vt:lpstr>
    </vt:vector>
  </TitlesOfParts>
  <Company>AEMO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NTNDP_2016_Additional_Information</dc:title>
  <dc:creator>Monique Meerkotter</dc:creator>
  <cp:lastModifiedBy>AEMO</cp:lastModifiedBy>
  <dcterms:created xsi:type="dcterms:W3CDTF">2012-11-20T01:45:39Z</dcterms:created>
  <dcterms:modified xsi:type="dcterms:W3CDTF">2018-07-24T04:41:08Z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0x010100E5EE2FDD9A15D549AEA83EA1B400EBDA</vt:lpwstr>
  </property>
  <property fmtid="{D5CDD505-2E9C-101B-9397-08002B2CF9AE}" pid="3" name="_dlc_DocIdItemGuid">
    <vt:lpwstr>33e8c2c2-cf42-46e7-a3e5-46bd238f3641</vt:lpwstr>
  </property>
  <property fmtid="{D5CDD505-2E9C-101B-9397-08002B2CF9AE}" pid="4" name="AEMOKeywords">
    <vt:lpwstr/>
  </property>
  <property fmtid="{D5CDD505-2E9C-101B-9397-08002B2CF9AE}" pid="5" name="AEMODocumentType">
    <vt:lpwstr>1;#Operational Record|859762f2-4462-42eb-9744-c955c7e2c540</vt:lpwstr>
  </property>
  <property fmtid="{D5CDD505-2E9C-101B-9397-08002B2CF9AE}" pid="6" name="DocumentStorageId">
    <vt:lpwstr/>
  </property>
  <property fmtid="{D5CDD505-2E9C-101B-9397-08002B2CF9AE}" pid="7" name="AEMODocumentTypeTaxHTField0">
    <vt:lpwstr>Operational Record|859762f2-4462-42eb-9744-c955c7e2c540</vt:lpwstr>
  </property>
  <property fmtid="{D5CDD505-2E9C-101B-9397-08002B2CF9AE}" pid="8" name="TaxCatchAll">
    <vt:lpwstr>1;#Operational Record|859762f2-4462-42eb-9744-c955c7e2c540</vt:lpwstr>
  </property>
  <property fmtid="{D5CDD505-2E9C-101B-9397-08002B2CF9AE}" pid="9" name="AEMOKeywordsTaxHTField0">
    <vt:lpwstr/>
  </property>
</Properties>
</file>