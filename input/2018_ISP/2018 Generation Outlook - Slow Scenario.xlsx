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codeName="ThisWorkbook"/>
  <mc:AlternateContent xmlns:mc="http://schemas.openxmlformats.org/markup-compatibility/2006">
    <mc:Choice Requires="x15">
      <x15ac:absPath xmlns:x15ac="http://schemas.microsoft.com/office/spreadsheetml/2010/11/ac" url="A:\ISP\Reports for publication\ISP database\2018 ISP Generation and Transmission Outlooks\"/>
    </mc:Choice>
  </mc:AlternateContent>
  <bookViews>
    <workbookView xWindow="0" yWindow="0" windowWidth="28800" windowHeight="14085" tabRatio="876"/>
  </bookViews>
  <sheets>
    <sheet name="Index" sheetId="42" r:id="rId1"/>
    <sheet name="Market Benefits Summary" sheetId="47" r:id="rId2"/>
    <sheet name="Net Market Benefits" sheetId="46" r:id="rId3"/>
    <sheet name="NEMInstalledCapacity Figure" sheetId="40" r:id="rId4"/>
    <sheet name="NEMInstalledCapacity Data" sheetId="2" r:id="rId5"/>
    <sheet name="NEMEnergyGenerated Figure" sheetId="41" r:id="rId6"/>
    <sheet name="NEMEnergyGenerated Data" sheetId="5" r:id="rId7"/>
    <sheet name="NewAndRetiredCapacity Figure" sheetId="38" r:id="rId8"/>
    <sheet name="NewAndRetiredCapacity Data" sheetId="29" r:id="rId9"/>
    <sheet name="GenerationInvestment" sheetId="43" r:id="rId10"/>
  </sheets>
  <definedNames>
    <definedName name="_xlnm._FilterDatabase" localSheetId="6" hidden="1">'NEMEnergyGenerated Data'!#REF!</definedName>
    <definedName name="_xlnm._FilterDatabase" localSheetId="4" hidden="1">'NEMInstalledCapacity Data'!$A$15:$AR$17</definedName>
    <definedName name="_xlnm._FilterDatabase" localSheetId="2" hidden="1">'Net Market Benefits'!#REF!</definedName>
    <definedName name="_xlnm._FilterDatabase" localSheetId="8" hidden="1">'NewAndRetiredCapacity Data'!#REF!</definedName>
  </definedNames>
  <calcPr calcId="171027"/>
</workbook>
</file>

<file path=xl/calcChain.xml><?xml version="1.0" encoding="utf-8"?>
<calcChain xmlns="http://schemas.openxmlformats.org/spreadsheetml/2006/main">
  <c r="S24" i="47" l="1"/>
  <c r="R24" i="47"/>
  <c r="L24" i="47"/>
  <c r="K24" i="47"/>
  <c r="E24" i="47"/>
  <c r="D24" i="47"/>
  <c r="S12" i="47"/>
  <c r="R12" i="47"/>
  <c r="L12" i="47"/>
  <c r="K12" i="47"/>
  <c r="E12" i="47"/>
  <c r="D12" i="47"/>
  <c r="T10" i="47"/>
  <c r="T9" i="47"/>
  <c r="T8" i="47"/>
  <c r="T7" i="47"/>
  <c r="T6" i="47"/>
  <c r="T5" i="47"/>
  <c r="W7" i="43" l="1"/>
  <c r="V7" i="43"/>
  <c r="U7" i="43"/>
  <c r="T7" i="43"/>
  <c r="S7" i="43"/>
  <c r="R7" i="43"/>
  <c r="Q7" i="43"/>
  <c r="P7" i="43"/>
  <c r="O7" i="43"/>
  <c r="N7" i="43"/>
  <c r="M7" i="43"/>
  <c r="L7" i="43"/>
  <c r="K7" i="43"/>
  <c r="J7" i="43"/>
  <c r="I7" i="43"/>
  <c r="H7" i="43"/>
  <c r="G7" i="43"/>
  <c r="F7" i="43"/>
  <c r="E7" i="43"/>
  <c r="D7" i="43"/>
  <c r="C7" i="43"/>
  <c r="B7" i="43"/>
  <c r="Q14" i="29" l="1"/>
  <c r="W14" i="29" l="1"/>
  <c r="V14" i="29"/>
  <c r="E16" i="5"/>
  <c r="F16" i="5"/>
  <c r="G16" i="5"/>
  <c r="H16" i="5"/>
  <c r="I16" i="5"/>
  <c r="J16" i="5"/>
  <c r="K16" i="5"/>
  <c r="L16" i="5"/>
  <c r="M16" i="5"/>
  <c r="N16" i="5"/>
  <c r="O16" i="5"/>
  <c r="P16" i="5"/>
  <c r="Q16" i="5"/>
  <c r="R16" i="5"/>
  <c r="S16" i="5"/>
  <c r="T16" i="5"/>
  <c r="U16" i="5"/>
  <c r="V16" i="5"/>
  <c r="W16" i="5"/>
  <c r="X16" i="5"/>
  <c r="D16" i="5"/>
  <c r="C16" i="5"/>
  <c r="W14" i="2"/>
  <c r="X14" i="2"/>
  <c r="D14" i="2" l="1"/>
  <c r="E14" i="2"/>
  <c r="F14" i="2"/>
  <c r="G14" i="2"/>
  <c r="H14" i="2"/>
  <c r="I14" i="2"/>
  <c r="J14" i="2"/>
  <c r="K14" i="2"/>
  <c r="L14" i="2"/>
  <c r="M14" i="2"/>
  <c r="N14" i="2"/>
  <c r="O14" i="2"/>
  <c r="P14" i="2"/>
  <c r="Q14" i="2"/>
  <c r="R14" i="2"/>
  <c r="S14" i="2"/>
  <c r="T14" i="2"/>
  <c r="U14" i="2"/>
  <c r="V14" i="2"/>
  <c r="C14" i="2"/>
  <c r="B14" i="29" l="1"/>
  <c r="C14" i="29"/>
  <c r="D14" i="29"/>
  <c r="E14" i="29"/>
  <c r="F14" i="29"/>
  <c r="G14" i="29"/>
  <c r="H14" i="29"/>
  <c r="I14" i="29"/>
  <c r="J14" i="29"/>
  <c r="K14" i="29"/>
  <c r="L14" i="29"/>
  <c r="M14" i="29"/>
  <c r="N14" i="29"/>
  <c r="O14" i="29"/>
  <c r="P14" i="29"/>
  <c r="R14" i="29"/>
  <c r="S14" i="29"/>
  <c r="T14" i="29"/>
  <c r="U14" i="29"/>
</calcChain>
</file>

<file path=xl/sharedStrings.xml><?xml version="1.0" encoding="utf-8"?>
<sst xmlns="http://schemas.openxmlformats.org/spreadsheetml/2006/main" count="425" uniqueCount="107">
  <si>
    <t>2018-19</t>
  </si>
  <si>
    <t>2019-20</t>
  </si>
  <si>
    <t>2020-21</t>
  </si>
  <si>
    <t>2021-22</t>
  </si>
  <si>
    <t>2022-23</t>
  </si>
  <si>
    <t>2023-24</t>
  </si>
  <si>
    <t>2024-25</t>
  </si>
  <si>
    <t>2025-26</t>
  </si>
  <si>
    <t>2026-27</t>
  </si>
  <si>
    <t>2027-28</t>
  </si>
  <si>
    <t>2028-29</t>
  </si>
  <si>
    <t>2029-30</t>
  </si>
  <si>
    <t>2030-31</t>
  </si>
  <si>
    <t>2031-32</t>
  </si>
  <si>
    <t>2032-33</t>
  </si>
  <si>
    <t>2033-34</t>
  </si>
  <si>
    <t>2034-35</t>
  </si>
  <si>
    <t>Hydro</t>
  </si>
  <si>
    <t>Wind</t>
  </si>
  <si>
    <t>Total</t>
  </si>
  <si>
    <t>Technology</t>
  </si>
  <si>
    <t>Cumulative NEM Total New Entry / Retired Capacity by Technology (MW)</t>
  </si>
  <si>
    <t>Total NEM Installed Capacity by Technology (MW)</t>
  </si>
  <si>
    <t>Please note that the data format may need to be adjusted in order to view the data to the level of fidelity required. 
For example, you may need to format the cell to a more appropriate number of decimal places in some cases as desired.</t>
  </si>
  <si>
    <t>Index Table</t>
  </si>
  <si>
    <t>Tab Name</t>
  </si>
  <si>
    <t>Content Description</t>
  </si>
  <si>
    <t>NEMInstalledCapacity Figure</t>
  </si>
  <si>
    <t>NEMInstalledCapacity Data</t>
  </si>
  <si>
    <t>NEMEnergyGenerated Figure</t>
  </si>
  <si>
    <t>NEMEnergyGenerated Data</t>
  </si>
  <si>
    <t>NewAndRetiredCapacity Figure</t>
  </si>
  <si>
    <t>NewAndRetiredCapacity Data</t>
  </si>
  <si>
    <t>GenerationInvestment</t>
  </si>
  <si>
    <t>Region</t>
  </si>
  <si>
    <t>NSW</t>
  </si>
  <si>
    <t>QLD</t>
  </si>
  <si>
    <t>VIC</t>
  </si>
  <si>
    <t>SA</t>
  </si>
  <si>
    <t>TAS</t>
  </si>
  <si>
    <t xml:space="preserve">Total </t>
  </si>
  <si>
    <t>Rooftop PV</t>
  </si>
  <si>
    <t>NEM</t>
  </si>
  <si>
    <t>About</t>
  </si>
  <si>
    <t>CCGT</t>
  </si>
  <si>
    <t>2035-36</t>
  </si>
  <si>
    <t>Generation Cost</t>
  </si>
  <si>
    <t>FO&amp;M Cost</t>
  </si>
  <si>
    <t>Build Cost</t>
  </si>
  <si>
    <t>Intra-connectors</t>
  </si>
  <si>
    <t>Inter-connectors</t>
  </si>
  <si>
    <t>Total NEM installed capacity by technology (MW) and total NEM installed capacity by technology and zone (MW), yearly resolution for period 2018–19 to 2039–40.</t>
  </si>
  <si>
    <t>Cumulative NEM total new entry and retired capacity by technology (MW) and cumulative NEM total new entry and retired capacity by technology and zone, yearly resolution for period 2018–19 to 2039–40.</t>
  </si>
  <si>
    <t>Generation investment across the NEM ($ million), yearly resolution for period 2018–19 to 2039–40.</t>
  </si>
  <si>
    <t>Black coal</t>
  </si>
  <si>
    <t>Brown coal</t>
  </si>
  <si>
    <t>Peaking gas + liquids</t>
  </si>
  <si>
    <t>Utility Solar</t>
  </si>
  <si>
    <t>Utility storage</t>
  </si>
  <si>
    <t>Biomass</t>
  </si>
  <si>
    <t>Distributed storage</t>
  </si>
  <si>
    <t>2036-37</t>
  </si>
  <si>
    <t>2037-38</t>
  </si>
  <si>
    <t>2038-39</t>
  </si>
  <si>
    <t>2039-40</t>
  </si>
  <si>
    <t>Distributed storage load</t>
  </si>
  <si>
    <t>Utility storage generation</t>
  </si>
  <si>
    <t>Utility storage load</t>
  </si>
  <si>
    <t>Distributed storage generation</t>
  </si>
  <si>
    <t>Total NEM Generated Energy by Technology (GWh)</t>
  </si>
  <si>
    <t>Annualised Generation Investment across the NEM ($ million)</t>
  </si>
  <si>
    <t>2018 ISP Generation Outlook</t>
  </si>
  <si>
    <t>Total NEM generated energy by technology (GWh) and total NEM generated energy by technology and zone (GWh), yearly resolution for period 2018–19 to 2039–40.</t>
  </si>
  <si>
    <t>Breakdown of the total market benefits provided under this scenario. Market benefit is presented as NPV of equivalent annuities.</t>
  </si>
  <si>
    <t>NPV ($ million)</t>
  </si>
  <si>
    <t>* Excludes annualised cost of committed and advanced generation projects</t>
  </si>
  <si>
    <t>Market Benefits Summary</t>
  </si>
  <si>
    <t>Market benefits summary for all scenarios in the 2018 ISP. Market benefit is presented as NPV of equivalent annuities.</t>
  </si>
  <si>
    <t>Market Benefits of Neutral scenario by 2040</t>
  </si>
  <si>
    <t>Market Benefits of Fast Change scenario by 2040</t>
  </si>
  <si>
    <t>Market Benefits of Slow Change scenario by 2040</t>
  </si>
  <si>
    <t>Neutral (without the interconnection plan)</t>
  </si>
  <si>
    <t>Neutral (with interconnection plan)</t>
  </si>
  <si>
    <t>Fast change (without the interconnection plan)</t>
  </si>
  <si>
    <t>Fast change (with interconnection plan)</t>
  </si>
  <si>
    <t>Slow change (without the interconnection plan)</t>
  </si>
  <si>
    <t>Slow change (with interconnection plan)</t>
  </si>
  <si>
    <t>Explicit investment</t>
  </si>
  <si>
    <t>Market Benefits of Neutral with storage intiatives scenario by 2040</t>
  </si>
  <si>
    <t>Market Benefits of Increased Role For Gas scenario by 2040</t>
  </si>
  <si>
    <t>Market Benefits of High DER scenario by 2040</t>
  </si>
  <si>
    <t>Neutral with storage initiatives (without the interconnection plan)</t>
  </si>
  <si>
    <t>Neutral with storage (with interconnection plan)</t>
  </si>
  <si>
    <t>Increased role for gas (without the interconnection plan)</t>
  </si>
  <si>
    <t>Increased role for gas (with interconnection plan)</t>
  </si>
  <si>
    <t>High DER (without the interconnection plan)</t>
  </si>
  <si>
    <t>High DER (with interconnection plan)</t>
  </si>
  <si>
    <t>Version History</t>
  </si>
  <si>
    <t>Version Number</t>
  </si>
  <si>
    <t>Description</t>
  </si>
  <si>
    <t>v1.0</t>
  </si>
  <si>
    <t>Initial release</t>
  </si>
  <si>
    <t>v2.0</t>
  </si>
  <si>
    <t>Updated release – added Market Benefits Summary worksheet describing the Gross Market Benefits of each scenario. Updated “Market Benefits” sheet to “Net Market Benefits”</t>
  </si>
  <si>
    <t>Net Market Benefits</t>
  </si>
  <si>
    <t>This spreadsheet contains the generation and transmission outlook for the Slow scenario of the 2018 ISP. For a complete description of the scenarios and sensitivities, please see the 2018 ISP main report.</t>
  </si>
  <si>
    <t>Net Market Benefits of Slow scenario by 2040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</si>
</sst>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8" formatCode="&quot;$&quot;#,##0.00;[Red]\-&quot;$&quot;#,##0.00"/>
    <numFmt numFmtId="44" formatCode="_-&quot;$&quot;* #,##0.00_-;\-&quot;$&quot;* #,##0.00_-;_-&quot;$&quot;* &quot;-&quot;??_-;_-@_-"/>
    <numFmt numFmtId="43" formatCode="_-* #,##0.00_-;\-* #,##0.00_-;_-* &quot;-&quot;??_-;_-@_-"/>
    <numFmt numFmtId="164" formatCode="#,##0_ ;\-#,##0\ "/>
    <numFmt numFmtId="165" formatCode="0.000000"/>
    <numFmt numFmtId="166" formatCode="_-* #,##0_-;\-* #,##0_-;_-* &quot;-&quot;??_-;_-@_-"/>
  </numFmts>
  <fonts count="45" x14ac:knownFonts="1">
    <font>
      <sz val="10"/>
      <color theme="1"/>
      <name val="Arial"/>
      <family val="2"/>
    </font>
    <font>
      <sz val="11"/>
      <color theme="1"/>
      <name val="Tw Cen MT"/>
      <family val="2"/>
      <scheme val="minor"/>
    </font>
    <font>
      <sz val="11"/>
      <color theme="1"/>
      <name val="Arial"/>
      <family val="2"/>
    </font>
    <font>
      <sz val="11"/>
      <color theme="1"/>
      <name val="Arial"/>
      <family val="2"/>
    </font>
    <font>
      <sz val="11"/>
      <color theme="1"/>
      <name val="Arial"/>
      <family val="2"/>
    </font>
    <font>
      <sz val="10"/>
      <name val="Arial"/>
      <family val="2"/>
    </font>
    <font>
      <sz val="10"/>
      <color theme="1"/>
      <name val="Arial"/>
      <family val="2"/>
    </font>
    <font>
      <sz val="8"/>
      <color theme="1"/>
      <name val="Arial"/>
      <family val="2"/>
    </font>
    <font>
      <sz val="10"/>
      <color theme="0"/>
      <name val="Arial"/>
      <family val="2"/>
    </font>
    <font>
      <sz val="11"/>
      <color theme="1"/>
      <name val="Arial"/>
      <family val="2"/>
    </font>
    <font>
      <sz val="11"/>
      <color theme="1"/>
      <name val="Tw Cen MT"/>
      <family val="2"/>
      <scheme val="minor"/>
    </font>
    <font>
      <sz val="8"/>
      <color theme="0"/>
      <name val="Arial"/>
      <family val="2"/>
    </font>
    <font>
      <sz val="8"/>
      <color rgb="FF000099"/>
      <name val="Arial"/>
      <family val="2"/>
    </font>
    <font>
      <sz val="7"/>
      <name val="Arial"/>
      <family val="2"/>
    </font>
    <font>
      <sz val="8"/>
      <color rgb="FF000080"/>
      <name val="Arial"/>
      <family val="2"/>
    </font>
    <font>
      <b/>
      <sz val="11"/>
      <color theme="1"/>
      <name val="Arial"/>
      <family val="2"/>
    </font>
    <font>
      <b/>
      <sz val="10"/>
      <color theme="1"/>
      <name val="Arial"/>
      <family val="2"/>
    </font>
    <font>
      <b/>
      <sz val="18"/>
      <color theme="3"/>
      <name val="Tw Cen M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5"/>
      <color rgb="FFF47321"/>
      <name val="Arial"/>
      <family val="2"/>
    </font>
    <font>
      <b/>
      <sz val="11"/>
      <color rgb="FFF47321"/>
      <name val="Arial"/>
      <family val="2"/>
    </font>
    <font>
      <b/>
      <sz val="12"/>
      <color rgb="FFC00000"/>
      <name val="Tw Cen MT"/>
      <family val="2"/>
      <scheme val="major"/>
    </font>
    <font>
      <b/>
      <sz val="8"/>
      <color rgb="FF000000"/>
      <name val="Tw Cen MT"/>
      <family val="2"/>
      <scheme val="minor"/>
    </font>
    <font>
      <sz val="10"/>
      <color theme="1"/>
      <name val="Tw Cen MT"/>
      <family val="2"/>
      <scheme val="minor"/>
    </font>
    <font>
      <sz val="8"/>
      <color theme="1"/>
      <name val="Tw Cen MT"/>
      <family val="2"/>
      <scheme val="minor"/>
    </font>
    <font>
      <b/>
      <sz val="8"/>
      <color theme="1"/>
      <name val="Tw Cen MT"/>
      <family val="2"/>
      <scheme val="minor"/>
    </font>
    <font>
      <sz val="10"/>
      <color theme="1"/>
      <name val="Tw Cen MT"/>
      <family val="2"/>
      <scheme val="major"/>
    </font>
    <font>
      <b/>
      <sz val="12"/>
      <color theme="5"/>
      <name val="Tw Cen MT"/>
      <family val="2"/>
      <scheme val="minor"/>
    </font>
    <font>
      <b/>
      <sz val="10"/>
      <color theme="5"/>
      <name val="Tw Cen MT"/>
      <family val="2"/>
      <scheme val="minor"/>
    </font>
    <font>
      <b/>
      <sz val="10"/>
      <color theme="1"/>
      <name val="Tw Cen MT"/>
      <family val="2"/>
      <scheme val="minor"/>
    </font>
    <font>
      <b/>
      <sz val="20"/>
      <color rgb="FFC41230"/>
      <name val="Tw Cen MT"/>
      <family val="2"/>
      <scheme val="major"/>
    </font>
    <font>
      <b/>
      <sz val="14"/>
      <color rgb="FFC41230"/>
      <name val="Tw Cen MT"/>
      <family val="2"/>
      <scheme val="major"/>
    </font>
    <font>
      <b/>
      <sz val="10"/>
      <name val="Tw Cen MT"/>
      <family val="2"/>
      <scheme val="minor"/>
    </font>
  </fonts>
  <fills count="40">
    <fill>
      <patternFill patternType="none"/>
    </fill>
    <fill>
      <patternFill patternType="gray125"/>
    </fill>
    <fill>
      <patternFill patternType="solid">
        <fgColor theme="4"/>
      </patternFill>
    </fill>
    <fill>
      <patternFill patternType="solid">
        <fgColor indexed="26"/>
      </patternFill>
    </fill>
    <fill>
      <patternFill patternType="solid">
        <fgColor indexed="49"/>
      </patternFill>
    </fill>
    <fill>
      <patternFill patternType="solid">
        <fgColor rgb="FFD9D9D9"/>
        <bgColor indexed="64"/>
      </patternFill>
    </fill>
    <fill>
      <patternFill patternType="solid">
        <fgColor indexed="22"/>
        <bgColor indexed="64"/>
      </patternFill>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style="medium">
        <color theme="0"/>
      </right>
      <top style="thin">
        <color indexed="64"/>
      </top>
      <bottom/>
      <diagonal/>
    </border>
    <border>
      <left/>
      <right style="medium">
        <color theme="0"/>
      </right>
      <top/>
      <bottom/>
      <diagonal/>
    </border>
    <border>
      <left/>
      <right style="medium">
        <color theme="0"/>
      </right>
      <top/>
      <bottom style="medium">
        <color theme="0"/>
      </bottom>
      <diagonal/>
    </border>
    <border>
      <left style="thin">
        <color rgb="FFFEFDFD"/>
      </left>
      <right style="thin">
        <color theme="2"/>
      </right>
      <top style="thin">
        <color indexed="64"/>
      </top>
      <bottom style="thin">
        <color indexed="64"/>
      </bottom>
      <diagonal/>
    </border>
    <border>
      <left/>
      <right style="thin">
        <color rgb="FFFEFDFD"/>
      </right>
      <top style="thin">
        <color indexed="64"/>
      </top>
      <bottom style="thin">
        <color indexed="64"/>
      </bottom>
      <diagonal/>
    </border>
    <border>
      <left style="thin">
        <color rgb="FFFEFDFD"/>
      </left>
      <right style="thin">
        <color theme="1" tint="0.749992370372631"/>
      </right>
      <top style="thin">
        <color indexed="64"/>
      </top>
      <bottom style="thin">
        <color theme="1" tint="0.749992370372631"/>
      </bottom>
      <diagonal/>
    </border>
    <border>
      <left style="thin">
        <color theme="1" tint="0.749992370372631"/>
      </left>
      <right style="thin">
        <color rgb="FFFEFDFD"/>
      </right>
      <top style="thin">
        <color indexed="64"/>
      </top>
      <bottom style="thin">
        <color theme="1" tint="0.749992370372631"/>
      </bottom>
      <diagonal/>
    </border>
    <border>
      <left style="thin">
        <color rgb="FFFEFDFD"/>
      </left>
      <right/>
      <top/>
      <bottom/>
      <diagonal/>
    </border>
    <border>
      <left style="thin">
        <color theme="1" tint="0.749992370372631"/>
      </left>
      <right style="thin">
        <color rgb="FFFEFDFD"/>
      </right>
      <top style="thin">
        <color theme="1" tint="0.749992370372631"/>
      </top>
      <bottom/>
      <diagonal/>
    </border>
    <border>
      <left style="thin">
        <color rgb="FFFEFDFD"/>
      </left>
      <right style="thin">
        <color theme="1" tint="0.749992370372631"/>
      </right>
      <top style="thin">
        <color theme="1" tint="0.749992370372631"/>
      </top>
      <bottom style="thin">
        <color theme="1" tint="0.749992370372631"/>
      </bottom>
      <diagonal/>
    </border>
    <border>
      <left style="thin">
        <color theme="1" tint="0.749992370372631"/>
      </left>
      <right style="thin">
        <color rgb="FFFEFDFD"/>
      </right>
      <top/>
      <bottom style="thin">
        <color theme="1" tint="0.749992370372631"/>
      </bottom>
      <diagonal/>
    </border>
    <border>
      <left style="thin">
        <color theme="1" tint="0.749992370372631"/>
      </left>
      <right style="thin">
        <color rgb="FFFEFDFD"/>
      </right>
      <top/>
      <bottom/>
      <diagonal/>
    </border>
    <border>
      <left style="thin">
        <color theme="1" tint="0.749992370372631"/>
      </left>
      <right style="thin">
        <color rgb="FFFEFDFD"/>
      </right>
      <top style="thin">
        <color theme="1" tint="0.749992370372631"/>
      </top>
      <bottom style="thin">
        <color theme="1" tint="0.749992370372631"/>
      </bottom>
      <diagonal/>
    </border>
    <border>
      <left/>
      <right/>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rgb="FFFEFDFD"/>
      </left>
      <right style="thin">
        <color theme="1" tint="0.749992370372631"/>
      </right>
      <top style="thin">
        <color theme="1" tint="0.749992370372631"/>
      </top>
      <bottom/>
      <diagonal/>
    </border>
    <border>
      <left/>
      <right/>
      <top style="thin">
        <color theme="1" tint="0.749992370372631"/>
      </top>
      <bottom/>
      <diagonal/>
    </border>
  </borders>
  <cellStyleXfs count="711">
    <xf numFmtId="0" fontId="0" fillId="0" borderId="0"/>
    <xf numFmtId="0" fontId="6" fillId="0" borderId="0"/>
    <xf numFmtId="0" fontId="9" fillId="0" borderId="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 fillId="0" borderId="0"/>
    <xf numFmtId="0" fontId="7" fillId="0" borderId="0"/>
    <xf numFmtId="0" fontId="7" fillId="0" borderId="0"/>
    <xf numFmtId="0" fontId="10" fillId="0" borderId="0"/>
    <xf numFmtId="0" fontId="10"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1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5" fillId="0" borderId="0"/>
    <xf numFmtId="0" fontId="7"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3" borderId="1" applyNumberFormat="0" applyFont="0" applyAlignment="0" applyProtection="0"/>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4"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0" fontId="11" fillId="2" borderId="0">
      <alignment horizontal="center"/>
    </xf>
    <xf numFmtId="9" fontId="5" fillId="0" borderId="0" applyFont="0" applyFill="0" applyBorder="0" applyAlignment="0" applyProtection="0"/>
    <xf numFmtId="9" fontId="5" fillId="0" borderId="0" applyFont="0" applyFill="0" applyBorder="0" applyAlignment="0" applyProtection="0"/>
    <xf numFmtId="4" fontId="7" fillId="0" borderId="0" applyNumberFormat="0" applyBorder="0" applyAlignment="0" applyProtection="0">
      <alignment horizontal="center"/>
    </xf>
    <xf numFmtId="0" fontId="12" fillId="5" borderId="0">
      <alignment horizontal="center" wrapText="1"/>
    </xf>
    <xf numFmtId="0" fontId="13" fillId="0" borderId="0" applyNumberFormat="0" applyBorder="0">
      <alignment horizontal="left" wrapText="1"/>
    </xf>
    <xf numFmtId="0" fontId="13" fillId="0" borderId="0" applyNumberFormat="0" applyBorder="0">
      <alignment horizontal="left" wrapText="1"/>
    </xf>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6"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14" fillId="7" borderId="0" applyNumberFormat="0" applyProtection="0"/>
    <xf numFmtId="0" fontId="4" fillId="0" borderId="0"/>
    <xf numFmtId="43" fontId="6" fillId="0" borderId="0" applyFont="0" applyFill="0" applyBorder="0" applyAlignment="0" applyProtection="0"/>
    <xf numFmtId="0" fontId="4" fillId="0" borderId="0"/>
    <xf numFmtId="0" fontId="4" fillId="0" borderId="0"/>
    <xf numFmtId="0" fontId="17" fillId="0" borderId="0" applyNumberFormat="0" applyFill="0" applyBorder="0" applyAlignment="0" applyProtection="0"/>
    <xf numFmtId="0" fontId="18" fillId="0" borderId="2" applyNumberFormat="0" applyFill="0" applyAlignment="0" applyProtection="0"/>
    <xf numFmtId="0" fontId="19" fillId="0" borderId="3" applyNumberFormat="0" applyFill="0" applyAlignment="0" applyProtection="0"/>
    <xf numFmtId="0" fontId="20" fillId="0" borderId="4" applyNumberFormat="0" applyFill="0" applyAlignment="0" applyProtection="0"/>
    <xf numFmtId="0" fontId="20" fillId="0" borderId="0" applyNumberFormat="0" applyFill="0" applyBorder="0" applyAlignment="0" applyProtection="0"/>
    <xf numFmtId="0" fontId="21" fillId="8" borderId="0" applyNumberFormat="0" applyBorder="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5" applyNumberFormat="0" applyAlignment="0" applyProtection="0"/>
    <xf numFmtId="0" fontId="25" fillId="12" borderId="6" applyNumberFormat="0" applyAlignment="0" applyProtection="0"/>
    <xf numFmtId="0" fontId="26" fillId="12" borderId="5" applyNumberFormat="0" applyAlignment="0" applyProtection="0"/>
    <xf numFmtId="0" fontId="27" fillId="0" borderId="7" applyNumberFormat="0" applyFill="0" applyAlignment="0" applyProtection="0"/>
    <xf numFmtId="0" fontId="28" fillId="13" borderId="8"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16" fillId="0" borderId="10" applyNumberFormat="0" applyFill="0" applyAlignment="0" applyProtection="0"/>
    <xf numFmtId="0" fontId="8" fillId="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8" fillId="37" borderId="0" applyNumberFormat="0" applyBorder="0" applyAlignment="0" applyProtection="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0" borderId="0"/>
    <xf numFmtId="0" fontId="6" fillId="14" borderId="9" applyNumberFormat="0" applyFont="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6" fillId="0" borderId="0"/>
    <xf numFmtId="43" fontId="6" fillId="0" borderId="0" applyFont="0" applyFill="0" applyBorder="0" applyAlignment="0" applyProtection="0"/>
  </cellStyleXfs>
  <cellXfs count="106">
    <xf numFmtId="0" fontId="0" fillId="0" borderId="0" xfId="0"/>
    <xf numFmtId="0" fontId="9" fillId="0" borderId="0" xfId="2"/>
    <xf numFmtId="165" fontId="0" fillId="0" borderId="0" xfId="0" applyNumberFormat="1"/>
    <xf numFmtId="164" fontId="9" fillId="0" borderId="0" xfId="2" applyNumberFormat="1"/>
    <xf numFmtId="0" fontId="0" fillId="0" borderId="0" xfId="0"/>
    <xf numFmtId="0" fontId="31" fillId="38" borderId="0" xfId="0" applyFont="1" applyFill="1" applyAlignment="1">
      <alignment vertical="center"/>
    </xf>
    <xf numFmtId="0" fontId="32" fillId="38" borderId="0" xfId="0" applyFont="1" applyFill="1" applyAlignment="1">
      <alignment horizontal="left" vertical="center"/>
    </xf>
    <xf numFmtId="0" fontId="7" fillId="0" borderId="0" xfId="0" applyFont="1"/>
    <xf numFmtId="164" fontId="7" fillId="0" borderId="0" xfId="0" applyNumberFormat="1" applyFont="1"/>
    <xf numFmtId="0" fontId="0" fillId="38" borderId="0" xfId="0" applyFont="1" applyFill="1" applyAlignment="1">
      <alignment horizontal="left" vertical="center" wrapText="1"/>
    </xf>
    <xf numFmtId="0" fontId="33" fillId="0" borderId="0" xfId="0" applyFont="1" applyBorder="1" applyAlignment="1"/>
    <xf numFmtId="0" fontId="34" fillId="39" borderId="11" xfId="0" applyFont="1" applyFill="1" applyBorder="1" applyAlignment="1">
      <alignment horizontal="left" vertical="center" wrapText="1"/>
    </xf>
    <xf numFmtId="0" fontId="34" fillId="0" borderId="11" xfId="0" applyFont="1" applyFill="1" applyBorder="1" applyAlignment="1">
      <alignment horizontal="right" vertical="center"/>
    </xf>
    <xf numFmtId="0" fontId="34" fillId="39" borderId="11" xfId="0" applyFont="1" applyFill="1" applyBorder="1" applyAlignment="1">
      <alignment horizontal="right" vertical="center"/>
    </xf>
    <xf numFmtId="0" fontId="35" fillId="0" borderId="0" xfId="0" applyFont="1" applyFill="1" applyBorder="1"/>
    <xf numFmtId="164" fontId="36" fillId="39" borderId="0" xfId="618" applyNumberFormat="1" applyFont="1" applyFill="1" applyBorder="1" applyAlignment="1">
      <alignment horizontal="left"/>
    </xf>
    <xf numFmtId="164" fontId="36" fillId="0" borderId="0" xfId="618" applyNumberFormat="1" applyFont="1" applyFill="1" applyBorder="1" applyAlignment="1">
      <alignment horizontal="right"/>
    </xf>
    <xf numFmtId="164" fontId="36" fillId="39" borderId="0" xfId="618" applyNumberFormat="1" applyFont="1" applyFill="1" applyBorder="1" applyAlignment="1">
      <alignment horizontal="right"/>
    </xf>
    <xf numFmtId="8" fontId="36" fillId="0" borderId="0" xfId="0" applyNumberFormat="1" applyFont="1"/>
    <xf numFmtId="0" fontId="2" fillId="0" borderId="0" xfId="700"/>
    <xf numFmtId="0" fontId="2" fillId="0" borderId="0" xfId="700" applyFont="1" applyFill="1"/>
    <xf numFmtId="0" fontId="2" fillId="0" borderId="0" xfId="700" applyFill="1"/>
    <xf numFmtId="0" fontId="7" fillId="0" borderId="0" xfId="700" applyFont="1"/>
    <xf numFmtId="164" fontId="37" fillId="39" borderId="0" xfId="618" applyNumberFormat="1" applyFont="1" applyFill="1" applyBorder="1" applyAlignment="1">
      <alignment horizontal="left"/>
    </xf>
    <xf numFmtId="164" fontId="37" fillId="0" borderId="0" xfId="618" applyNumberFormat="1" applyFont="1" applyFill="1" applyBorder="1" applyAlignment="1">
      <alignment horizontal="right"/>
    </xf>
    <xf numFmtId="164" fontId="37" fillId="39" borderId="0" xfId="618" applyNumberFormat="1" applyFont="1" applyFill="1" applyBorder="1" applyAlignment="1">
      <alignment horizontal="right"/>
    </xf>
    <xf numFmtId="0" fontId="15" fillId="0" borderId="0" xfId="700" applyFont="1"/>
    <xf numFmtId="164" fontId="2" fillId="0" borderId="0" xfId="700" applyNumberFormat="1"/>
    <xf numFmtId="0" fontId="33" fillId="0" borderId="0" xfId="696" applyFont="1" applyFill="1" applyBorder="1"/>
    <xf numFmtId="0" fontId="0" fillId="0" borderId="0" xfId="0" applyAlignment="1">
      <alignment horizontal="right"/>
    </xf>
    <xf numFmtId="0" fontId="37" fillId="0" borderId="11" xfId="0" applyFont="1" applyFill="1" applyBorder="1" applyAlignment="1">
      <alignment horizontal="left" vertical="center" wrapText="1"/>
    </xf>
    <xf numFmtId="164" fontId="0" fillId="0" borderId="0" xfId="0" applyNumberFormat="1" applyAlignment="1">
      <alignment horizontal="right"/>
    </xf>
    <xf numFmtId="164" fontId="36" fillId="0" borderId="0" xfId="618" applyNumberFormat="1" applyFont="1" applyFill="1" applyBorder="1" applyAlignment="1">
      <alignment horizontal="left"/>
    </xf>
    <xf numFmtId="0" fontId="38" fillId="0" borderId="0" xfId="0" applyFont="1" applyFill="1" applyBorder="1"/>
    <xf numFmtId="164" fontId="38" fillId="0" borderId="0" xfId="0" applyNumberFormat="1" applyFont="1" applyFill="1" applyBorder="1"/>
    <xf numFmtId="0" fontId="34" fillId="0" borderId="11" xfId="0" applyFont="1" applyFill="1" applyBorder="1" applyAlignment="1">
      <alignment horizontal="center" vertical="center"/>
    </xf>
    <xf numFmtId="0" fontId="34" fillId="39" borderId="11" xfId="0" applyFont="1" applyFill="1" applyBorder="1" applyAlignment="1">
      <alignment horizontal="center" vertical="center"/>
    </xf>
    <xf numFmtId="0" fontId="36" fillId="0" borderId="0" xfId="0" applyFont="1" applyFill="1" applyBorder="1"/>
    <xf numFmtId="164" fontId="36" fillId="0" borderId="0" xfId="0" applyNumberFormat="1" applyFont="1" applyFill="1" applyBorder="1"/>
    <xf numFmtId="164" fontId="35" fillId="0" borderId="0" xfId="0" applyNumberFormat="1" applyFont="1" applyFill="1" applyBorder="1"/>
    <xf numFmtId="166" fontId="36" fillId="39" borderId="0" xfId="618" applyNumberFormat="1" applyFont="1" applyFill="1" applyBorder="1" applyAlignment="1">
      <alignment horizontal="right"/>
    </xf>
    <xf numFmtId="166" fontId="36" fillId="0" borderId="0" xfId="618" applyNumberFormat="1" applyFont="1" applyFill="1" applyBorder="1" applyAlignment="1">
      <alignment horizontal="right"/>
    </xf>
    <xf numFmtId="0" fontId="16" fillId="0" borderId="0" xfId="0" applyFont="1" applyBorder="1" applyAlignment="1"/>
    <xf numFmtId="0" fontId="39" fillId="0" borderId="11" xfId="0" applyFont="1" applyFill="1" applyBorder="1"/>
    <xf numFmtId="0" fontId="40" fillId="0" borderId="11" xfId="0" applyFont="1" applyFill="1" applyBorder="1"/>
    <xf numFmtId="0" fontId="0" fillId="0" borderId="0" xfId="0" applyFill="1" applyBorder="1"/>
    <xf numFmtId="0" fontId="35" fillId="0" borderId="0" xfId="0" applyFont="1" applyFill="1" applyBorder="1" applyAlignment="1">
      <alignment horizontal="left" vertical="center" wrapText="1"/>
    </xf>
    <xf numFmtId="166" fontId="35" fillId="0" borderId="0" xfId="618" applyNumberFormat="1" applyFont="1" applyFill="1" applyBorder="1" applyAlignment="1">
      <alignment horizontal="left" vertical="center" wrapText="1"/>
    </xf>
    <xf numFmtId="0" fontId="41" fillId="0" borderId="0" xfId="0" applyFont="1" applyFill="1" applyBorder="1" applyAlignment="1">
      <alignment horizontal="left" vertical="center" wrapText="1"/>
    </xf>
    <xf numFmtId="166" fontId="41" fillId="0" borderId="0" xfId="618" applyNumberFormat="1" applyFont="1" applyFill="1" applyBorder="1" applyAlignment="1">
      <alignment horizontal="left" vertical="center" wrapText="1"/>
    </xf>
    <xf numFmtId="0" fontId="0" fillId="38" borderId="0" xfId="0" applyFill="1"/>
    <xf numFmtId="0" fontId="42" fillId="38" borderId="0" xfId="0" applyFont="1" applyFill="1" applyAlignment="1">
      <alignment vertical="center"/>
    </xf>
    <xf numFmtId="0" fontId="43" fillId="38" borderId="0" xfId="0" applyFont="1" applyFill="1" applyAlignment="1">
      <alignment horizontal="left" vertical="center"/>
    </xf>
    <xf numFmtId="0" fontId="7" fillId="38" borderId="0" xfId="0" applyFont="1" applyFill="1"/>
    <xf numFmtId="0" fontId="39" fillId="38" borderId="15" xfId="0" applyFont="1" applyFill="1" applyBorder="1"/>
    <xf numFmtId="0" fontId="39" fillId="38" borderId="16" xfId="0" applyFont="1" applyFill="1" applyBorder="1" applyAlignment="1">
      <alignment wrapText="1"/>
    </xf>
    <xf numFmtId="0" fontId="35" fillId="38" borderId="17" xfId="0" applyFont="1" applyFill="1" applyBorder="1" applyAlignment="1">
      <alignment horizontal="left" vertical="center" wrapText="1"/>
    </xf>
    <xf numFmtId="0" fontId="35" fillId="38" borderId="18" xfId="0" applyFont="1" applyFill="1" applyBorder="1" applyAlignment="1">
      <alignment horizontal="left" vertical="center" wrapText="1"/>
    </xf>
    <xf numFmtId="0" fontId="35" fillId="38" borderId="19" xfId="0" applyFont="1" applyFill="1" applyBorder="1" applyAlignment="1">
      <alignment horizontal="left" vertical="center" wrapText="1"/>
    </xf>
    <xf numFmtId="0" fontId="35" fillId="38" borderId="21" xfId="0" applyFont="1" applyFill="1" applyBorder="1" applyAlignment="1">
      <alignment horizontal="left" vertical="center" wrapText="1"/>
    </xf>
    <xf numFmtId="0" fontId="35" fillId="38" borderId="24" xfId="0" applyFont="1" applyFill="1" applyBorder="1" applyAlignment="1">
      <alignment horizontal="left" vertical="center" wrapText="1"/>
    </xf>
    <xf numFmtId="0" fontId="1" fillId="38" borderId="0" xfId="708" applyFill="1" applyBorder="1"/>
    <xf numFmtId="0" fontId="1" fillId="38" borderId="0" xfId="708" applyFill="1"/>
    <xf numFmtId="0" fontId="33" fillId="38" borderId="0" xfId="709" applyFont="1" applyFill="1" applyBorder="1" applyAlignment="1"/>
    <xf numFmtId="0" fontId="16" fillId="38" borderId="0" xfId="709" applyFont="1" applyFill="1" applyBorder="1" applyAlignment="1"/>
    <xf numFmtId="0" fontId="39" fillId="38" borderId="11" xfId="709" applyFont="1" applyFill="1" applyBorder="1"/>
    <xf numFmtId="0" fontId="44" fillId="38" borderId="11" xfId="709" applyFont="1" applyFill="1" applyBorder="1" applyAlignment="1">
      <alignment horizontal="right" wrapText="1"/>
    </xf>
    <xf numFmtId="0" fontId="44" fillId="38" borderId="11" xfId="709" applyFont="1" applyFill="1" applyBorder="1" applyAlignment="1">
      <alignment horizontal="right"/>
    </xf>
    <xf numFmtId="0" fontId="39" fillId="38" borderId="11" xfId="709" applyFont="1" applyFill="1" applyBorder="1" applyAlignment="1">
      <alignment horizontal="right" wrapText="1"/>
    </xf>
    <xf numFmtId="0" fontId="35" fillId="38" borderId="0" xfId="709" applyFont="1" applyFill="1" applyBorder="1" applyAlignment="1">
      <alignment horizontal="left" vertical="center" wrapText="1"/>
    </xf>
    <xf numFmtId="166" fontId="35" fillId="38" borderId="0" xfId="710" applyNumberFormat="1" applyFont="1" applyFill="1" applyBorder="1" applyAlignment="1">
      <alignment horizontal="left" vertical="center" wrapText="1"/>
    </xf>
    <xf numFmtId="0" fontId="41" fillId="38" borderId="25" xfId="709" applyFont="1" applyFill="1" applyBorder="1" applyAlignment="1">
      <alignment horizontal="left" vertical="center" wrapText="1"/>
    </xf>
    <xf numFmtId="166" fontId="41" fillId="38" borderId="25" xfId="710" applyNumberFormat="1" applyFont="1" applyFill="1" applyBorder="1" applyAlignment="1">
      <alignment horizontal="left" vertical="center" wrapText="1"/>
    </xf>
    <xf numFmtId="0" fontId="1" fillId="38" borderId="26" xfId="708" applyFill="1" applyBorder="1"/>
    <xf numFmtId="0" fontId="1" fillId="38" borderId="27" xfId="708" applyFill="1" applyBorder="1"/>
    <xf numFmtId="0" fontId="1" fillId="38" borderId="28" xfId="708" applyFill="1" applyBorder="1"/>
    <xf numFmtId="0" fontId="1" fillId="38" borderId="29" xfId="708" applyFill="1" applyBorder="1"/>
    <xf numFmtId="0" fontId="1" fillId="38" borderId="30" xfId="708" applyFill="1" applyBorder="1"/>
    <xf numFmtId="0" fontId="1" fillId="38" borderId="31" xfId="708" applyFill="1" applyBorder="1"/>
    <xf numFmtId="0" fontId="1" fillId="38" borderId="32" xfId="708" applyFill="1" applyBorder="1"/>
    <xf numFmtId="0" fontId="1" fillId="38" borderId="33" xfId="708" applyFill="1" applyBorder="1"/>
    <xf numFmtId="0" fontId="35" fillId="38" borderId="23"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166" fontId="41" fillId="38" borderId="0" xfId="710" applyNumberFormat="1" applyFont="1" applyFill="1" applyBorder="1" applyAlignment="1">
      <alignment horizontal="left" vertical="center" wrapText="1"/>
    </xf>
    <xf numFmtId="0" fontId="41" fillId="38" borderId="32" xfId="709" applyFont="1" applyFill="1" applyBorder="1" applyAlignment="1">
      <alignment horizontal="left" vertical="center" wrapText="1"/>
    </xf>
    <xf numFmtId="166" fontId="41" fillId="38" borderId="32" xfId="710" applyNumberFormat="1" applyFont="1" applyFill="1" applyBorder="1" applyAlignment="1">
      <alignment horizontal="left" vertical="center" wrapText="1"/>
    </xf>
    <xf numFmtId="0" fontId="41" fillId="38" borderId="0" xfId="709" applyFont="1" applyFill="1" applyBorder="1" applyAlignment="1">
      <alignment horizontal="left" vertical="center" wrapText="1"/>
    </xf>
    <xf numFmtId="0" fontId="40" fillId="38" borderId="11" xfId="709" applyFont="1" applyFill="1" applyBorder="1" applyAlignment="1">
      <alignment horizontal="right"/>
    </xf>
    <xf numFmtId="0" fontId="35" fillId="38" borderId="20" xfId="0" applyFont="1" applyFill="1" applyBorder="1" applyAlignment="1">
      <alignment horizontal="left" vertical="center" wrapText="1"/>
    </xf>
    <xf numFmtId="0" fontId="35" fillId="38" borderId="23" xfId="0" applyFont="1" applyFill="1" applyBorder="1" applyAlignment="1">
      <alignment horizontal="left" vertical="center" wrapText="1"/>
    </xf>
    <xf numFmtId="0" fontId="0" fillId="38" borderId="0" xfId="0" applyFont="1" applyFill="1" applyAlignment="1">
      <alignment horizontal="left" vertical="center" wrapText="1"/>
    </xf>
    <xf numFmtId="0" fontId="35" fillId="38" borderId="0" xfId="0" applyFont="1" applyFill="1" applyAlignment="1">
      <alignment horizontal="left" vertical="center" wrapText="1"/>
    </xf>
    <xf numFmtId="0" fontId="35" fillId="38" borderId="22" xfId="0" applyFont="1" applyFill="1" applyBorder="1" applyAlignment="1">
      <alignment horizontal="left" vertical="center" wrapText="1"/>
    </xf>
    <xf numFmtId="0" fontId="36" fillId="0" borderId="0" xfId="1" applyFont="1" applyFill="1" applyBorder="1" applyAlignment="1">
      <alignment horizontal="center" vertical="center"/>
    </xf>
    <xf numFmtId="0" fontId="36" fillId="39" borderId="0" xfId="1" applyFont="1" applyFill="1" applyBorder="1" applyAlignment="1">
      <alignment horizontal="center" vertical="center"/>
    </xf>
    <xf numFmtId="0" fontId="36" fillId="0" borderId="12" xfId="1" applyFont="1" applyFill="1" applyBorder="1" applyAlignment="1">
      <alignment horizontal="center" vertical="center"/>
    </xf>
    <xf numFmtId="0" fontId="36" fillId="0" borderId="13" xfId="1" applyFont="1" applyFill="1" applyBorder="1" applyAlignment="1">
      <alignment horizontal="center" vertical="center"/>
    </xf>
    <xf numFmtId="0" fontId="36" fillId="0" borderId="14" xfId="1" applyFont="1" applyFill="1" applyBorder="1" applyAlignment="1">
      <alignment horizontal="center" vertical="center"/>
    </xf>
    <xf numFmtId="0" fontId="36" fillId="39" borderId="12" xfId="1" applyFont="1" applyFill="1" applyBorder="1" applyAlignment="1">
      <alignment horizontal="center" vertical="center"/>
    </xf>
    <xf numFmtId="0" fontId="36" fillId="39" borderId="13" xfId="1" applyFont="1" applyFill="1" applyBorder="1" applyAlignment="1">
      <alignment horizontal="center" vertical="center"/>
    </xf>
    <xf numFmtId="0" fontId="36" fillId="39" borderId="14" xfId="1" applyFont="1" applyFill="1" applyBorder="1" applyAlignment="1">
      <alignment horizontal="center" vertical="center"/>
    </xf>
    <xf numFmtId="0" fontId="39" fillId="38" borderId="15" xfId="0" applyFont="1" applyFill="1" applyBorder="1" applyAlignment="1">
      <alignment horizontal="center"/>
    </xf>
    <xf numFmtId="0" fontId="35" fillId="38" borderId="17" xfId="0" applyFont="1" applyFill="1" applyBorder="1" applyAlignment="1">
      <alignment horizontal="center" vertical="center" wrapText="1"/>
    </xf>
    <xf numFmtId="0" fontId="35" fillId="38" borderId="34" xfId="0" applyFont="1" applyFill="1" applyBorder="1" applyAlignment="1">
      <alignment horizontal="center" vertical="center" wrapText="1"/>
    </xf>
    <xf numFmtId="0" fontId="7" fillId="38" borderId="35" xfId="0" applyFont="1" applyFill="1" applyBorder="1"/>
  </cellXfs>
  <cellStyles count="711">
    <cellStyle name="20% - Accent1" xfId="638" builtinId="30" customBuiltin="1"/>
    <cellStyle name="20% - Accent1 2" xfId="676"/>
    <cellStyle name="20% - Accent1 3" xfId="662"/>
    <cellStyle name="20% - Accent2" xfId="642" builtinId="34" customBuiltin="1"/>
    <cellStyle name="20% - Accent2 2" xfId="678"/>
    <cellStyle name="20% - Accent2 3" xfId="664"/>
    <cellStyle name="20% - Accent3" xfId="646" builtinId="38" customBuiltin="1"/>
    <cellStyle name="20% - Accent3 2" xfId="680"/>
    <cellStyle name="20% - Accent3 3" xfId="666"/>
    <cellStyle name="20% - Accent4" xfId="650" builtinId="42" customBuiltin="1"/>
    <cellStyle name="20% - Accent4 2" xfId="682"/>
    <cellStyle name="20% - Accent4 3" xfId="668"/>
    <cellStyle name="20% - Accent5" xfId="654" builtinId="46" customBuiltin="1"/>
    <cellStyle name="20% - Accent5 2" xfId="684"/>
    <cellStyle name="20% - Accent5 3" xfId="670"/>
    <cellStyle name="20% - Accent6" xfId="658" builtinId="50" customBuiltin="1"/>
    <cellStyle name="20% - Accent6 2" xfId="686"/>
    <cellStyle name="20% - Accent6 3" xfId="672"/>
    <cellStyle name="40% - Accent1" xfId="639" builtinId="31" customBuiltin="1"/>
    <cellStyle name="40% - Accent1 2" xfId="677"/>
    <cellStyle name="40% - Accent1 3" xfId="663"/>
    <cellStyle name="40% - Accent2" xfId="643" builtinId="35" customBuiltin="1"/>
    <cellStyle name="40% - Accent2 2" xfId="679"/>
    <cellStyle name="40% - Accent2 3" xfId="665"/>
    <cellStyle name="40% - Accent3" xfId="647" builtinId="39" customBuiltin="1"/>
    <cellStyle name="40% - Accent3 2" xfId="681"/>
    <cellStyle name="40% - Accent3 3" xfId="667"/>
    <cellStyle name="40% - Accent4" xfId="651" builtinId="43" customBuiltin="1"/>
    <cellStyle name="40% - Accent4 2" xfId="683"/>
    <cellStyle name="40% - Accent4 3" xfId="669"/>
    <cellStyle name="40% - Accent5" xfId="655" builtinId="47" customBuiltin="1"/>
    <cellStyle name="40% - Accent5 2" xfId="685"/>
    <cellStyle name="40% - Accent5 3" xfId="671"/>
    <cellStyle name="40% - Accent6" xfId="659" builtinId="51" customBuiltin="1"/>
    <cellStyle name="40% - Accent6 2" xfId="687"/>
    <cellStyle name="40% - Accent6 3" xfId="673"/>
    <cellStyle name="60% - Accent1" xfId="640" builtinId="32" customBuiltin="1"/>
    <cellStyle name="60% - Accent2" xfId="644" builtinId="36" customBuiltin="1"/>
    <cellStyle name="60% - Accent3" xfId="648" builtinId="40" customBuiltin="1"/>
    <cellStyle name="60% - Accent4" xfId="652" builtinId="44" customBuiltin="1"/>
    <cellStyle name="60% - Accent5" xfId="656" builtinId="48" customBuiltin="1"/>
    <cellStyle name="60% - Accent6" xfId="660" builtinId="52" customBuiltin="1"/>
    <cellStyle name="Accent1" xfId="637" builtinId="29" customBuiltin="1"/>
    <cellStyle name="Accent2" xfId="641" builtinId="33" customBuiltin="1"/>
    <cellStyle name="Accent3" xfId="645" builtinId="37" customBuiltin="1"/>
    <cellStyle name="Accent4" xfId="649" builtinId="41" customBuiltin="1"/>
    <cellStyle name="Accent5" xfId="653" builtinId="45" customBuiltin="1"/>
    <cellStyle name="Accent6" xfId="657" builtinId="49" customBuiltin="1"/>
    <cellStyle name="Bad" xfId="627" builtinId="27" customBuiltin="1"/>
    <cellStyle name="Calculation" xfId="631" builtinId="22" customBuiltin="1"/>
    <cellStyle name="Check Cell" xfId="633" builtinId="23" customBuiltin="1"/>
    <cellStyle name="Comma" xfId="618" builtinId="3"/>
    <cellStyle name="Comma 2" xfId="3"/>
    <cellStyle name="Comma 3" xfId="710"/>
    <cellStyle name="Comma 4" xfId="4"/>
    <cellStyle name="Comma 4 2" xfId="5"/>
    <cellStyle name="Currency 2" xfId="6"/>
    <cellStyle name="Explanatory Text" xfId="635" builtinId="53" customBuiltin="1"/>
    <cellStyle name="Good" xfId="626" builtinId="26" customBuiltin="1"/>
    <cellStyle name="Heading 1" xfId="622" builtinId="16" customBuiltin="1"/>
    <cellStyle name="Heading 2" xfId="623" builtinId="17" customBuiltin="1"/>
    <cellStyle name="Heading 3" xfId="624" builtinId="18" customBuiltin="1"/>
    <cellStyle name="Heading 4" xfId="625" builtinId="19" customBuiltin="1"/>
    <cellStyle name="Input" xfId="629" builtinId="20" customBuiltin="1"/>
    <cellStyle name="Linked Cell" xfId="632" builtinId="24" customBuiltin="1"/>
    <cellStyle name="Neutral" xfId="628" builtinId="28" customBuiltin="1"/>
    <cellStyle name="Normal" xfId="0" builtinId="0"/>
    <cellStyle name="Normal 10" xfId="7"/>
    <cellStyle name="Normal 10 10" xfId="8"/>
    <cellStyle name="Normal 10 13" xfId="9"/>
    <cellStyle name="Normal 10 5" xfId="10"/>
    <cellStyle name="Normal 10 8" xfId="11"/>
    <cellStyle name="Normal 10 9" xfId="12"/>
    <cellStyle name="Normal 106" xfId="13"/>
    <cellStyle name="Normal 11" xfId="14"/>
    <cellStyle name="Normal 11 2" xfId="15"/>
    <cellStyle name="Normal 12" xfId="617"/>
    <cellStyle name="Normal 12 2" xfId="692"/>
    <cellStyle name="Normal 12 2 2" xfId="696"/>
    <cellStyle name="Normal 12 3" xfId="697"/>
    <cellStyle name="Normal 12 4" xfId="695"/>
    <cellStyle name="Normal 13" xfId="698"/>
    <cellStyle name="Normal 14" xfId="699"/>
    <cellStyle name="Normal 15" xfId="708"/>
    <cellStyle name="Normal 15 2" xfId="709"/>
    <cellStyle name="Normal 160 2" xfId="16"/>
    <cellStyle name="Normal 176 2" xfId="17"/>
    <cellStyle name="Normal 177 2" xfId="18"/>
    <cellStyle name="Normal 2" xfId="1"/>
    <cellStyle name="Normal 2 2" xfId="19"/>
    <cellStyle name="Normal 2 2 2" xfId="688"/>
    <cellStyle name="Normal 2 3" xfId="20"/>
    <cellStyle name="Normal 2 3 2" xfId="674"/>
    <cellStyle name="Normal 2 4" xfId="21"/>
    <cellStyle name="Normal 2 4 2" xfId="22"/>
    <cellStyle name="Normal 2 4 2 2" xfId="23"/>
    <cellStyle name="Normal 2 4 3" xfId="24"/>
    <cellStyle name="Normal 2 4 3 2" xfId="25"/>
    <cellStyle name="Normal 2 4 4" xfId="26"/>
    <cellStyle name="Normal 2 5" xfId="27"/>
    <cellStyle name="Normal 2 5 2" xfId="28"/>
    <cellStyle name="Normal 2 6" xfId="29"/>
    <cellStyle name="Normal 2 6 2" xfId="30"/>
    <cellStyle name="Normal 2 7" xfId="31"/>
    <cellStyle name="Normal 22 2" xfId="32"/>
    <cellStyle name="Normal 23 2" xfId="33"/>
    <cellStyle name="Normal 24 2" xfId="34"/>
    <cellStyle name="Normal 25 2" xfId="35"/>
    <cellStyle name="Normal 26 2" xfId="36"/>
    <cellStyle name="Normal 28" xfId="37"/>
    <cellStyle name="Normal 3" xfId="2"/>
    <cellStyle name="Normal 3 10" xfId="700"/>
    <cellStyle name="Normal 3 2" xfId="38"/>
    <cellStyle name="Normal 3 2 2" xfId="39"/>
    <cellStyle name="Normal 3 2 2 2" xfId="40"/>
    <cellStyle name="Normal 3 2 2 2 2" xfId="41"/>
    <cellStyle name="Normal 3 2 2 2 2 2" xfId="42"/>
    <cellStyle name="Normal 3 2 2 2 3" xfId="43"/>
    <cellStyle name="Normal 3 2 2 2 3 2" xfId="44"/>
    <cellStyle name="Normal 3 2 2 2 4" xfId="45"/>
    <cellStyle name="Normal 3 2 2 3" xfId="46"/>
    <cellStyle name="Normal 3 2 2 3 2" xfId="47"/>
    <cellStyle name="Normal 3 2 2 4" xfId="48"/>
    <cellStyle name="Normal 3 2 2 4 2" xfId="49"/>
    <cellStyle name="Normal 3 2 2 5" xfId="50"/>
    <cellStyle name="Normal 3 2 3" xfId="51"/>
    <cellStyle name="Normal 3 2 3 2" xfId="52"/>
    <cellStyle name="Normal 3 2 3 2 2" xfId="53"/>
    <cellStyle name="Normal 3 2 3 2 2 2" xfId="54"/>
    <cellStyle name="Normal 3 2 3 2 3" xfId="55"/>
    <cellStyle name="Normal 3 2 3 2 3 2" xfId="56"/>
    <cellStyle name="Normal 3 2 3 2 4" xfId="57"/>
    <cellStyle name="Normal 3 2 3 3" xfId="58"/>
    <cellStyle name="Normal 3 2 3 3 2" xfId="59"/>
    <cellStyle name="Normal 3 2 3 4" xfId="60"/>
    <cellStyle name="Normal 3 2 3 4 2" xfId="61"/>
    <cellStyle name="Normal 3 2 3 5" xfId="62"/>
    <cellStyle name="Normal 3 2 4" xfId="63"/>
    <cellStyle name="Normal 3 2 4 2" xfId="64"/>
    <cellStyle name="Normal 3 2 4 2 2" xfId="65"/>
    <cellStyle name="Normal 3 2 4 3" xfId="66"/>
    <cellStyle name="Normal 3 2 4 3 2" xfId="67"/>
    <cellStyle name="Normal 3 2 4 4" xfId="68"/>
    <cellStyle name="Normal 3 2 5" xfId="69"/>
    <cellStyle name="Normal 3 2 5 2" xfId="70"/>
    <cellStyle name="Normal 3 2 6" xfId="71"/>
    <cellStyle name="Normal 3 2 6 2" xfId="72"/>
    <cellStyle name="Normal 3 2 7" xfId="73"/>
    <cellStyle name="Normal 3 3" xfId="74"/>
    <cellStyle name="Normal 3 3 2" xfId="75"/>
    <cellStyle name="Normal 3 3 2 2" xfId="76"/>
    <cellStyle name="Normal 3 3 2 2 2" xfId="77"/>
    <cellStyle name="Normal 3 3 2 2 2 2" xfId="78"/>
    <cellStyle name="Normal 3 3 2 2 3" xfId="79"/>
    <cellStyle name="Normal 3 3 2 2 3 2" xfId="80"/>
    <cellStyle name="Normal 3 3 2 2 4" xfId="81"/>
    <cellStyle name="Normal 3 3 2 3" xfId="82"/>
    <cellStyle name="Normal 3 3 2 3 2" xfId="83"/>
    <cellStyle name="Normal 3 3 2 4" xfId="84"/>
    <cellStyle name="Normal 3 3 2 4 2" xfId="85"/>
    <cellStyle name="Normal 3 3 2 5" xfId="86"/>
    <cellStyle name="Normal 3 3 3" xfId="87"/>
    <cellStyle name="Normal 3 3 3 2" xfId="88"/>
    <cellStyle name="Normal 3 3 3 2 2" xfId="89"/>
    <cellStyle name="Normal 3 3 3 2 2 2" xfId="90"/>
    <cellStyle name="Normal 3 3 3 2 3" xfId="91"/>
    <cellStyle name="Normal 3 3 3 2 3 2" xfId="92"/>
    <cellStyle name="Normal 3 3 3 2 4" xfId="93"/>
    <cellStyle name="Normal 3 3 3 3" xfId="94"/>
    <cellStyle name="Normal 3 3 3 3 2" xfId="95"/>
    <cellStyle name="Normal 3 3 3 4" xfId="96"/>
    <cellStyle name="Normal 3 3 3 4 2" xfId="97"/>
    <cellStyle name="Normal 3 3 3 5" xfId="98"/>
    <cellStyle name="Normal 3 4" xfId="99"/>
    <cellStyle name="Normal 3 4 2" xfId="100"/>
    <cellStyle name="Normal 3 4 2 2" xfId="101"/>
    <cellStyle name="Normal 3 4 2 2 2" xfId="102"/>
    <cellStyle name="Normal 3 4 2 2 2 2" xfId="103"/>
    <cellStyle name="Normal 3 4 2 2 3" xfId="104"/>
    <cellStyle name="Normal 3 4 2 2 3 2" xfId="105"/>
    <cellStyle name="Normal 3 4 2 2 4" xfId="106"/>
    <cellStyle name="Normal 3 4 2 3" xfId="107"/>
    <cellStyle name="Normal 3 4 2 3 2" xfId="108"/>
    <cellStyle name="Normal 3 4 2 4" xfId="109"/>
    <cellStyle name="Normal 3 4 2 4 2" xfId="110"/>
    <cellStyle name="Normal 3 4 2 5" xfId="111"/>
    <cellStyle name="Normal 3 4 3" xfId="112"/>
    <cellStyle name="Normal 3 4 3 2" xfId="113"/>
    <cellStyle name="Normal 3 4 3 2 2" xfId="114"/>
    <cellStyle name="Normal 3 4 3 3" xfId="115"/>
    <cellStyle name="Normal 3 4 3 3 2" xfId="116"/>
    <cellStyle name="Normal 3 4 3 4" xfId="117"/>
    <cellStyle name="Normal 3 4 4" xfId="118"/>
    <cellStyle name="Normal 3 4 4 2" xfId="119"/>
    <cellStyle name="Normal 3 4 5" xfId="120"/>
    <cellStyle name="Normal 3 4 5 2" xfId="121"/>
    <cellStyle name="Normal 3 4 6" xfId="122"/>
    <cellStyle name="Normal 3 5" xfId="123"/>
    <cellStyle name="Normal 3 5 2" xfId="124"/>
    <cellStyle name="Normal 3 5 2 2" xfId="125"/>
    <cellStyle name="Normal 3 5 2 2 2" xfId="126"/>
    <cellStyle name="Normal 3 5 2 3" xfId="127"/>
    <cellStyle name="Normal 3 5 2 3 2" xfId="128"/>
    <cellStyle name="Normal 3 5 2 4" xfId="129"/>
    <cellStyle name="Normal 3 5 3" xfId="130"/>
    <cellStyle name="Normal 3 5 3 2" xfId="131"/>
    <cellStyle name="Normal 3 5 4" xfId="132"/>
    <cellStyle name="Normal 3 5 4 2" xfId="133"/>
    <cellStyle name="Normal 3 5 5" xfId="134"/>
    <cellStyle name="Normal 3 6" xfId="135"/>
    <cellStyle name="Normal 3 6 2" xfId="136"/>
    <cellStyle name="Normal 3 6 2 2" xfId="137"/>
    <cellStyle name="Normal 3 6 2 2 2" xfId="138"/>
    <cellStyle name="Normal 3 6 2 3" xfId="139"/>
    <cellStyle name="Normal 3 6 2 3 2" xfId="140"/>
    <cellStyle name="Normal 3 6 2 4" xfId="141"/>
    <cellStyle name="Normal 3 6 3" xfId="142"/>
    <cellStyle name="Normal 3 6 3 2" xfId="143"/>
    <cellStyle name="Normal 3 6 4" xfId="144"/>
    <cellStyle name="Normal 3 6 4 2" xfId="145"/>
    <cellStyle name="Normal 3 6 5" xfId="146"/>
    <cellStyle name="Normal 3 7" xfId="619"/>
    <cellStyle name="Normal 3 7 2" xfId="693"/>
    <cellStyle name="Normal 3 7 3" xfId="701"/>
    <cellStyle name="Normal 3 7 4" xfId="702"/>
    <cellStyle name="Normal 3 8" xfId="690"/>
    <cellStyle name="Normal 3 9" xfId="703"/>
    <cellStyle name="Normal 30 2" xfId="147"/>
    <cellStyle name="Normal 30 2 2" xfId="148"/>
    <cellStyle name="Normal 30 2 2 2" xfId="149"/>
    <cellStyle name="Normal 30 2 2 2 2" xfId="150"/>
    <cellStyle name="Normal 30 2 2 3" xfId="151"/>
    <cellStyle name="Normal 30 2 2 3 2" xfId="152"/>
    <cellStyle name="Normal 30 2 2 4" xfId="153"/>
    <cellStyle name="Normal 30 2 3" xfId="154"/>
    <cellStyle name="Normal 30 2 3 2" xfId="155"/>
    <cellStyle name="Normal 30 2 4" xfId="156"/>
    <cellStyle name="Normal 30 2 4 2" xfId="157"/>
    <cellStyle name="Normal 30 2 5" xfId="158"/>
    <cellStyle name="Normal 32 3" xfId="159"/>
    <cellStyle name="Normal 36" xfId="160"/>
    <cellStyle name="Normal 37" xfId="161"/>
    <cellStyle name="Normal 39" xfId="162"/>
    <cellStyle name="Normal 4" xfId="163"/>
    <cellStyle name="Normal 4 2" xfId="164"/>
    <cellStyle name="Normal 4 2 2" xfId="165"/>
    <cellStyle name="Normal 4 2 2 2" xfId="166"/>
    <cellStyle name="Normal 4 2 2 2 2" xfId="167"/>
    <cellStyle name="Normal 4 2 2 2 2 2" xfId="168"/>
    <cellStyle name="Normal 4 2 2 2 3" xfId="169"/>
    <cellStyle name="Normal 4 2 2 2 3 2" xfId="170"/>
    <cellStyle name="Normal 4 2 2 2 4" xfId="171"/>
    <cellStyle name="Normal 4 2 2 3" xfId="172"/>
    <cellStyle name="Normal 4 2 2 3 2" xfId="173"/>
    <cellStyle name="Normal 4 2 2 4" xfId="174"/>
    <cellStyle name="Normal 4 2 2 4 2" xfId="175"/>
    <cellStyle name="Normal 4 2 2 5" xfId="176"/>
    <cellStyle name="Normal 4 2 3" xfId="177"/>
    <cellStyle name="Normal 4 2 3 2" xfId="178"/>
    <cellStyle name="Normal 4 2 3 2 2" xfId="179"/>
    <cellStyle name="Normal 4 2 3 2 2 2" xfId="180"/>
    <cellStyle name="Normal 4 2 3 2 3" xfId="181"/>
    <cellStyle name="Normal 4 2 3 2 3 2" xfId="182"/>
    <cellStyle name="Normal 4 2 3 2 4" xfId="183"/>
    <cellStyle name="Normal 4 2 3 3" xfId="184"/>
    <cellStyle name="Normal 4 2 3 3 2" xfId="185"/>
    <cellStyle name="Normal 4 2 3 4" xfId="186"/>
    <cellStyle name="Normal 4 2 3 4 2" xfId="187"/>
    <cellStyle name="Normal 4 2 3 5" xfId="188"/>
    <cellStyle name="Normal 4 3" xfId="189"/>
    <cellStyle name="Normal 4 3 2" xfId="190"/>
    <cellStyle name="Normal 4 3 2 2" xfId="191"/>
    <cellStyle name="Normal 4 3 2 2 2" xfId="192"/>
    <cellStyle name="Normal 4 3 2 2 2 2" xfId="193"/>
    <cellStyle name="Normal 4 3 2 2 3" xfId="194"/>
    <cellStyle name="Normal 4 3 2 2 3 2" xfId="195"/>
    <cellStyle name="Normal 4 3 2 2 4" xfId="196"/>
    <cellStyle name="Normal 4 3 2 3" xfId="197"/>
    <cellStyle name="Normal 4 3 2 3 2" xfId="198"/>
    <cellStyle name="Normal 4 3 2 4" xfId="199"/>
    <cellStyle name="Normal 4 3 2 4 2" xfId="200"/>
    <cellStyle name="Normal 4 3 2 5" xfId="201"/>
    <cellStyle name="Normal 4 3 3" xfId="202"/>
    <cellStyle name="Normal 4 3 3 2" xfId="203"/>
    <cellStyle name="Normal 4 3 3 2 2" xfId="204"/>
    <cellStyle name="Normal 4 3 3 3" xfId="205"/>
    <cellStyle name="Normal 4 3 3 3 2" xfId="206"/>
    <cellStyle name="Normal 4 3 3 4" xfId="207"/>
    <cellStyle name="Normal 4 3 4" xfId="208"/>
    <cellStyle name="Normal 4 3 4 2" xfId="209"/>
    <cellStyle name="Normal 4 3 5" xfId="210"/>
    <cellStyle name="Normal 4 3 5 2" xfId="211"/>
    <cellStyle name="Normal 4 3 6" xfId="212"/>
    <cellStyle name="Normal 4 4" xfId="213"/>
    <cellStyle name="Normal 4 4 2" xfId="214"/>
    <cellStyle name="Normal 4 4 2 2" xfId="215"/>
    <cellStyle name="Normal 4 4 2 2 2" xfId="216"/>
    <cellStyle name="Normal 4 4 2 2 2 2" xfId="217"/>
    <cellStyle name="Normal 4 4 2 2 3" xfId="218"/>
    <cellStyle name="Normal 4 4 2 2 3 2" xfId="219"/>
    <cellStyle name="Normal 4 4 2 2 4" xfId="220"/>
    <cellStyle name="Normal 4 4 2 3" xfId="221"/>
    <cellStyle name="Normal 4 4 2 3 2" xfId="222"/>
    <cellStyle name="Normal 4 4 2 4" xfId="223"/>
    <cellStyle name="Normal 4 4 2 4 2" xfId="224"/>
    <cellStyle name="Normal 4 4 2 5" xfId="225"/>
    <cellStyle name="Normal 4 4 3" xfId="226"/>
    <cellStyle name="Normal 4 4 3 2" xfId="227"/>
    <cellStyle name="Normal 4 4 3 2 2" xfId="228"/>
    <cellStyle name="Normal 4 4 3 3" xfId="229"/>
    <cellStyle name="Normal 4 4 3 3 2" xfId="230"/>
    <cellStyle name="Normal 4 4 3 4" xfId="231"/>
    <cellStyle name="Normal 4 4 4" xfId="232"/>
    <cellStyle name="Normal 4 4 4 2" xfId="233"/>
    <cellStyle name="Normal 4 4 5" xfId="234"/>
    <cellStyle name="Normal 4 4 5 2" xfId="235"/>
    <cellStyle name="Normal 4 4 6" xfId="236"/>
    <cellStyle name="Normal 4 5" xfId="237"/>
    <cellStyle name="Normal 4 5 2" xfId="238"/>
    <cellStyle name="Normal 4 5 2 2" xfId="239"/>
    <cellStyle name="Normal 4 5 2 2 2" xfId="240"/>
    <cellStyle name="Normal 4 5 2 3" xfId="241"/>
    <cellStyle name="Normal 4 5 2 3 2" xfId="242"/>
    <cellStyle name="Normal 4 5 2 4" xfId="243"/>
    <cellStyle name="Normal 4 5 3" xfId="244"/>
    <cellStyle name="Normal 4 5 3 2" xfId="245"/>
    <cellStyle name="Normal 4 5 4" xfId="246"/>
    <cellStyle name="Normal 4 5 4 2" xfId="247"/>
    <cellStyle name="Normal 4 5 5" xfId="248"/>
    <cellStyle name="Normal 4 6" xfId="249"/>
    <cellStyle name="Normal 4 6 2" xfId="250"/>
    <cellStyle name="Normal 4 6 2 2" xfId="251"/>
    <cellStyle name="Normal 4 6 2 2 2" xfId="252"/>
    <cellStyle name="Normal 4 6 2 3" xfId="253"/>
    <cellStyle name="Normal 4 6 2 3 2" xfId="254"/>
    <cellStyle name="Normal 4 6 2 4" xfId="255"/>
    <cellStyle name="Normal 4 6 3" xfId="256"/>
    <cellStyle name="Normal 4 6 3 2" xfId="257"/>
    <cellStyle name="Normal 4 6 4" xfId="258"/>
    <cellStyle name="Normal 4 6 4 2" xfId="259"/>
    <cellStyle name="Normal 4 6 5" xfId="260"/>
    <cellStyle name="Normal 40" xfId="261"/>
    <cellStyle name="Normal 5" xfId="262"/>
    <cellStyle name="Normal 5 2" xfId="263"/>
    <cellStyle name="Normal 5 2 2" xfId="264"/>
    <cellStyle name="Normal 5 2 2 2" xfId="265"/>
    <cellStyle name="Normal 5 2 2 2 2" xfId="266"/>
    <cellStyle name="Normal 5 2 2 2 2 2" xfId="267"/>
    <cellStyle name="Normal 5 2 2 2 2 2 2" xfId="268"/>
    <cellStyle name="Normal 5 2 2 2 2 3" xfId="269"/>
    <cellStyle name="Normal 5 2 2 2 2 3 2" xfId="270"/>
    <cellStyle name="Normal 5 2 2 2 2 4" xfId="271"/>
    <cellStyle name="Normal 5 2 2 2 3" xfId="272"/>
    <cellStyle name="Normal 5 2 2 2 3 2" xfId="273"/>
    <cellStyle name="Normal 5 2 2 2 4" xfId="274"/>
    <cellStyle name="Normal 5 2 2 2 4 2" xfId="275"/>
    <cellStyle name="Normal 5 2 2 2 5" xfId="276"/>
    <cellStyle name="Normal 5 2 2 3" xfId="277"/>
    <cellStyle name="Normal 5 2 2 3 2" xfId="278"/>
    <cellStyle name="Normal 5 2 2 3 2 2" xfId="279"/>
    <cellStyle name="Normal 5 2 2 3 3" xfId="280"/>
    <cellStyle name="Normal 5 2 2 3 3 2" xfId="281"/>
    <cellStyle name="Normal 5 2 2 3 4" xfId="282"/>
    <cellStyle name="Normal 5 2 2 4" xfId="283"/>
    <cellStyle name="Normal 5 2 2 4 2" xfId="284"/>
    <cellStyle name="Normal 5 2 2 5" xfId="285"/>
    <cellStyle name="Normal 5 2 2 5 2" xfId="286"/>
    <cellStyle name="Normal 5 2 2 6" xfId="287"/>
    <cellStyle name="Normal 5 2 3" xfId="288"/>
    <cellStyle name="Normal 5 2 3 2" xfId="289"/>
    <cellStyle name="Normal 5 2 3 2 2" xfId="290"/>
    <cellStyle name="Normal 5 2 3 2 2 2" xfId="291"/>
    <cellStyle name="Normal 5 2 3 2 2 2 2" xfId="292"/>
    <cellStyle name="Normal 5 2 3 2 2 3" xfId="293"/>
    <cellStyle name="Normal 5 2 3 2 2 3 2" xfId="294"/>
    <cellStyle name="Normal 5 2 3 2 2 4" xfId="295"/>
    <cellStyle name="Normal 5 2 3 2 3" xfId="296"/>
    <cellStyle name="Normal 5 2 3 2 3 2" xfId="297"/>
    <cellStyle name="Normal 5 2 3 2 4" xfId="298"/>
    <cellStyle name="Normal 5 2 3 2 4 2" xfId="299"/>
    <cellStyle name="Normal 5 2 3 2 5" xfId="300"/>
    <cellStyle name="Normal 5 2 3 3" xfId="301"/>
    <cellStyle name="Normal 5 2 3 3 2" xfId="302"/>
    <cellStyle name="Normal 5 2 3 3 2 2" xfId="303"/>
    <cellStyle name="Normal 5 2 3 3 3" xfId="304"/>
    <cellStyle name="Normal 5 2 3 3 3 2" xfId="305"/>
    <cellStyle name="Normal 5 2 3 3 4" xfId="306"/>
    <cellStyle name="Normal 5 2 3 4" xfId="307"/>
    <cellStyle name="Normal 5 2 3 4 2" xfId="308"/>
    <cellStyle name="Normal 5 2 3 5" xfId="309"/>
    <cellStyle name="Normal 5 2 3 5 2" xfId="310"/>
    <cellStyle name="Normal 5 2 3 6" xfId="311"/>
    <cellStyle name="Normal 5 2 4" xfId="312"/>
    <cellStyle name="Normal 5 2 4 2" xfId="313"/>
    <cellStyle name="Normal 5 2 4 2 2" xfId="314"/>
    <cellStyle name="Normal 5 2 4 2 2 2" xfId="315"/>
    <cellStyle name="Normal 5 2 4 2 2 2 2" xfId="316"/>
    <cellStyle name="Normal 5 2 4 2 2 3" xfId="317"/>
    <cellStyle name="Normal 5 2 4 2 2 3 2" xfId="318"/>
    <cellStyle name="Normal 5 2 4 2 2 4" xfId="319"/>
    <cellStyle name="Normal 5 2 4 2 3" xfId="320"/>
    <cellStyle name="Normal 5 2 4 2 3 2" xfId="321"/>
    <cellStyle name="Normal 5 2 4 2 4" xfId="322"/>
    <cellStyle name="Normal 5 2 4 2 4 2" xfId="323"/>
    <cellStyle name="Normal 5 2 4 2 5" xfId="324"/>
    <cellStyle name="Normal 5 2 4 3" xfId="325"/>
    <cellStyle name="Normal 5 2 4 3 2" xfId="326"/>
    <cellStyle name="Normal 5 2 4 3 2 2" xfId="327"/>
    <cellStyle name="Normal 5 2 4 3 3" xfId="328"/>
    <cellStyle name="Normal 5 2 4 3 3 2" xfId="329"/>
    <cellStyle name="Normal 5 2 4 3 4" xfId="330"/>
    <cellStyle name="Normal 5 2 4 4" xfId="331"/>
    <cellStyle name="Normal 5 2 4 4 2" xfId="332"/>
    <cellStyle name="Normal 5 2 4 5" xfId="333"/>
    <cellStyle name="Normal 5 2 4 5 2" xfId="334"/>
    <cellStyle name="Normal 5 2 4 6" xfId="335"/>
    <cellStyle name="Normal 5 2 5" xfId="336"/>
    <cellStyle name="Normal 5 2 5 2" xfId="337"/>
    <cellStyle name="Normal 5 2 5 2 2" xfId="338"/>
    <cellStyle name="Normal 5 2 5 2 2 2" xfId="339"/>
    <cellStyle name="Normal 5 2 5 2 3" xfId="340"/>
    <cellStyle name="Normal 5 2 5 2 3 2" xfId="341"/>
    <cellStyle name="Normal 5 2 5 2 4" xfId="342"/>
    <cellStyle name="Normal 5 2 5 3" xfId="343"/>
    <cellStyle name="Normal 5 2 5 3 2" xfId="344"/>
    <cellStyle name="Normal 5 2 5 4" xfId="345"/>
    <cellStyle name="Normal 5 2 5 4 2" xfId="346"/>
    <cellStyle name="Normal 5 2 5 5" xfId="347"/>
    <cellStyle name="Normal 5 2 6" xfId="348"/>
    <cellStyle name="Normal 5 2 6 2" xfId="349"/>
    <cellStyle name="Normal 5 2 6 2 2" xfId="350"/>
    <cellStyle name="Normal 5 2 6 2 2 2" xfId="351"/>
    <cellStyle name="Normal 5 2 6 2 3" xfId="352"/>
    <cellStyle name="Normal 5 2 6 2 3 2" xfId="353"/>
    <cellStyle name="Normal 5 2 6 2 4" xfId="354"/>
    <cellStyle name="Normal 5 2 6 3" xfId="355"/>
    <cellStyle name="Normal 5 2 6 3 2" xfId="356"/>
    <cellStyle name="Normal 5 2 6 4" xfId="357"/>
    <cellStyle name="Normal 5 2 6 4 2" xfId="358"/>
    <cellStyle name="Normal 5 2 6 5" xfId="359"/>
    <cellStyle name="Normal 5 3" xfId="360"/>
    <cellStyle name="Normal 5 3 2" xfId="361"/>
    <cellStyle name="Normal 5 3 2 2" xfId="362"/>
    <cellStyle name="Normal 5 3 3" xfId="363"/>
    <cellStyle name="Normal 5 3 3 2" xfId="364"/>
    <cellStyle name="Normal 5 3 4" xfId="365"/>
    <cellStyle name="Normal 5 4" xfId="366"/>
    <cellStyle name="Normal 5 4 2" xfId="367"/>
    <cellStyle name="Normal 5 5" xfId="368"/>
    <cellStyle name="Normal 5 5 2" xfId="369"/>
    <cellStyle name="Normal 5 6" xfId="370"/>
    <cellStyle name="Normal 6" xfId="371"/>
    <cellStyle name="Normal 6 2" xfId="372"/>
    <cellStyle name="Normal 7" xfId="373"/>
    <cellStyle name="Normal 70 2" xfId="374"/>
    <cellStyle name="Normal 70 2 2" xfId="375"/>
    <cellStyle name="Normal 70 2 2 2" xfId="376"/>
    <cellStyle name="Normal 70 2 2 2 2" xfId="377"/>
    <cellStyle name="Normal 70 2 2 3" xfId="378"/>
    <cellStyle name="Normal 70 2 2 3 2" xfId="379"/>
    <cellStyle name="Normal 70 2 2 4" xfId="380"/>
    <cellStyle name="Normal 70 2 3" xfId="381"/>
    <cellStyle name="Normal 70 2 3 2" xfId="382"/>
    <cellStyle name="Normal 70 2 4" xfId="383"/>
    <cellStyle name="Normal 70 2 4 2" xfId="384"/>
    <cellStyle name="Normal 70 2 5" xfId="385"/>
    <cellStyle name="Normal 72 2" xfId="386"/>
    <cellStyle name="Normal 72 2 2" xfId="387"/>
    <cellStyle name="Normal 72 2 2 2" xfId="388"/>
    <cellStyle name="Normal 72 2 2 2 2" xfId="389"/>
    <cellStyle name="Normal 72 2 2 3" xfId="390"/>
    <cellStyle name="Normal 72 2 2 3 2" xfId="391"/>
    <cellStyle name="Normal 72 2 2 4" xfId="392"/>
    <cellStyle name="Normal 72 2 3" xfId="393"/>
    <cellStyle name="Normal 72 2 3 2" xfId="394"/>
    <cellStyle name="Normal 72 2 4" xfId="395"/>
    <cellStyle name="Normal 72 2 4 2" xfId="396"/>
    <cellStyle name="Normal 72 2 5" xfId="397"/>
    <cellStyle name="Normal 8" xfId="398"/>
    <cellStyle name="Normal 8 2" xfId="399"/>
    <cellStyle name="Normal 8 3" xfId="620"/>
    <cellStyle name="Normal 8 3 2" xfId="694"/>
    <cellStyle name="Normal 8 3 3" xfId="704"/>
    <cellStyle name="Normal 8 3 4" xfId="705"/>
    <cellStyle name="Normal 8 4" xfId="691"/>
    <cellStyle name="Normal 8 5" xfId="706"/>
    <cellStyle name="Normal 8 6" xfId="707"/>
    <cellStyle name="Normal 80 2" xfId="400"/>
    <cellStyle name="Normal 9" xfId="401"/>
    <cellStyle name="Normal 9 2" xfId="402"/>
    <cellStyle name="Normal 9 3" xfId="403"/>
    <cellStyle name="Normal 9 3 2" xfId="404"/>
    <cellStyle name="Normal 9 4" xfId="405"/>
    <cellStyle name="Normal 9 4 2" xfId="406"/>
    <cellStyle name="Normal 9 5" xfId="407"/>
    <cellStyle name="Note 2" xfId="408"/>
    <cellStyle name="Note 2 2" xfId="689"/>
    <cellStyle name="Note 2 3" xfId="675"/>
    <cellStyle name="Note 2 4" xfId="661"/>
    <cellStyle name="OK Heading" xfId="409"/>
    <cellStyle name="OK Heading 10" xfId="410"/>
    <cellStyle name="OK Heading 100" xfId="411"/>
    <cellStyle name="OK Heading 11" xfId="412"/>
    <cellStyle name="OK Heading 12" xfId="413"/>
    <cellStyle name="OK Heading 13" xfId="414"/>
    <cellStyle name="OK Heading 14" xfId="415"/>
    <cellStyle name="OK Heading 15" xfId="416"/>
    <cellStyle name="OK Heading 16" xfId="417"/>
    <cellStyle name="OK Heading 17" xfId="418"/>
    <cellStyle name="OK Heading 18" xfId="419"/>
    <cellStyle name="OK Heading 19" xfId="420"/>
    <cellStyle name="OK Heading 2" xfId="421"/>
    <cellStyle name="OK Heading 2 2" xfId="422"/>
    <cellStyle name="OK Heading 20" xfId="423"/>
    <cellStyle name="OK Heading 21" xfId="424"/>
    <cellStyle name="OK Heading 22" xfId="425"/>
    <cellStyle name="OK Heading 23" xfId="426"/>
    <cellStyle name="OK Heading 24" xfId="427"/>
    <cellStyle name="OK Heading 25" xfId="428"/>
    <cellStyle name="OK Heading 26" xfId="429"/>
    <cellStyle name="OK Heading 27" xfId="430"/>
    <cellStyle name="OK Heading 28" xfId="431"/>
    <cellStyle name="OK Heading 29" xfId="432"/>
    <cellStyle name="OK Heading 3" xfId="433"/>
    <cellStyle name="OK Heading 30" xfId="434"/>
    <cellStyle name="OK Heading 31" xfId="435"/>
    <cellStyle name="OK Heading 32" xfId="436"/>
    <cellStyle name="OK Heading 33" xfId="437"/>
    <cellStyle name="OK Heading 34" xfId="438"/>
    <cellStyle name="OK Heading 35" xfId="439"/>
    <cellStyle name="OK Heading 36" xfId="440"/>
    <cellStyle name="OK Heading 37" xfId="441"/>
    <cellStyle name="OK Heading 38" xfId="442"/>
    <cellStyle name="OK Heading 39" xfId="443"/>
    <cellStyle name="OK Heading 4" xfId="444"/>
    <cellStyle name="OK Heading 40" xfId="445"/>
    <cellStyle name="OK Heading 41" xfId="446"/>
    <cellStyle name="OK Heading 42" xfId="447"/>
    <cellStyle name="OK Heading 43" xfId="448"/>
    <cellStyle name="OK Heading 44" xfId="449"/>
    <cellStyle name="OK Heading 45" xfId="450"/>
    <cellStyle name="OK Heading 46" xfId="451"/>
    <cellStyle name="OK Heading 47" xfId="452"/>
    <cellStyle name="OK Heading 48" xfId="453"/>
    <cellStyle name="OK Heading 49" xfId="454"/>
    <cellStyle name="OK Heading 5" xfId="455"/>
    <cellStyle name="OK Heading 50" xfId="456"/>
    <cellStyle name="OK Heading 51" xfId="457"/>
    <cellStyle name="OK Heading 52" xfId="458"/>
    <cellStyle name="OK Heading 53" xfId="459"/>
    <cellStyle name="OK Heading 54" xfId="460"/>
    <cellStyle name="OK Heading 55" xfId="461"/>
    <cellStyle name="OK Heading 56" xfId="462"/>
    <cellStyle name="OK Heading 57" xfId="463"/>
    <cellStyle name="OK Heading 58" xfId="464"/>
    <cellStyle name="OK Heading 59" xfId="465"/>
    <cellStyle name="OK Heading 6" xfId="466"/>
    <cellStyle name="OK Heading 60" xfId="467"/>
    <cellStyle name="OK Heading 61" xfId="468"/>
    <cellStyle name="OK Heading 62" xfId="469"/>
    <cellStyle name="OK Heading 63" xfId="470"/>
    <cellStyle name="OK Heading 64" xfId="471"/>
    <cellStyle name="OK Heading 65" xfId="472"/>
    <cellStyle name="OK Heading 66" xfId="473"/>
    <cellStyle name="OK Heading 67" xfId="474"/>
    <cellStyle name="OK Heading 68" xfId="475"/>
    <cellStyle name="OK Heading 69" xfId="476"/>
    <cellStyle name="OK Heading 7" xfId="477"/>
    <cellStyle name="OK Heading 70" xfId="478"/>
    <cellStyle name="OK Heading 71" xfId="479"/>
    <cellStyle name="OK Heading 72" xfId="480"/>
    <cellStyle name="OK Heading 73" xfId="481"/>
    <cellStyle name="OK Heading 74" xfId="482"/>
    <cellStyle name="OK Heading 75" xfId="483"/>
    <cellStyle name="OK Heading 76" xfId="484"/>
    <cellStyle name="OK Heading 77" xfId="485"/>
    <cellStyle name="OK Heading 78" xfId="486"/>
    <cellStyle name="OK Heading 79" xfId="487"/>
    <cellStyle name="OK Heading 8" xfId="488"/>
    <cellStyle name="OK Heading 80" xfId="489"/>
    <cellStyle name="OK Heading 81" xfId="490"/>
    <cellStyle name="OK Heading 82" xfId="491"/>
    <cellStyle name="OK Heading 83" xfId="492"/>
    <cellStyle name="OK Heading 84" xfId="493"/>
    <cellStyle name="OK Heading 85" xfId="494"/>
    <cellStyle name="OK Heading 86" xfId="495"/>
    <cellStyle name="OK Heading 87" xfId="496"/>
    <cellStyle name="OK Heading 88" xfId="497"/>
    <cellStyle name="OK Heading 89" xfId="498"/>
    <cellStyle name="OK Heading 9" xfId="499"/>
    <cellStyle name="OK Heading 90" xfId="500"/>
    <cellStyle name="OK Heading 91" xfId="501"/>
    <cellStyle name="OK Heading 92" xfId="502"/>
    <cellStyle name="OK Heading 93" xfId="503"/>
    <cellStyle name="OK Heading 94" xfId="504"/>
    <cellStyle name="OK Heading 95" xfId="505"/>
    <cellStyle name="OK Heading 96" xfId="506"/>
    <cellStyle name="OK Heading 97" xfId="507"/>
    <cellStyle name="OK Heading 98" xfId="508"/>
    <cellStyle name="OK Heading 99" xfId="509"/>
    <cellStyle name="Output" xfId="630" builtinId="21" customBuiltin="1"/>
    <cellStyle name="Percent 5" xfId="510"/>
    <cellStyle name="Percent 5 2" xfId="511"/>
    <cellStyle name="Report Body" xfId="512"/>
    <cellStyle name="Report Heading" xfId="513"/>
    <cellStyle name="SOO Table Footnote" xfId="514"/>
    <cellStyle name="SOO Table Footnote 2" xfId="515"/>
    <cellStyle name="Sub Heading" xfId="516"/>
    <cellStyle name="Sub Heading 10" xfId="517"/>
    <cellStyle name="Sub Heading 100" xfId="518"/>
    <cellStyle name="Sub Heading 11" xfId="519"/>
    <cellStyle name="Sub Heading 12" xfId="520"/>
    <cellStyle name="Sub Heading 13" xfId="521"/>
    <cellStyle name="Sub Heading 14" xfId="522"/>
    <cellStyle name="Sub Heading 15" xfId="523"/>
    <cellStyle name="Sub Heading 16" xfId="524"/>
    <cellStyle name="Sub Heading 17" xfId="525"/>
    <cellStyle name="Sub Heading 18" xfId="526"/>
    <cellStyle name="Sub Heading 19" xfId="527"/>
    <cellStyle name="Sub Heading 2" xfId="528"/>
    <cellStyle name="Sub Heading 2 2" xfId="529"/>
    <cellStyle name="Sub Heading 20" xfId="530"/>
    <cellStyle name="Sub Heading 21" xfId="531"/>
    <cellStyle name="Sub Heading 22" xfId="532"/>
    <cellStyle name="Sub Heading 23" xfId="533"/>
    <cellStyle name="Sub Heading 24" xfId="534"/>
    <cellStyle name="Sub Heading 25" xfId="535"/>
    <cellStyle name="Sub Heading 26" xfId="536"/>
    <cellStyle name="Sub Heading 27" xfId="537"/>
    <cellStyle name="Sub Heading 28" xfId="538"/>
    <cellStyle name="Sub Heading 29" xfId="539"/>
    <cellStyle name="Sub Heading 3" xfId="540"/>
    <cellStyle name="Sub Heading 30" xfId="541"/>
    <cellStyle name="Sub Heading 31" xfId="542"/>
    <cellStyle name="Sub Heading 32" xfId="543"/>
    <cellStyle name="Sub Heading 33" xfId="544"/>
    <cellStyle name="Sub Heading 34" xfId="545"/>
    <cellStyle name="Sub Heading 35" xfId="546"/>
    <cellStyle name="Sub Heading 36" xfId="547"/>
    <cellStyle name="Sub Heading 37" xfId="548"/>
    <cellStyle name="Sub Heading 38" xfId="549"/>
    <cellStyle name="Sub Heading 39" xfId="550"/>
    <cellStyle name="Sub Heading 4" xfId="551"/>
    <cellStyle name="Sub Heading 40" xfId="552"/>
    <cellStyle name="Sub Heading 41" xfId="553"/>
    <cellStyle name="Sub Heading 42" xfId="554"/>
    <cellStyle name="Sub Heading 43" xfId="555"/>
    <cellStyle name="Sub Heading 44" xfId="556"/>
    <cellStyle name="Sub Heading 45" xfId="557"/>
    <cellStyle name="Sub Heading 46" xfId="558"/>
    <cellStyle name="Sub Heading 47" xfId="559"/>
    <cellStyle name="Sub Heading 48" xfId="560"/>
    <cellStyle name="Sub Heading 49" xfId="561"/>
    <cellStyle name="Sub Heading 5" xfId="562"/>
    <cellStyle name="Sub Heading 50" xfId="563"/>
    <cellStyle name="Sub Heading 51" xfId="564"/>
    <cellStyle name="Sub Heading 52" xfId="565"/>
    <cellStyle name="Sub Heading 53" xfId="566"/>
    <cellStyle name="Sub Heading 54" xfId="567"/>
    <cellStyle name="Sub Heading 55" xfId="568"/>
    <cellStyle name="Sub Heading 56" xfId="569"/>
    <cellStyle name="Sub Heading 57" xfId="570"/>
    <cellStyle name="Sub Heading 58" xfId="571"/>
    <cellStyle name="Sub Heading 59" xfId="572"/>
    <cellStyle name="Sub Heading 6" xfId="573"/>
    <cellStyle name="Sub Heading 60" xfId="574"/>
    <cellStyle name="Sub Heading 61" xfId="575"/>
    <cellStyle name="Sub Heading 62" xfId="576"/>
    <cellStyle name="Sub Heading 63" xfId="577"/>
    <cellStyle name="Sub Heading 64" xfId="578"/>
    <cellStyle name="Sub Heading 65" xfId="579"/>
    <cellStyle name="Sub Heading 66" xfId="580"/>
    <cellStyle name="Sub Heading 67" xfId="581"/>
    <cellStyle name="Sub Heading 68" xfId="582"/>
    <cellStyle name="Sub Heading 69" xfId="583"/>
    <cellStyle name="Sub Heading 7" xfId="584"/>
    <cellStyle name="Sub Heading 70" xfId="585"/>
    <cellStyle name="Sub Heading 71" xfId="586"/>
    <cellStyle name="Sub Heading 72" xfId="587"/>
    <cellStyle name="Sub Heading 73" xfId="588"/>
    <cellStyle name="Sub Heading 74" xfId="589"/>
    <cellStyle name="Sub Heading 75" xfId="590"/>
    <cellStyle name="Sub Heading 76" xfId="591"/>
    <cellStyle name="Sub Heading 77" xfId="592"/>
    <cellStyle name="Sub Heading 78" xfId="593"/>
    <cellStyle name="Sub Heading 79" xfId="594"/>
    <cellStyle name="Sub Heading 8" xfId="595"/>
    <cellStyle name="Sub Heading 80" xfId="596"/>
    <cellStyle name="Sub Heading 81" xfId="597"/>
    <cellStyle name="Sub Heading 82" xfId="598"/>
    <cellStyle name="Sub Heading 83" xfId="599"/>
    <cellStyle name="Sub Heading 84" xfId="600"/>
    <cellStyle name="Sub Heading 85" xfId="601"/>
    <cellStyle name="Sub Heading 86" xfId="602"/>
    <cellStyle name="Sub Heading 87" xfId="603"/>
    <cellStyle name="Sub Heading 88" xfId="604"/>
    <cellStyle name="Sub Heading 89" xfId="605"/>
    <cellStyle name="Sub Heading 9" xfId="606"/>
    <cellStyle name="Sub Heading 90" xfId="607"/>
    <cellStyle name="Sub Heading 91" xfId="608"/>
    <cellStyle name="Sub Heading 92" xfId="609"/>
    <cellStyle name="Sub Heading 93" xfId="610"/>
    <cellStyle name="Sub Heading 94" xfId="611"/>
    <cellStyle name="Sub Heading 95" xfId="612"/>
    <cellStyle name="Sub Heading 96" xfId="613"/>
    <cellStyle name="Sub Heading 97" xfId="614"/>
    <cellStyle name="Sub Heading 98" xfId="615"/>
    <cellStyle name="Sub Heading 99" xfId="616"/>
    <cellStyle name="Title" xfId="621" builtinId="15" customBuiltin="1"/>
    <cellStyle name="Total" xfId="636" builtinId="25" customBuiltin="1"/>
    <cellStyle name="Warning Text" xfId="634" builtinId="11" customBuiltin="1"/>
  </cellStyles>
  <dxfs count="0"/>
  <tableStyles count="0" defaultTableStyle="TableStyleMedium2" defaultPivotStyle="PivotStyleLight16"/>
  <colors>
    <mruColors>
      <color rgb="FFC41230"/>
      <color rgb="FFADE0EE"/>
      <color rgb="FFC0AF2C"/>
      <color rgb="FFFBB483"/>
      <color rgb="FFCB7E80"/>
      <color rgb="FFA9C3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theme" Target="theme/theme1.xml"/><Relationship Id="rId5" Type="http://schemas.openxmlformats.org/officeDocument/2006/relationships/worksheet" Target="worksheets/sheet4.xml"/><Relationship Id="rId15" Type="http://schemas.openxmlformats.org/officeDocument/2006/relationships/customXml" Target="../customXml/item1.xml"/><Relationship Id="rId10" Type="http://schemas.openxmlformats.org/officeDocument/2006/relationships/worksheet" Target="worksheets/sheet7.xml"/><Relationship Id="rId4" Type="http://schemas.openxmlformats.org/officeDocument/2006/relationships/chartsheet" Target="chartsheets/sheet1.xml"/><Relationship Id="rId9" Type="http://schemas.openxmlformats.org/officeDocument/2006/relationships/worksheet" Target="worksheets/sheet6.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526772857308464"/>
          <c:y val="3.2648402413411041E-2"/>
          <c:w val="0.84059724936764346"/>
          <c:h val="0.66226524758683436"/>
        </c:manualLayout>
      </c:layout>
      <c:barChart>
        <c:barDir val="col"/>
        <c:grouping val="stacked"/>
        <c:varyColors val="0"/>
        <c:ser>
          <c:idx val="0"/>
          <c:order val="0"/>
          <c:tx>
            <c:strRef>
              <c:f>'NEMInstalledCapacity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C4-AF71-46E2-8938-E4450DDE49B4}"/>
              </c:ext>
            </c:extLst>
          </c:dPt>
          <c:dPt>
            <c:idx val="1"/>
            <c:invertIfNegative val="0"/>
            <c:bubble3D val="0"/>
            <c:extLst>
              <c:ext xmlns:c16="http://schemas.microsoft.com/office/drawing/2014/chart" uri="{C3380CC4-5D6E-409C-BE32-E72D297353CC}">
                <c16:uniqueId val="{000001C6-AF71-46E2-8938-E4450DDE49B4}"/>
              </c:ext>
            </c:extLst>
          </c:dPt>
          <c:dPt>
            <c:idx val="2"/>
            <c:invertIfNegative val="0"/>
            <c:bubble3D val="0"/>
            <c:extLst>
              <c:ext xmlns:c16="http://schemas.microsoft.com/office/drawing/2014/chart" uri="{C3380CC4-5D6E-409C-BE32-E72D297353CC}">
                <c16:uniqueId val="{000001C8-AF71-46E2-8938-E4450DDE49B4}"/>
              </c:ext>
            </c:extLst>
          </c:dPt>
          <c:dPt>
            <c:idx val="3"/>
            <c:invertIfNegative val="0"/>
            <c:bubble3D val="0"/>
            <c:extLst>
              <c:ext xmlns:c16="http://schemas.microsoft.com/office/drawing/2014/chart" uri="{C3380CC4-5D6E-409C-BE32-E72D297353CC}">
                <c16:uniqueId val="{000001CA-AF71-46E2-8938-E4450DDE49B4}"/>
              </c:ext>
            </c:extLst>
          </c:dPt>
          <c:dPt>
            <c:idx val="4"/>
            <c:invertIfNegative val="0"/>
            <c:bubble3D val="0"/>
            <c:extLst>
              <c:ext xmlns:c16="http://schemas.microsoft.com/office/drawing/2014/chart" uri="{C3380CC4-5D6E-409C-BE32-E72D297353CC}">
                <c16:uniqueId val="{000001CC-AF71-46E2-8938-E4450DDE49B4}"/>
              </c:ext>
            </c:extLst>
          </c:dPt>
          <c:dPt>
            <c:idx val="5"/>
            <c:invertIfNegative val="0"/>
            <c:bubble3D val="0"/>
            <c:extLst>
              <c:ext xmlns:c16="http://schemas.microsoft.com/office/drawing/2014/chart" uri="{C3380CC4-5D6E-409C-BE32-E72D297353CC}">
                <c16:uniqueId val="{000001CE-AF71-46E2-8938-E4450DDE49B4}"/>
              </c:ext>
            </c:extLst>
          </c:dPt>
          <c:dPt>
            <c:idx val="6"/>
            <c:invertIfNegative val="0"/>
            <c:bubble3D val="0"/>
            <c:extLst>
              <c:ext xmlns:c16="http://schemas.microsoft.com/office/drawing/2014/chart" uri="{C3380CC4-5D6E-409C-BE32-E72D297353CC}">
                <c16:uniqueId val="{000001D0-AF71-46E2-8938-E4450DDE49B4}"/>
              </c:ext>
            </c:extLst>
          </c:dPt>
          <c:dPt>
            <c:idx val="7"/>
            <c:invertIfNegative val="0"/>
            <c:bubble3D val="0"/>
            <c:extLst>
              <c:ext xmlns:c16="http://schemas.microsoft.com/office/drawing/2014/chart" uri="{C3380CC4-5D6E-409C-BE32-E72D297353CC}">
                <c16:uniqueId val="{000001D2-AF71-46E2-8938-E4450DDE49B4}"/>
              </c:ext>
            </c:extLst>
          </c:dPt>
          <c:dPt>
            <c:idx val="8"/>
            <c:invertIfNegative val="0"/>
            <c:bubble3D val="0"/>
            <c:extLst>
              <c:ext xmlns:c16="http://schemas.microsoft.com/office/drawing/2014/chart" uri="{C3380CC4-5D6E-409C-BE32-E72D297353CC}">
                <c16:uniqueId val="{000001D4-AF71-46E2-8938-E4450DDE49B4}"/>
              </c:ext>
            </c:extLst>
          </c:dPt>
          <c:dPt>
            <c:idx val="9"/>
            <c:invertIfNegative val="0"/>
            <c:bubble3D val="0"/>
            <c:extLst>
              <c:ext xmlns:c16="http://schemas.microsoft.com/office/drawing/2014/chart" uri="{C3380CC4-5D6E-409C-BE32-E72D297353CC}">
                <c16:uniqueId val="{000001D6-AF71-46E2-8938-E4450DDE49B4}"/>
              </c:ext>
            </c:extLst>
          </c:dPt>
          <c:dPt>
            <c:idx val="10"/>
            <c:invertIfNegative val="0"/>
            <c:bubble3D val="0"/>
            <c:extLst>
              <c:ext xmlns:c16="http://schemas.microsoft.com/office/drawing/2014/chart" uri="{C3380CC4-5D6E-409C-BE32-E72D297353CC}">
                <c16:uniqueId val="{000001D8-AF71-46E2-8938-E4450DDE49B4}"/>
              </c:ext>
            </c:extLst>
          </c:dPt>
          <c:dPt>
            <c:idx val="11"/>
            <c:invertIfNegative val="0"/>
            <c:bubble3D val="0"/>
            <c:extLst>
              <c:ext xmlns:c16="http://schemas.microsoft.com/office/drawing/2014/chart" uri="{C3380CC4-5D6E-409C-BE32-E72D297353CC}">
                <c16:uniqueId val="{000001DA-AF71-46E2-8938-E4450DDE49B4}"/>
              </c:ext>
            </c:extLst>
          </c:dPt>
          <c:dPt>
            <c:idx val="12"/>
            <c:invertIfNegative val="0"/>
            <c:bubble3D val="0"/>
            <c:extLst>
              <c:ext xmlns:c16="http://schemas.microsoft.com/office/drawing/2014/chart" uri="{C3380CC4-5D6E-409C-BE32-E72D297353CC}">
                <c16:uniqueId val="{000001DC-AF71-46E2-8938-E4450DDE49B4}"/>
              </c:ext>
            </c:extLst>
          </c:dPt>
          <c:dPt>
            <c:idx val="13"/>
            <c:invertIfNegative val="0"/>
            <c:bubble3D val="0"/>
            <c:extLst>
              <c:ext xmlns:c16="http://schemas.microsoft.com/office/drawing/2014/chart" uri="{C3380CC4-5D6E-409C-BE32-E72D297353CC}">
                <c16:uniqueId val="{000001DE-AF71-46E2-8938-E4450DDE49B4}"/>
              </c:ext>
            </c:extLst>
          </c:dPt>
          <c:dPt>
            <c:idx val="14"/>
            <c:invertIfNegative val="0"/>
            <c:bubble3D val="0"/>
            <c:extLst>
              <c:ext xmlns:c16="http://schemas.microsoft.com/office/drawing/2014/chart" uri="{C3380CC4-5D6E-409C-BE32-E72D297353CC}">
                <c16:uniqueId val="{000001E0-AF71-46E2-8938-E4450DDE49B4}"/>
              </c:ext>
            </c:extLst>
          </c:dPt>
          <c:dPt>
            <c:idx val="15"/>
            <c:invertIfNegative val="0"/>
            <c:bubble3D val="0"/>
            <c:extLst>
              <c:ext xmlns:c16="http://schemas.microsoft.com/office/drawing/2014/chart" uri="{C3380CC4-5D6E-409C-BE32-E72D297353CC}">
                <c16:uniqueId val="{000001E2-AF71-46E2-8938-E4450DDE49B4}"/>
              </c:ext>
            </c:extLst>
          </c:dPt>
          <c:dPt>
            <c:idx val="16"/>
            <c:invertIfNegative val="0"/>
            <c:bubble3D val="0"/>
            <c:extLst>
              <c:ext xmlns:c16="http://schemas.microsoft.com/office/drawing/2014/chart" uri="{C3380CC4-5D6E-409C-BE32-E72D297353CC}">
                <c16:uniqueId val="{000001E4-AF71-46E2-8938-E4450DDE49B4}"/>
              </c:ext>
            </c:extLst>
          </c:dPt>
          <c:dPt>
            <c:idx val="17"/>
            <c:invertIfNegative val="0"/>
            <c:bubble3D val="0"/>
            <c:extLst>
              <c:ext xmlns:c16="http://schemas.microsoft.com/office/drawing/2014/chart" uri="{C3380CC4-5D6E-409C-BE32-E72D297353CC}">
                <c16:uniqueId val="{000001E6-AF71-46E2-8938-E4450DDE49B4}"/>
              </c:ext>
            </c:extLst>
          </c:dPt>
          <c:dPt>
            <c:idx val="18"/>
            <c:invertIfNegative val="0"/>
            <c:bubble3D val="0"/>
            <c:extLst>
              <c:ext xmlns:c16="http://schemas.microsoft.com/office/drawing/2014/chart" uri="{C3380CC4-5D6E-409C-BE32-E72D297353CC}">
                <c16:uniqueId val="{000001E8-AF71-46E2-8938-E4450DDE49B4}"/>
              </c:ext>
            </c:extLst>
          </c:dPt>
          <c:dPt>
            <c:idx val="19"/>
            <c:invertIfNegative val="0"/>
            <c:bubble3D val="0"/>
            <c:extLst>
              <c:ext xmlns:c16="http://schemas.microsoft.com/office/drawing/2014/chart" uri="{C3380CC4-5D6E-409C-BE32-E72D297353CC}">
                <c16:uniqueId val="{000001EA-AF71-46E2-8938-E4450DDE49B4}"/>
              </c:ext>
            </c:extLst>
          </c:dPt>
          <c:dPt>
            <c:idx val="20"/>
            <c:invertIfNegative val="0"/>
            <c:bubble3D val="0"/>
            <c:extLst>
              <c:ext xmlns:c16="http://schemas.microsoft.com/office/drawing/2014/chart" uri="{C3380CC4-5D6E-409C-BE32-E72D297353CC}">
                <c16:uniqueId val="{000001EC-AF71-46E2-8938-E4450DDE49B4}"/>
              </c:ext>
            </c:extLst>
          </c:dPt>
          <c:dPt>
            <c:idx val="21"/>
            <c:invertIfNegative val="0"/>
            <c:bubble3D val="0"/>
            <c:extLst>
              <c:ext xmlns:c16="http://schemas.microsoft.com/office/drawing/2014/chart" uri="{C3380CC4-5D6E-409C-BE32-E72D297353CC}">
                <c16:uniqueId val="{000001EE-AF71-46E2-8938-E4450DDE49B4}"/>
              </c:ext>
            </c:extLst>
          </c:dPt>
          <c:dPt>
            <c:idx val="22"/>
            <c:invertIfNegative val="0"/>
            <c:bubble3D val="0"/>
            <c:extLst>
              <c:ext xmlns:c16="http://schemas.microsoft.com/office/drawing/2014/chart" uri="{C3380CC4-5D6E-409C-BE32-E72D297353CC}">
                <c16:uniqueId val="{000001F0-AF71-46E2-8938-E4450DDE49B4}"/>
              </c:ext>
            </c:extLst>
          </c:dPt>
          <c:dPt>
            <c:idx val="23"/>
            <c:invertIfNegative val="0"/>
            <c:bubble3D val="0"/>
            <c:extLst>
              <c:ext xmlns:c16="http://schemas.microsoft.com/office/drawing/2014/chart" uri="{C3380CC4-5D6E-409C-BE32-E72D297353CC}">
                <c16:uniqueId val="{000001F2-AF71-46E2-8938-E4450DDE49B4}"/>
              </c:ext>
            </c:extLst>
          </c:dPt>
          <c:dPt>
            <c:idx val="24"/>
            <c:invertIfNegative val="0"/>
            <c:bubble3D val="0"/>
            <c:extLst>
              <c:ext xmlns:c16="http://schemas.microsoft.com/office/drawing/2014/chart" uri="{C3380CC4-5D6E-409C-BE32-E72D297353CC}">
                <c16:uniqueId val="{000001F4-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Data'!$C$3:$X$3</c:f>
              <c:numCache>
                <c:formatCode>#,##0_ ;\-#,##0\ </c:formatCode>
                <c:ptCount val="22"/>
                <c:pt idx="0">
                  <c:v>18219</c:v>
                </c:pt>
                <c:pt idx="1">
                  <c:v>18219</c:v>
                </c:pt>
                <c:pt idx="2">
                  <c:v>18219</c:v>
                </c:pt>
                <c:pt idx="3">
                  <c:v>18219</c:v>
                </c:pt>
                <c:pt idx="4">
                  <c:v>16419</c:v>
                </c:pt>
                <c:pt idx="5">
                  <c:v>16419</c:v>
                </c:pt>
                <c:pt idx="6">
                  <c:v>16419</c:v>
                </c:pt>
                <c:pt idx="7">
                  <c:v>16419</c:v>
                </c:pt>
                <c:pt idx="8">
                  <c:v>14959</c:v>
                </c:pt>
                <c:pt idx="9">
                  <c:v>14959</c:v>
                </c:pt>
                <c:pt idx="10">
                  <c:v>13639</c:v>
                </c:pt>
                <c:pt idx="11">
                  <c:v>11959</c:v>
                </c:pt>
                <c:pt idx="12">
                  <c:v>11959</c:v>
                </c:pt>
                <c:pt idx="13">
                  <c:v>11959</c:v>
                </c:pt>
                <c:pt idx="14">
                  <c:v>11959</c:v>
                </c:pt>
                <c:pt idx="15">
                  <c:v>11959</c:v>
                </c:pt>
                <c:pt idx="16">
                  <c:v>9079</c:v>
                </c:pt>
                <c:pt idx="17">
                  <c:v>6439</c:v>
                </c:pt>
                <c:pt idx="18">
                  <c:v>5039</c:v>
                </c:pt>
                <c:pt idx="19">
                  <c:v>5039</c:v>
                </c:pt>
                <c:pt idx="20">
                  <c:v>4339</c:v>
                </c:pt>
                <c:pt idx="21">
                  <c:v>4339</c:v>
                </c:pt>
              </c:numCache>
            </c:numRef>
          </c:val>
          <c:extLst>
            <c:ext xmlns:c16="http://schemas.microsoft.com/office/drawing/2014/chart" uri="{C3380CC4-5D6E-409C-BE32-E72D297353CC}">
              <c16:uniqueId val="{000001F5-AF71-46E2-8938-E4450DDE49B4}"/>
            </c:ext>
          </c:extLst>
        </c:ser>
        <c:ser>
          <c:idx val="1"/>
          <c:order val="1"/>
          <c:tx>
            <c:strRef>
              <c:f>'NEMInstalledCapacity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F8-AF71-46E2-8938-E4450DDE49B4}"/>
              </c:ext>
            </c:extLst>
          </c:dPt>
          <c:dPt>
            <c:idx val="1"/>
            <c:invertIfNegative val="0"/>
            <c:bubble3D val="0"/>
            <c:extLst>
              <c:ext xmlns:c16="http://schemas.microsoft.com/office/drawing/2014/chart" uri="{C3380CC4-5D6E-409C-BE32-E72D297353CC}">
                <c16:uniqueId val="{000001FA-AF71-46E2-8938-E4450DDE49B4}"/>
              </c:ext>
            </c:extLst>
          </c:dPt>
          <c:dPt>
            <c:idx val="2"/>
            <c:invertIfNegative val="0"/>
            <c:bubble3D val="0"/>
            <c:extLst>
              <c:ext xmlns:c16="http://schemas.microsoft.com/office/drawing/2014/chart" uri="{C3380CC4-5D6E-409C-BE32-E72D297353CC}">
                <c16:uniqueId val="{000001FC-AF71-46E2-8938-E4450DDE49B4}"/>
              </c:ext>
            </c:extLst>
          </c:dPt>
          <c:dPt>
            <c:idx val="3"/>
            <c:invertIfNegative val="0"/>
            <c:bubble3D val="0"/>
            <c:extLst>
              <c:ext xmlns:c16="http://schemas.microsoft.com/office/drawing/2014/chart" uri="{C3380CC4-5D6E-409C-BE32-E72D297353CC}">
                <c16:uniqueId val="{000001FE-AF71-46E2-8938-E4450DDE49B4}"/>
              </c:ext>
            </c:extLst>
          </c:dPt>
          <c:dPt>
            <c:idx val="4"/>
            <c:invertIfNegative val="0"/>
            <c:bubble3D val="0"/>
            <c:extLst>
              <c:ext xmlns:c16="http://schemas.microsoft.com/office/drawing/2014/chart" uri="{C3380CC4-5D6E-409C-BE32-E72D297353CC}">
                <c16:uniqueId val="{00000200-AF71-46E2-8938-E4450DDE49B4}"/>
              </c:ext>
            </c:extLst>
          </c:dPt>
          <c:dPt>
            <c:idx val="5"/>
            <c:invertIfNegative val="0"/>
            <c:bubble3D val="0"/>
            <c:extLst>
              <c:ext xmlns:c16="http://schemas.microsoft.com/office/drawing/2014/chart" uri="{C3380CC4-5D6E-409C-BE32-E72D297353CC}">
                <c16:uniqueId val="{00000202-AF71-46E2-8938-E4450DDE49B4}"/>
              </c:ext>
            </c:extLst>
          </c:dPt>
          <c:dPt>
            <c:idx val="6"/>
            <c:invertIfNegative val="0"/>
            <c:bubble3D val="0"/>
            <c:extLst>
              <c:ext xmlns:c16="http://schemas.microsoft.com/office/drawing/2014/chart" uri="{C3380CC4-5D6E-409C-BE32-E72D297353CC}">
                <c16:uniqueId val="{00000204-AF71-46E2-8938-E4450DDE49B4}"/>
              </c:ext>
            </c:extLst>
          </c:dPt>
          <c:dPt>
            <c:idx val="7"/>
            <c:invertIfNegative val="0"/>
            <c:bubble3D val="0"/>
            <c:extLst>
              <c:ext xmlns:c16="http://schemas.microsoft.com/office/drawing/2014/chart" uri="{C3380CC4-5D6E-409C-BE32-E72D297353CC}">
                <c16:uniqueId val="{00000206-AF71-46E2-8938-E4450DDE49B4}"/>
              </c:ext>
            </c:extLst>
          </c:dPt>
          <c:dPt>
            <c:idx val="8"/>
            <c:invertIfNegative val="0"/>
            <c:bubble3D val="0"/>
            <c:extLst>
              <c:ext xmlns:c16="http://schemas.microsoft.com/office/drawing/2014/chart" uri="{C3380CC4-5D6E-409C-BE32-E72D297353CC}">
                <c16:uniqueId val="{00000208-AF71-46E2-8938-E4450DDE49B4}"/>
              </c:ext>
            </c:extLst>
          </c:dPt>
          <c:dPt>
            <c:idx val="9"/>
            <c:invertIfNegative val="0"/>
            <c:bubble3D val="0"/>
            <c:extLst>
              <c:ext xmlns:c16="http://schemas.microsoft.com/office/drawing/2014/chart" uri="{C3380CC4-5D6E-409C-BE32-E72D297353CC}">
                <c16:uniqueId val="{0000020A-AF71-46E2-8938-E4450DDE49B4}"/>
              </c:ext>
            </c:extLst>
          </c:dPt>
          <c:dPt>
            <c:idx val="10"/>
            <c:invertIfNegative val="0"/>
            <c:bubble3D val="0"/>
            <c:extLst>
              <c:ext xmlns:c16="http://schemas.microsoft.com/office/drawing/2014/chart" uri="{C3380CC4-5D6E-409C-BE32-E72D297353CC}">
                <c16:uniqueId val="{0000020C-AF71-46E2-8938-E4450DDE49B4}"/>
              </c:ext>
            </c:extLst>
          </c:dPt>
          <c:dPt>
            <c:idx val="11"/>
            <c:invertIfNegative val="0"/>
            <c:bubble3D val="0"/>
            <c:extLst>
              <c:ext xmlns:c16="http://schemas.microsoft.com/office/drawing/2014/chart" uri="{C3380CC4-5D6E-409C-BE32-E72D297353CC}">
                <c16:uniqueId val="{0000020E-AF71-46E2-8938-E4450DDE49B4}"/>
              </c:ext>
            </c:extLst>
          </c:dPt>
          <c:dPt>
            <c:idx val="12"/>
            <c:invertIfNegative val="0"/>
            <c:bubble3D val="0"/>
            <c:extLst>
              <c:ext xmlns:c16="http://schemas.microsoft.com/office/drawing/2014/chart" uri="{C3380CC4-5D6E-409C-BE32-E72D297353CC}">
                <c16:uniqueId val="{00000210-AF71-46E2-8938-E4450DDE49B4}"/>
              </c:ext>
            </c:extLst>
          </c:dPt>
          <c:dPt>
            <c:idx val="13"/>
            <c:invertIfNegative val="0"/>
            <c:bubble3D val="0"/>
            <c:extLst>
              <c:ext xmlns:c16="http://schemas.microsoft.com/office/drawing/2014/chart" uri="{C3380CC4-5D6E-409C-BE32-E72D297353CC}">
                <c16:uniqueId val="{00000212-AF71-46E2-8938-E4450DDE49B4}"/>
              </c:ext>
            </c:extLst>
          </c:dPt>
          <c:dPt>
            <c:idx val="14"/>
            <c:invertIfNegative val="0"/>
            <c:bubble3D val="0"/>
            <c:extLst>
              <c:ext xmlns:c16="http://schemas.microsoft.com/office/drawing/2014/chart" uri="{C3380CC4-5D6E-409C-BE32-E72D297353CC}">
                <c16:uniqueId val="{00000214-AF71-46E2-8938-E4450DDE49B4}"/>
              </c:ext>
            </c:extLst>
          </c:dPt>
          <c:dPt>
            <c:idx val="15"/>
            <c:invertIfNegative val="0"/>
            <c:bubble3D val="0"/>
            <c:extLst>
              <c:ext xmlns:c16="http://schemas.microsoft.com/office/drawing/2014/chart" uri="{C3380CC4-5D6E-409C-BE32-E72D297353CC}">
                <c16:uniqueId val="{00000216-AF71-46E2-8938-E4450DDE49B4}"/>
              </c:ext>
            </c:extLst>
          </c:dPt>
          <c:dPt>
            <c:idx val="16"/>
            <c:invertIfNegative val="0"/>
            <c:bubble3D val="0"/>
            <c:extLst>
              <c:ext xmlns:c16="http://schemas.microsoft.com/office/drawing/2014/chart" uri="{C3380CC4-5D6E-409C-BE32-E72D297353CC}">
                <c16:uniqueId val="{00000218-AF71-46E2-8938-E4450DDE49B4}"/>
              </c:ext>
            </c:extLst>
          </c:dPt>
          <c:dPt>
            <c:idx val="17"/>
            <c:invertIfNegative val="0"/>
            <c:bubble3D val="0"/>
            <c:extLst>
              <c:ext xmlns:c16="http://schemas.microsoft.com/office/drawing/2014/chart" uri="{C3380CC4-5D6E-409C-BE32-E72D297353CC}">
                <c16:uniqueId val="{0000021A-AF71-46E2-8938-E4450DDE49B4}"/>
              </c:ext>
            </c:extLst>
          </c:dPt>
          <c:dPt>
            <c:idx val="18"/>
            <c:invertIfNegative val="0"/>
            <c:bubble3D val="0"/>
            <c:extLst>
              <c:ext xmlns:c16="http://schemas.microsoft.com/office/drawing/2014/chart" uri="{C3380CC4-5D6E-409C-BE32-E72D297353CC}">
                <c16:uniqueId val="{0000021C-AF71-46E2-8938-E4450DDE49B4}"/>
              </c:ext>
            </c:extLst>
          </c:dPt>
          <c:dPt>
            <c:idx val="19"/>
            <c:invertIfNegative val="0"/>
            <c:bubble3D val="0"/>
            <c:extLst>
              <c:ext xmlns:c16="http://schemas.microsoft.com/office/drawing/2014/chart" uri="{C3380CC4-5D6E-409C-BE32-E72D297353CC}">
                <c16:uniqueId val="{0000021E-AF71-46E2-8938-E4450DDE49B4}"/>
              </c:ext>
            </c:extLst>
          </c:dPt>
          <c:dPt>
            <c:idx val="20"/>
            <c:invertIfNegative val="0"/>
            <c:bubble3D val="0"/>
            <c:extLst>
              <c:ext xmlns:c16="http://schemas.microsoft.com/office/drawing/2014/chart" uri="{C3380CC4-5D6E-409C-BE32-E72D297353CC}">
                <c16:uniqueId val="{00000220-AF71-46E2-8938-E4450DDE49B4}"/>
              </c:ext>
            </c:extLst>
          </c:dPt>
          <c:dPt>
            <c:idx val="21"/>
            <c:invertIfNegative val="0"/>
            <c:bubble3D val="0"/>
            <c:extLst>
              <c:ext xmlns:c16="http://schemas.microsoft.com/office/drawing/2014/chart" uri="{C3380CC4-5D6E-409C-BE32-E72D297353CC}">
                <c16:uniqueId val="{00000222-AF71-46E2-8938-E4450DDE49B4}"/>
              </c:ext>
            </c:extLst>
          </c:dPt>
          <c:dPt>
            <c:idx val="22"/>
            <c:invertIfNegative val="0"/>
            <c:bubble3D val="0"/>
            <c:extLst>
              <c:ext xmlns:c16="http://schemas.microsoft.com/office/drawing/2014/chart" uri="{C3380CC4-5D6E-409C-BE32-E72D297353CC}">
                <c16:uniqueId val="{00000224-AF71-46E2-8938-E4450DDE49B4}"/>
              </c:ext>
            </c:extLst>
          </c:dPt>
          <c:dPt>
            <c:idx val="23"/>
            <c:invertIfNegative val="0"/>
            <c:bubble3D val="0"/>
            <c:extLst>
              <c:ext xmlns:c16="http://schemas.microsoft.com/office/drawing/2014/chart" uri="{C3380CC4-5D6E-409C-BE32-E72D297353CC}">
                <c16:uniqueId val="{00000226-AF71-46E2-8938-E4450DDE49B4}"/>
              </c:ext>
            </c:extLst>
          </c:dPt>
          <c:dPt>
            <c:idx val="24"/>
            <c:invertIfNegative val="0"/>
            <c:bubble3D val="0"/>
            <c:extLst>
              <c:ext xmlns:c16="http://schemas.microsoft.com/office/drawing/2014/chart" uri="{C3380CC4-5D6E-409C-BE32-E72D297353CC}">
                <c16:uniqueId val="{00000228-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Data'!$C$4:$X$4</c:f>
              <c:numCache>
                <c:formatCode>#,##0_ ;\-#,##0\ </c:formatCode>
                <c:ptCount val="22"/>
                <c:pt idx="0">
                  <c:v>4808</c:v>
                </c:pt>
                <c:pt idx="1">
                  <c:v>4808</c:v>
                </c:pt>
                <c:pt idx="2">
                  <c:v>4808</c:v>
                </c:pt>
                <c:pt idx="3">
                  <c:v>4808</c:v>
                </c:pt>
                <c:pt idx="4">
                  <c:v>4808</c:v>
                </c:pt>
                <c:pt idx="5">
                  <c:v>4808</c:v>
                </c:pt>
                <c:pt idx="6">
                  <c:v>4808</c:v>
                </c:pt>
                <c:pt idx="7">
                  <c:v>4808</c:v>
                </c:pt>
                <c:pt idx="8">
                  <c:v>4808</c:v>
                </c:pt>
                <c:pt idx="9">
                  <c:v>4808</c:v>
                </c:pt>
                <c:pt idx="10">
                  <c:v>4808</c:v>
                </c:pt>
                <c:pt idx="11">
                  <c:v>4808</c:v>
                </c:pt>
                <c:pt idx="12">
                  <c:v>4808</c:v>
                </c:pt>
                <c:pt idx="13">
                  <c:v>4808</c:v>
                </c:pt>
                <c:pt idx="14">
                  <c:v>3280</c:v>
                </c:pt>
                <c:pt idx="15">
                  <c:v>3280</c:v>
                </c:pt>
                <c:pt idx="16">
                  <c:v>3280</c:v>
                </c:pt>
                <c:pt idx="17">
                  <c:v>3280</c:v>
                </c:pt>
                <c:pt idx="18">
                  <c:v>3280</c:v>
                </c:pt>
                <c:pt idx="19">
                  <c:v>3280</c:v>
                </c:pt>
                <c:pt idx="20">
                  <c:v>3280</c:v>
                </c:pt>
                <c:pt idx="21">
                  <c:v>3280</c:v>
                </c:pt>
              </c:numCache>
            </c:numRef>
          </c:val>
          <c:extLst>
            <c:ext xmlns:c16="http://schemas.microsoft.com/office/drawing/2014/chart" uri="{C3380CC4-5D6E-409C-BE32-E72D297353CC}">
              <c16:uniqueId val="{00000229-AF71-46E2-8938-E4450DDE49B4}"/>
            </c:ext>
          </c:extLst>
        </c:ser>
        <c:ser>
          <c:idx val="2"/>
          <c:order val="2"/>
          <c:tx>
            <c:strRef>
              <c:f>'NEMInstalledCapacity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C-AF71-46E2-8938-E4450DDE49B4}"/>
              </c:ext>
            </c:extLst>
          </c:dPt>
          <c:dPt>
            <c:idx val="1"/>
            <c:invertIfNegative val="0"/>
            <c:bubble3D val="0"/>
            <c:extLst>
              <c:ext xmlns:c16="http://schemas.microsoft.com/office/drawing/2014/chart" uri="{C3380CC4-5D6E-409C-BE32-E72D297353CC}">
                <c16:uniqueId val="{0000022E-AF71-46E2-8938-E4450DDE49B4}"/>
              </c:ext>
            </c:extLst>
          </c:dPt>
          <c:dPt>
            <c:idx val="2"/>
            <c:invertIfNegative val="0"/>
            <c:bubble3D val="0"/>
            <c:extLst>
              <c:ext xmlns:c16="http://schemas.microsoft.com/office/drawing/2014/chart" uri="{C3380CC4-5D6E-409C-BE32-E72D297353CC}">
                <c16:uniqueId val="{00000230-AF71-46E2-8938-E4450DDE49B4}"/>
              </c:ext>
            </c:extLst>
          </c:dPt>
          <c:dPt>
            <c:idx val="3"/>
            <c:invertIfNegative val="0"/>
            <c:bubble3D val="0"/>
            <c:extLst>
              <c:ext xmlns:c16="http://schemas.microsoft.com/office/drawing/2014/chart" uri="{C3380CC4-5D6E-409C-BE32-E72D297353CC}">
                <c16:uniqueId val="{00000232-AF71-46E2-8938-E4450DDE49B4}"/>
              </c:ext>
            </c:extLst>
          </c:dPt>
          <c:dPt>
            <c:idx val="4"/>
            <c:invertIfNegative val="0"/>
            <c:bubble3D val="0"/>
            <c:extLst>
              <c:ext xmlns:c16="http://schemas.microsoft.com/office/drawing/2014/chart" uri="{C3380CC4-5D6E-409C-BE32-E72D297353CC}">
                <c16:uniqueId val="{00000234-AF71-46E2-8938-E4450DDE49B4}"/>
              </c:ext>
            </c:extLst>
          </c:dPt>
          <c:dPt>
            <c:idx val="5"/>
            <c:invertIfNegative val="0"/>
            <c:bubble3D val="0"/>
            <c:extLst>
              <c:ext xmlns:c16="http://schemas.microsoft.com/office/drawing/2014/chart" uri="{C3380CC4-5D6E-409C-BE32-E72D297353CC}">
                <c16:uniqueId val="{00000236-AF71-46E2-8938-E4450DDE49B4}"/>
              </c:ext>
            </c:extLst>
          </c:dPt>
          <c:dPt>
            <c:idx val="6"/>
            <c:invertIfNegative val="0"/>
            <c:bubble3D val="0"/>
            <c:extLst>
              <c:ext xmlns:c16="http://schemas.microsoft.com/office/drawing/2014/chart" uri="{C3380CC4-5D6E-409C-BE32-E72D297353CC}">
                <c16:uniqueId val="{00000238-AF71-46E2-8938-E4450DDE49B4}"/>
              </c:ext>
            </c:extLst>
          </c:dPt>
          <c:dPt>
            <c:idx val="7"/>
            <c:invertIfNegative val="0"/>
            <c:bubble3D val="0"/>
            <c:extLst>
              <c:ext xmlns:c16="http://schemas.microsoft.com/office/drawing/2014/chart" uri="{C3380CC4-5D6E-409C-BE32-E72D297353CC}">
                <c16:uniqueId val="{0000023A-AF71-46E2-8938-E4450DDE49B4}"/>
              </c:ext>
            </c:extLst>
          </c:dPt>
          <c:dPt>
            <c:idx val="8"/>
            <c:invertIfNegative val="0"/>
            <c:bubble3D val="0"/>
            <c:extLst>
              <c:ext xmlns:c16="http://schemas.microsoft.com/office/drawing/2014/chart" uri="{C3380CC4-5D6E-409C-BE32-E72D297353CC}">
                <c16:uniqueId val="{0000023C-AF71-46E2-8938-E4450DDE49B4}"/>
              </c:ext>
            </c:extLst>
          </c:dPt>
          <c:dPt>
            <c:idx val="9"/>
            <c:invertIfNegative val="0"/>
            <c:bubble3D val="0"/>
            <c:extLst>
              <c:ext xmlns:c16="http://schemas.microsoft.com/office/drawing/2014/chart" uri="{C3380CC4-5D6E-409C-BE32-E72D297353CC}">
                <c16:uniqueId val="{0000023E-AF71-46E2-8938-E4450DDE49B4}"/>
              </c:ext>
            </c:extLst>
          </c:dPt>
          <c:dPt>
            <c:idx val="10"/>
            <c:invertIfNegative val="0"/>
            <c:bubble3D val="0"/>
            <c:extLst>
              <c:ext xmlns:c16="http://schemas.microsoft.com/office/drawing/2014/chart" uri="{C3380CC4-5D6E-409C-BE32-E72D297353CC}">
                <c16:uniqueId val="{00000240-AF71-46E2-8938-E4450DDE49B4}"/>
              </c:ext>
            </c:extLst>
          </c:dPt>
          <c:dPt>
            <c:idx val="11"/>
            <c:invertIfNegative val="0"/>
            <c:bubble3D val="0"/>
            <c:extLst>
              <c:ext xmlns:c16="http://schemas.microsoft.com/office/drawing/2014/chart" uri="{C3380CC4-5D6E-409C-BE32-E72D297353CC}">
                <c16:uniqueId val="{00000242-AF71-46E2-8938-E4450DDE49B4}"/>
              </c:ext>
            </c:extLst>
          </c:dPt>
          <c:dPt>
            <c:idx val="12"/>
            <c:invertIfNegative val="0"/>
            <c:bubble3D val="0"/>
            <c:extLst>
              <c:ext xmlns:c16="http://schemas.microsoft.com/office/drawing/2014/chart" uri="{C3380CC4-5D6E-409C-BE32-E72D297353CC}">
                <c16:uniqueId val="{00000244-AF71-46E2-8938-E4450DDE49B4}"/>
              </c:ext>
            </c:extLst>
          </c:dPt>
          <c:dPt>
            <c:idx val="13"/>
            <c:invertIfNegative val="0"/>
            <c:bubble3D val="0"/>
            <c:extLst>
              <c:ext xmlns:c16="http://schemas.microsoft.com/office/drawing/2014/chart" uri="{C3380CC4-5D6E-409C-BE32-E72D297353CC}">
                <c16:uniqueId val="{00000246-AF71-46E2-8938-E4450DDE49B4}"/>
              </c:ext>
            </c:extLst>
          </c:dPt>
          <c:dPt>
            <c:idx val="14"/>
            <c:invertIfNegative val="0"/>
            <c:bubble3D val="0"/>
            <c:extLst>
              <c:ext xmlns:c16="http://schemas.microsoft.com/office/drawing/2014/chart" uri="{C3380CC4-5D6E-409C-BE32-E72D297353CC}">
                <c16:uniqueId val="{00000248-AF71-46E2-8938-E4450DDE49B4}"/>
              </c:ext>
            </c:extLst>
          </c:dPt>
          <c:dPt>
            <c:idx val="15"/>
            <c:invertIfNegative val="0"/>
            <c:bubble3D val="0"/>
            <c:extLst>
              <c:ext xmlns:c16="http://schemas.microsoft.com/office/drawing/2014/chart" uri="{C3380CC4-5D6E-409C-BE32-E72D297353CC}">
                <c16:uniqueId val="{0000024A-AF71-46E2-8938-E4450DDE49B4}"/>
              </c:ext>
            </c:extLst>
          </c:dPt>
          <c:dPt>
            <c:idx val="16"/>
            <c:invertIfNegative val="0"/>
            <c:bubble3D val="0"/>
            <c:extLst>
              <c:ext xmlns:c16="http://schemas.microsoft.com/office/drawing/2014/chart" uri="{C3380CC4-5D6E-409C-BE32-E72D297353CC}">
                <c16:uniqueId val="{0000024C-AF71-46E2-8938-E4450DDE49B4}"/>
              </c:ext>
            </c:extLst>
          </c:dPt>
          <c:dPt>
            <c:idx val="17"/>
            <c:invertIfNegative val="0"/>
            <c:bubble3D val="0"/>
            <c:extLst>
              <c:ext xmlns:c16="http://schemas.microsoft.com/office/drawing/2014/chart" uri="{C3380CC4-5D6E-409C-BE32-E72D297353CC}">
                <c16:uniqueId val="{0000024E-AF71-46E2-8938-E4450DDE49B4}"/>
              </c:ext>
            </c:extLst>
          </c:dPt>
          <c:dPt>
            <c:idx val="18"/>
            <c:invertIfNegative val="0"/>
            <c:bubble3D val="0"/>
            <c:extLst>
              <c:ext xmlns:c16="http://schemas.microsoft.com/office/drawing/2014/chart" uri="{C3380CC4-5D6E-409C-BE32-E72D297353CC}">
                <c16:uniqueId val="{00000250-AF71-46E2-8938-E4450DDE49B4}"/>
              </c:ext>
            </c:extLst>
          </c:dPt>
          <c:dPt>
            <c:idx val="19"/>
            <c:invertIfNegative val="0"/>
            <c:bubble3D val="0"/>
            <c:extLst>
              <c:ext xmlns:c16="http://schemas.microsoft.com/office/drawing/2014/chart" uri="{C3380CC4-5D6E-409C-BE32-E72D297353CC}">
                <c16:uniqueId val="{00000252-AF71-46E2-8938-E4450DDE49B4}"/>
              </c:ext>
            </c:extLst>
          </c:dPt>
          <c:dPt>
            <c:idx val="20"/>
            <c:invertIfNegative val="0"/>
            <c:bubble3D val="0"/>
            <c:extLst>
              <c:ext xmlns:c16="http://schemas.microsoft.com/office/drawing/2014/chart" uri="{C3380CC4-5D6E-409C-BE32-E72D297353CC}">
                <c16:uniqueId val="{00000254-AF71-46E2-8938-E4450DDE49B4}"/>
              </c:ext>
            </c:extLst>
          </c:dPt>
          <c:dPt>
            <c:idx val="21"/>
            <c:invertIfNegative val="0"/>
            <c:bubble3D val="0"/>
            <c:extLst>
              <c:ext xmlns:c16="http://schemas.microsoft.com/office/drawing/2014/chart" uri="{C3380CC4-5D6E-409C-BE32-E72D297353CC}">
                <c16:uniqueId val="{00000256-AF71-46E2-8938-E4450DDE49B4}"/>
              </c:ext>
            </c:extLst>
          </c:dPt>
          <c:dPt>
            <c:idx val="22"/>
            <c:invertIfNegative val="0"/>
            <c:bubble3D val="0"/>
            <c:extLst>
              <c:ext xmlns:c16="http://schemas.microsoft.com/office/drawing/2014/chart" uri="{C3380CC4-5D6E-409C-BE32-E72D297353CC}">
                <c16:uniqueId val="{00000258-AF71-46E2-8938-E4450DDE49B4}"/>
              </c:ext>
            </c:extLst>
          </c:dPt>
          <c:dPt>
            <c:idx val="23"/>
            <c:invertIfNegative val="0"/>
            <c:bubble3D val="0"/>
            <c:extLst>
              <c:ext xmlns:c16="http://schemas.microsoft.com/office/drawing/2014/chart" uri="{C3380CC4-5D6E-409C-BE32-E72D297353CC}">
                <c16:uniqueId val="{0000025A-AF71-46E2-8938-E4450DDE49B4}"/>
              </c:ext>
            </c:extLst>
          </c:dPt>
          <c:dPt>
            <c:idx val="24"/>
            <c:invertIfNegative val="0"/>
            <c:bubble3D val="0"/>
            <c:extLst>
              <c:ext xmlns:c16="http://schemas.microsoft.com/office/drawing/2014/chart" uri="{C3380CC4-5D6E-409C-BE32-E72D297353CC}">
                <c16:uniqueId val="{0000025C-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Data'!$C$5:$X$5</c:f>
              <c:numCache>
                <c:formatCode>#,##0_ ;\-#,##0\ </c:formatCode>
                <c:ptCount val="22"/>
                <c:pt idx="0">
                  <c:v>5364</c:v>
                </c:pt>
                <c:pt idx="1">
                  <c:v>5364</c:v>
                </c:pt>
                <c:pt idx="2">
                  <c:v>5364</c:v>
                </c:pt>
                <c:pt idx="3">
                  <c:v>5364</c:v>
                </c:pt>
                <c:pt idx="4">
                  <c:v>5364</c:v>
                </c:pt>
                <c:pt idx="5">
                  <c:v>5364</c:v>
                </c:pt>
                <c:pt idx="6">
                  <c:v>5364</c:v>
                </c:pt>
                <c:pt idx="7">
                  <c:v>5364</c:v>
                </c:pt>
                <c:pt idx="8">
                  <c:v>5364</c:v>
                </c:pt>
                <c:pt idx="9">
                  <c:v>5364</c:v>
                </c:pt>
                <c:pt idx="10">
                  <c:v>5364</c:v>
                </c:pt>
                <c:pt idx="11">
                  <c:v>5364</c:v>
                </c:pt>
                <c:pt idx="12">
                  <c:v>5364</c:v>
                </c:pt>
                <c:pt idx="13">
                  <c:v>5364</c:v>
                </c:pt>
                <c:pt idx="14">
                  <c:v>5364</c:v>
                </c:pt>
                <c:pt idx="15">
                  <c:v>5364</c:v>
                </c:pt>
                <c:pt idx="16">
                  <c:v>5364</c:v>
                </c:pt>
                <c:pt idx="17">
                  <c:v>5364</c:v>
                </c:pt>
                <c:pt idx="18">
                  <c:v>5364</c:v>
                </c:pt>
                <c:pt idx="19">
                  <c:v>5364</c:v>
                </c:pt>
                <c:pt idx="20">
                  <c:v>5364</c:v>
                </c:pt>
                <c:pt idx="21">
                  <c:v>5364</c:v>
                </c:pt>
              </c:numCache>
            </c:numRef>
          </c:val>
          <c:extLst>
            <c:ext xmlns:c16="http://schemas.microsoft.com/office/drawing/2014/chart" uri="{C3380CC4-5D6E-409C-BE32-E72D297353CC}">
              <c16:uniqueId val="{0000025D-AF71-46E2-8938-E4450DDE49B4}"/>
            </c:ext>
          </c:extLst>
        </c:ser>
        <c:ser>
          <c:idx val="3"/>
          <c:order val="3"/>
          <c:tx>
            <c:strRef>
              <c:f>'NEMInstalledCapacity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5F-AF71-46E2-8938-E4450DDE49B4}"/>
              </c:ext>
            </c:extLst>
          </c:dPt>
          <c:dPt>
            <c:idx val="1"/>
            <c:invertIfNegative val="0"/>
            <c:bubble3D val="0"/>
            <c:extLst>
              <c:ext xmlns:c16="http://schemas.microsoft.com/office/drawing/2014/chart" uri="{C3380CC4-5D6E-409C-BE32-E72D297353CC}">
                <c16:uniqueId val="{00000260-AF71-46E2-8938-E4450DDE49B4}"/>
              </c:ext>
            </c:extLst>
          </c:dPt>
          <c:dPt>
            <c:idx val="2"/>
            <c:invertIfNegative val="0"/>
            <c:bubble3D val="0"/>
            <c:extLst>
              <c:ext xmlns:c16="http://schemas.microsoft.com/office/drawing/2014/chart" uri="{C3380CC4-5D6E-409C-BE32-E72D297353CC}">
                <c16:uniqueId val="{00000261-AF71-46E2-8938-E4450DDE49B4}"/>
              </c:ext>
            </c:extLst>
          </c:dPt>
          <c:dPt>
            <c:idx val="3"/>
            <c:invertIfNegative val="0"/>
            <c:bubble3D val="0"/>
            <c:extLst>
              <c:ext xmlns:c16="http://schemas.microsoft.com/office/drawing/2014/chart" uri="{C3380CC4-5D6E-409C-BE32-E72D297353CC}">
                <c16:uniqueId val="{00000262-AF71-46E2-8938-E4450DDE49B4}"/>
              </c:ext>
            </c:extLst>
          </c:dPt>
          <c:dPt>
            <c:idx val="4"/>
            <c:invertIfNegative val="0"/>
            <c:bubble3D val="0"/>
            <c:extLst>
              <c:ext xmlns:c16="http://schemas.microsoft.com/office/drawing/2014/chart" uri="{C3380CC4-5D6E-409C-BE32-E72D297353CC}">
                <c16:uniqueId val="{00000263-AF71-46E2-8938-E4450DDE49B4}"/>
              </c:ext>
            </c:extLst>
          </c:dPt>
          <c:dPt>
            <c:idx val="5"/>
            <c:invertIfNegative val="0"/>
            <c:bubble3D val="0"/>
            <c:extLst>
              <c:ext xmlns:c16="http://schemas.microsoft.com/office/drawing/2014/chart" uri="{C3380CC4-5D6E-409C-BE32-E72D297353CC}">
                <c16:uniqueId val="{00000264-AF71-46E2-8938-E4450DDE49B4}"/>
              </c:ext>
            </c:extLst>
          </c:dPt>
          <c:dPt>
            <c:idx val="6"/>
            <c:invertIfNegative val="0"/>
            <c:bubble3D val="0"/>
            <c:extLst>
              <c:ext xmlns:c16="http://schemas.microsoft.com/office/drawing/2014/chart" uri="{C3380CC4-5D6E-409C-BE32-E72D297353CC}">
                <c16:uniqueId val="{00000265-AF71-46E2-8938-E4450DDE49B4}"/>
              </c:ext>
            </c:extLst>
          </c:dPt>
          <c:dPt>
            <c:idx val="7"/>
            <c:invertIfNegative val="0"/>
            <c:bubble3D val="0"/>
            <c:extLst>
              <c:ext xmlns:c16="http://schemas.microsoft.com/office/drawing/2014/chart" uri="{C3380CC4-5D6E-409C-BE32-E72D297353CC}">
                <c16:uniqueId val="{00000266-AF71-46E2-8938-E4450DDE49B4}"/>
              </c:ext>
            </c:extLst>
          </c:dPt>
          <c:dPt>
            <c:idx val="8"/>
            <c:invertIfNegative val="0"/>
            <c:bubble3D val="0"/>
            <c:extLst>
              <c:ext xmlns:c16="http://schemas.microsoft.com/office/drawing/2014/chart" uri="{C3380CC4-5D6E-409C-BE32-E72D297353CC}">
                <c16:uniqueId val="{00000267-AF71-46E2-8938-E4450DDE49B4}"/>
              </c:ext>
            </c:extLst>
          </c:dPt>
          <c:dPt>
            <c:idx val="9"/>
            <c:invertIfNegative val="0"/>
            <c:bubble3D val="0"/>
            <c:extLst>
              <c:ext xmlns:c16="http://schemas.microsoft.com/office/drawing/2014/chart" uri="{C3380CC4-5D6E-409C-BE32-E72D297353CC}">
                <c16:uniqueId val="{00000268-AF71-46E2-8938-E4450DDE49B4}"/>
              </c:ext>
            </c:extLst>
          </c:dPt>
          <c:dPt>
            <c:idx val="10"/>
            <c:invertIfNegative val="0"/>
            <c:bubble3D val="0"/>
            <c:extLst>
              <c:ext xmlns:c16="http://schemas.microsoft.com/office/drawing/2014/chart" uri="{C3380CC4-5D6E-409C-BE32-E72D297353CC}">
                <c16:uniqueId val="{00000269-AF71-46E2-8938-E4450DDE49B4}"/>
              </c:ext>
            </c:extLst>
          </c:dPt>
          <c:dPt>
            <c:idx val="11"/>
            <c:invertIfNegative val="0"/>
            <c:bubble3D val="0"/>
            <c:extLst>
              <c:ext xmlns:c16="http://schemas.microsoft.com/office/drawing/2014/chart" uri="{C3380CC4-5D6E-409C-BE32-E72D297353CC}">
                <c16:uniqueId val="{0000026A-AF71-46E2-8938-E4450DDE49B4}"/>
              </c:ext>
            </c:extLst>
          </c:dPt>
          <c:dPt>
            <c:idx val="12"/>
            <c:invertIfNegative val="0"/>
            <c:bubble3D val="0"/>
            <c:extLst>
              <c:ext xmlns:c16="http://schemas.microsoft.com/office/drawing/2014/chart" uri="{C3380CC4-5D6E-409C-BE32-E72D297353CC}">
                <c16:uniqueId val="{0000026B-AF71-46E2-8938-E4450DDE49B4}"/>
              </c:ext>
            </c:extLst>
          </c:dPt>
          <c:dPt>
            <c:idx val="13"/>
            <c:invertIfNegative val="0"/>
            <c:bubble3D val="0"/>
            <c:extLst>
              <c:ext xmlns:c16="http://schemas.microsoft.com/office/drawing/2014/chart" uri="{C3380CC4-5D6E-409C-BE32-E72D297353CC}">
                <c16:uniqueId val="{0000026C-AF71-46E2-8938-E4450DDE49B4}"/>
              </c:ext>
            </c:extLst>
          </c:dPt>
          <c:dPt>
            <c:idx val="14"/>
            <c:invertIfNegative val="0"/>
            <c:bubble3D val="0"/>
            <c:extLst>
              <c:ext xmlns:c16="http://schemas.microsoft.com/office/drawing/2014/chart" uri="{C3380CC4-5D6E-409C-BE32-E72D297353CC}">
                <c16:uniqueId val="{0000026D-AF71-46E2-8938-E4450DDE49B4}"/>
              </c:ext>
            </c:extLst>
          </c:dPt>
          <c:dPt>
            <c:idx val="15"/>
            <c:invertIfNegative val="0"/>
            <c:bubble3D val="0"/>
            <c:extLst>
              <c:ext xmlns:c16="http://schemas.microsoft.com/office/drawing/2014/chart" uri="{C3380CC4-5D6E-409C-BE32-E72D297353CC}">
                <c16:uniqueId val="{0000026E-AF71-46E2-8938-E4450DDE49B4}"/>
              </c:ext>
            </c:extLst>
          </c:dPt>
          <c:dPt>
            <c:idx val="16"/>
            <c:invertIfNegative val="0"/>
            <c:bubble3D val="0"/>
            <c:extLst>
              <c:ext xmlns:c16="http://schemas.microsoft.com/office/drawing/2014/chart" uri="{C3380CC4-5D6E-409C-BE32-E72D297353CC}">
                <c16:uniqueId val="{0000026F-AF71-46E2-8938-E4450DDE49B4}"/>
              </c:ext>
            </c:extLst>
          </c:dPt>
          <c:dPt>
            <c:idx val="17"/>
            <c:invertIfNegative val="0"/>
            <c:bubble3D val="0"/>
            <c:extLst>
              <c:ext xmlns:c16="http://schemas.microsoft.com/office/drawing/2014/chart" uri="{C3380CC4-5D6E-409C-BE32-E72D297353CC}">
                <c16:uniqueId val="{00000270-AF71-46E2-8938-E4450DDE49B4}"/>
              </c:ext>
            </c:extLst>
          </c:dPt>
          <c:dPt>
            <c:idx val="18"/>
            <c:invertIfNegative val="0"/>
            <c:bubble3D val="0"/>
            <c:extLst>
              <c:ext xmlns:c16="http://schemas.microsoft.com/office/drawing/2014/chart" uri="{C3380CC4-5D6E-409C-BE32-E72D297353CC}">
                <c16:uniqueId val="{00000271-AF71-46E2-8938-E4450DDE49B4}"/>
              </c:ext>
            </c:extLst>
          </c:dPt>
          <c:dPt>
            <c:idx val="19"/>
            <c:invertIfNegative val="0"/>
            <c:bubble3D val="0"/>
            <c:extLst>
              <c:ext xmlns:c16="http://schemas.microsoft.com/office/drawing/2014/chart" uri="{C3380CC4-5D6E-409C-BE32-E72D297353CC}">
                <c16:uniqueId val="{00000272-AF71-46E2-8938-E4450DDE49B4}"/>
              </c:ext>
            </c:extLst>
          </c:dPt>
          <c:dPt>
            <c:idx val="20"/>
            <c:invertIfNegative val="0"/>
            <c:bubble3D val="0"/>
            <c:extLst>
              <c:ext xmlns:c16="http://schemas.microsoft.com/office/drawing/2014/chart" uri="{C3380CC4-5D6E-409C-BE32-E72D297353CC}">
                <c16:uniqueId val="{00000273-AF71-46E2-8938-E4450DDE49B4}"/>
              </c:ext>
            </c:extLst>
          </c:dPt>
          <c:dPt>
            <c:idx val="21"/>
            <c:invertIfNegative val="0"/>
            <c:bubble3D val="0"/>
            <c:extLst>
              <c:ext xmlns:c16="http://schemas.microsoft.com/office/drawing/2014/chart" uri="{C3380CC4-5D6E-409C-BE32-E72D297353CC}">
                <c16:uniqueId val="{00000274-AF71-46E2-8938-E4450DDE49B4}"/>
              </c:ext>
            </c:extLst>
          </c:dPt>
          <c:dPt>
            <c:idx val="22"/>
            <c:invertIfNegative val="0"/>
            <c:bubble3D val="0"/>
            <c:extLst>
              <c:ext xmlns:c16="http://schemas.microsoft.com/office/drawing/2014/chart" uri="{C3380CC4-5D6E-409C-BE32-E72D297353CC}">
                <c16:uniqueId val="{00000275-AF71-46E2-8938-E4450DDE49B4}"/>
              </c:ext>
            </c:extLst>
          </c:dPt>
          <c:dPt>
            <c:idx val="23"/>
            <c:invertIfNegative val="0"/>
            <c:bubble3D val="0"/>
            <c:extLst>
              <c:ext xmlns:c16="http://schemas.microsoft.com/office/drawing/2014/chart" uri="{C3380CC4-5D6E-409C-BE32-E72D297353CC}">
                <c16:uniqueId val="{00000276-AF71-46E2-8938-E4450DDE49B4}"/>
              </c:ext>
            </c:extLst>
          </c:dPt>
          <c:dPt>
            <c:idx val="24"/>
            <c:invertIfNegative val="0"/>
            <c:bubble3D val="0"/>
            <c:extLst>
              <c:ext xmlns:c16="http://schemas.microsoft.com/office/drawing/2014/chart" uri="{C3380CC4-5D6E-409C-BE32-E72D297353CC}">
                <c16:uniqueId val="{00000277-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Data'!$C$6:$X$6</c:f>
              <c:numCache>
                <c:formatCode>#,##0_ ;\-#,##0\ </c:formatCode>
                <c:ptCount val="22"/>
                <c:pt idx="0">
                  <c:v>4111</c:v>
                </c:pt>
                <c:pt idx="1">
                  <c:v>4111</c:v>
                </c:pt>
                <c:pt idx="2">
                  <c:v>4111</c:v>
                </c:pt>
                <c:pt idx="3">
                  <c:v>4111</c:v>
                </c:pt>
                <c:pt idx="4">
                  <c:v>4111</c:v>
                </c:pt>
                <c:pt idx="5">
                  <c:v>4111</c:v>
                </c:pt>
                <c:pt idx="6">
                  <c:v>2649</c:v>
                </c:pt>
                <c:pt idx="7">
                  <c:v>2649</c:v>
                </c:pt>
                <c:pt idx="8">
                  <c:v>2649</c:v>
                </c:pt>
                <c:pt idx="9">
                  <c:v>2649</c:v>
                </c:pt>
                <c:pt idx="10">
                  <c:v>2649</c:v>
                </c:pt>
                <c:pt idx="11">
                  <c:v>2649</c:v>
                </c:pt>
                <c:pt idx="12">
                  <c:v>2649</c:v>
                </c:pt>
                <c:pt idx="13">
                  <c:v>2139</c:v>
                </c:pt>
                <c:pt idx="14">
                  <c:v>2139</c:v>
                </c:pt>
                <c:pt idx="15">
                  <c:v>2139</c:v>
                </c:pt>
                <c:pt idx="16">
                  <c:v>2139</c:v>
                </c:pt>
                <c:pt idx="17">
                  <c:v>2139</c:v>
                </c:pt>
                <c:pt idx="18">
                  <c:v>2139</c:v>
                </c:pt>
                <c:pt idx="19">
                  <c:v>2139</c:v>
                </c:pt>
                <c:pt idx="20">
                  <c:v>2139</c:v>
                </c:pt>
                <c:pt idx="21">
                  <c:v>2139</c:v>
                </c:pt>
              </c:numCache>
            </c:numRef>
          </c:val>
          <c:extLst>
            <c:ext xmlns:c16="http://schemas.microsoft.com/office/drawing/2014/chart" uri="{C3380CC4-5D6E-409C-BE32-E72D297353CC}">
              <c16:uniqueId val="{00000278-AF71-46E2-8938-E4450DDE49B4}"/>
            </c:ext>
          </c:extLst>
        </c:ser>
        <c:ser>
          <c:idx val="4"/>
          <c:order val="4"/>
          <c:tx>
            <c:strRef>
              <c:f>'NEMInstalledCapacity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7B-AF71-46E2-8938-E4450DDE49B4}"/>
              </c:ext>
            </c:extLst>
          </c:dPt>
          <c:dPt>
            <c:idx val="1"/>
            <c:invertIfNegative val="0"/>
            <c:bubble3D val="0"/>
            <c:extLst>
              <c:ext xmlns:c16="http://schemas.microsoft.com/office/drawing/2014/chart" uri="{C3380CC4-5D6E-409C-BE32-E72D297353CC}">
                <c16:uniqueId val="{0000027D-AF71-46E2-8938-E4450DDE49B4}"/>
              </c:ext>
            </c:extLst>
          </c:dPt>
          <c:dPt>
            <c:idx val="2"/>
            <c:invertIfNegative val="0"/>
            <c:bubble3D val="0"/>
            <c:extLst>
              <c:ext xmlns:c16="http://schemas.microsoft.com/office/drawing/2014/chart" uri="{C3380CC4-5D6E-409C-BE32-E72D297353CC}">
                <c16:uniqueId val="{0000027F-AF71-46E2-8938-E4450DDE49B4}"/>
              </c:ext>
            </c:extLst>
          </c:dPt>
          <c:dPt>
            <c:idx val="3"/>
            <c:invertIfNegative val="0"/>
            <c:bubble3D val="0"/>
            <c:extLst>
              <c:ext xmlns:c16="http://schemas.microsoft.com/office/drawing/2014/chart" uri="{C3380CC4-5D6E-409C-BE32-E72D297353CC}">
                <c16:uniqueId val="{00000281-AF71-46E2-8938-E4450DDE49B4}"/>
              </c:ext>
            </c:extLst>
          </c:dPt>
          <c:dPt>
            <c:idx val="4"/>
            <c:invertIfNegative val="0"/>
            <c:bubble3D val="0"/>
            <c:extLst>
              <c:ext xmlns:c16="http://schemas.microsoft.com/office/drawing/2014/chart" uri="{C3380CC4-5D6E-409C-BE32-E72D297353CC}">
                <c16:uniqueId val="{00000283-AF71-46E2-8938-E4450DDE49B4}"/>
              </c:ext>
            </c:extLst>
          </c:dPt>
          <c:dPt>
            <c:idx val="5"/>
            <c:invertIfNegative val="0"/>
            <c:bubble3D val="0"/>
            <c:extLst>
              <c:ext xmlns:c16="http://schemas.microsoft.com/office/drawing/2014/chart" uri="{C3380CC4-5D6E-409C-BE32-E72D297353CC}">
                <c16:uniqueId val="{00000285-AF71-46E2-8938-E4450DDE49B4}"/>
              </c:ext>
            </c:extLst>
          </c:dPt>
          <c:dPt>
            <c:idx val="6"/>
            <c:invertIfNegative val="0"/>
            <c:bubble3D val="0"/>
            <c:extLst>
              <c:ext xmlns:c16="http://schemas.microsoft.com/office/drawing/2014/chart" uri="{C3380CC4-5D6E-409C-BE32-E72D297353CC}">
                <c16:uniqueId val="{00000287-AF71-46E2-8938-E4450DDE49B4}"/>
              </c:ext>
            </c:extLst>
          </c:dPt>
          <c:dPt>
            <c:idx val="7"/>
            <c:invertIfNegative val="0"/>
            <c:bubble3D val="0"/>
            <c:extLst>
              <c:ext xmlns:c16="http://schemas.microsoft.com/office/drawing/2014/chart" uri="{C3380CC4-5D6E-409C-BE32-E72D297353CC}">
                <c16:uniqueId val="{00000289-AF71-46E2-8938-E4450DDE49B4}"/>
              </c:ext>
            </c:extLst>
          </c:dPt>
          <c:dPt>
            <c:idx val="8"/>
            <c:invertIfNegative val="0"/>
            <c:bubble3D val="0"/>
            <c:extLst>
              <c:ext xmlns:c16="http://schemas.microsoft.com/office/drawing/2014/chart" uri="{C3380CC4-5D6E-409C-BE32-E72D297353CC}">
                <c16:uniqueId val="{0000028B-AF71-46E2-8938-E4450DDE49B4}"/>
              </c:ext>
            </c:extLst>
          </c:dPt>
          <c:dPt>
            <c:idx val="9"/>
            <c:invertIfNegative val="0"/>
            <c:bubble3D val="0"/>
            <c:extLst>
              <c:ext xmlns:c16="http://schemas.microsoft.com/office/drawing/2014/chart" uri="{C3380CC4-5D6E-409C-BE32-E72D297353CC}">
                <c16:uniqueId val="{0000028D-AF71-46E2-8938-E4450DDE49B4}"/>
              </c:ext>
            </c:extLst>
          </c:dPt>
          <c:dPt>
            <c:idx val="10"/>
            <c:invertIfNegative val="0"/>
            <c:bubble3D val="0"/>
            <c:extLst>
              <c:ext xmlns:c16="http://schemas.microsoft.com/office/drawing/2014/chart" uri="{C3380CC4-5D6E-409C-BE32-E72D297353CC}">
                <c16:uniqueId val="{0000028F-AF71-46E2-8938-E4450DDE49B4}"/>
              </c:ext>
            </c:extLst>
          </c:dPt>
          <c:dPt>
            <c:idx val="11"/>
            <c:invertIfNegative val="0"/>
            <c:bubble3D val="0"/>
            <c:extLst>
              <c:ext xmlns:c16="http://schemas.microsoft.com/office/drawing/2014/chart" uri="{C3380CC4-5D6E-409C-BE32-E72D297353CC}">
                <c16:uniqueId val="{00000291-AF71-46E2-8938-E4450DDE49B4}"/>
              </c:ext>
            </c:extLst>
          </c:dPt>
          <c:dPt>
            <c:idx val="12"/>
            <c:invertIfNegative val="0"/>
            <c:bubble3D val="0"/>
            <c:extLst>
              <c:ext xmlns:c16="http://schemas.microsoft.com/office/drawing/2014/chart" uri="{C3380CC4-5D6E-409C-BE32-E72D297353CC}">
                <c16:uniqueId val="{00000293-AF71-46E2-8938-E4450DDE49B4}"/>
              </c:ext>
            </c:extLst>
          </c:dPt>
          <c:dPt>
            <c:idx val="13"/>
            <c:invertIfNegative val="0"/>
            <c:bubble3D val="0"/>
            <c:extLst>
              <c:ext xmlns:c16="http://schemas.microsoft.com/office/drawing/2014/chart" uri="{C3380CC4-5D6E-409C-BE32-E72D297353CC}">
                <c16:uniqueId val="{00000295-AF71-46E2-8938-E4450DDE49B4}"/>
              </c:ext>
            </c:extLst>
          </c:dPt>
          <c:dPt>
            <c:idx val="14"/>
            <c:invertIfNegative val="0"/>
            <c:bubble3D val="0"/>
            <c:extLst>
              <c:ext xmlns:c16="http://schemas.microsoft.com/office/drawing/2014/chart" uri="{C3380CC4-5D6E-409C-BE32-E72D297353CC}">
                <c16:uniqueId val="{00000297-AF71-46E2-8938-E4450DDE49B4}"/>
              </c:ext>
            </c:extLst>
          </c:dPt>
          <c:dPt>
            <c:idx val="15"/>
            <c:invertIfNegative val="0"/>
            <c:bubble3D val="0"/>
            <c:extLst>
              <c:ext xmlns:c16="http://schemas.microsoft.com/office/drawing/2014/chart" uri="{C3380CC4-5D6E-409C-BE32-E72D297353CC}">
                <c16:uniqueId val="{00000299-AF71-46E2-8938-E4450DDE49B4}"/>
              </c:ext>
            </c:extLst>
          </c:dPt>
          <c:dPt>
            <c:idx val="16"/>
            <c:invertIfNegative val="0"/>
            <c:bubble3D val="0"/>
            <c:extLst>
              <c:ext xmlns:c16="http://schemas.microsoft.com/office/drawing/2014/chart" uri="{C3380CC4-5D6E-409C-BE32-E72D297353CC}">
                <c16:uniqueId val="{0000029B-AF71-46E2-8938-E4450DDE49B4}"/>
              </c:ext>
            </c:extLst>
          </c:dPt>
          <c:dPt>
            <c:idx val="17"/>
            <c:invertIfNegative val="0"/>
            <c:bubble3D val="0"/>
            <c:extLst>
              <c:ext xmlns:c16="http://schemas.microsoft.com/office/drawing/2014/chart" uri="{C3380CC4-5D6E-409C-BE32-E72D297353CC}">
                <c16:uniqueId val="{0000029D-AF71-46E2-8938-E4450DDE49B4}"/>
              </c:ext>
            </c:extLst>
          </c:dPt>
          <c:dPt>
            <c:idx val="18"/>
            <c:invertIfNegative val="0"/>
            <c:bubble3D val="0"/>
            <c:extLst>
              <c:ext xmlns:c16="http://schemas.microsoft.com/office/drawing/2014/chart" uri="{C3380CC4-5D6E-409C-BE32-E72D297353CC}">
                <c16:uniqueId val="{0000029F-AF71-46E2-8938-E4450DDE49B4}"/>
              </c:ext>
            </c:extLst>
          </c:dPt>
          <c:dPt>
            <c:idx val="19"/>
            <c:invertIfNegative val="0"/>
            <c:bubble3D val="0"/>
            <c:extLst>
              <c:ext xmlns:c16="http://schemas.microsoft.com/office/drawing/2014/chart" uri="{C3380CC4-5D6E-409C-BE32-E72D297353CC}">
                <c16:uniqueId val="{000002A1-AF71-46E2-8938-E4450DDE49B4}"/>
              </c:ext>
            </c:extLst>
          </c:dPt>
          <c:dPt>
            <c:idx val="20"/>
            <c:invertIfNegative val="0"/>
            <c:bubble3D val="0"/>
            <c:extLst>
              <c:ext xmlns:c16="http://schemas.microsoft.com/office/drawing/2014/chart" uri="{C3380CC4-5D6E-409C-BE32-E72D297353CC}">
                <c16:uniqueId val="{000002A3-AF71-46E2-8938-E4450DDE49B4}"/>
              </c:ext>
            </c:extLst>
          </c:dPt>
          <c:dPt>
            <c:idx val="21"/>
            <c:invertIfNegative val="0"/>
            <c:bubble3D val="0"/>
            <c:extLst>
              <c:ext xmlns:c16="http://schemas.microsoft.com/office/drawing/2014/chart" uri="{C3380CC4-5D6E-409C-BE32-E72D297353CC}">
                <c16:uniqueId val="{000002A5-AF71-46E2-8938-E4450DDE49B4}"/>
              </c:ext>
            </c:extLst>
          </c:dPt>
          <c:dPt>
            <c:idx val="22"/>
            <c:invertIfNegative val="0"/>
            <c:bubble3D val="0"/>
            <c:extLst>
              <c:ext xmlns:c16="http://schemas.microsoft.com/office/drawing/2014/chart" uri="{C3380CC4-5D6E-409C-BE32-E72D297353CC}">
                <c16:uniqueId val="{000002A7-AF71-46E2-8938-E4450DDE49B4}"/>
              </c:ext>
            </c:extLst>
          </c:dPt>
          <c:dPt>
            <c:idx val="23"/>
            <c:invertIfNegative val="0"/>
            <c:bubble3D val="0"/>
            <c:extLst>
              <c:ext xmlns:c16="http://schemas.microsoft.com/office/drawing/2014/chart" uri="{C3380CC4-5D6E-409C-BE32-E72D297353CC}">
                <c16:uniqueId val="{000002A9-AF71-46E2-8938-E4450DDE49B4}"/>
              </c:ext>
            </c:extLst>
          </c:dPt>
          <c:dPt>
            <c:idx val="24"/>
            <c:invertIfNegative val="0"/>
            <c:bubble3D val="0"/>
            <c:extLst>
              <c:ext xmlns:c16="http://schemas.microsoft.com/office/drawing/2014/chart" uri="{C3380CC4-5D6E-409C-BE32-E72D297353CC}">
                <c16:uniqueId val="{000002AB-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Data'!$C$7:$X$7</c:f>
              <c:numCache>
                <c:formatCode>#,##0_ ;\-#,##0\ </c:formatCode>
                <c:ptCount val="22"/>
                <c:pt idx="0">
                  <c:v>6967</c:v>
                </c:pt>
                <c:pt idx="1">
                  <c:v>6943</c:v>
                </c:pt>
                <c:pt idx="2">
                  <c:v>6943</c:v>
                </c:pt>
                <c:pt idx="3">
                  <c:v>6669</c:v>
                </c:pt>
                <c:pt idx="4">
                  <c:v>6669</c:v>
                </c:pt>
                <c:pt idx="5">
                  <c:v>6669</c:v>
                </c:pt>
                <c:pt idx="6">
                  <c:v>6669</c:v>
                </c:pt>
                <c:pt idx="7">
                  <c:v>6669</c:v>
                </c:pt>
                <c:pt idx="8">
                  <c:v>6669</c:v>
                </c:pt>
                <c:pt idx="9">
                  <c:v>6669</c:v>
                </c:pt>
                <c:pt idx="10">
                  <c:v>6669</c:v>
                </c:pt>
                <c:pt idx="11">
                  <c:v>6669</c:v>
                </c:pt>
                <c:pt idx="12">
                  <c:v>6669</c:v>
                </c:pt>
                <c:pt idx="13">
                  <c:v>6669</c:v>
                </c:pt>
                <c:pt idx="14">
                  <c:v>6669</c:v>
                </c:pt>
                <c:pt idx="15">
                  <c:v>6669</c:v>
                </c:pt>
                <c:pt idx="16">
                  <c:v>6669</c:v>
                </c:pt>
                <c:pt idx="17">
                  <c:v>6669</c:v>
                </c:pt>
                <c:pt idx="18">
                  <c:v>6669</c:v>
                </c:pt>
                <c:pt idx="19">
                  <c:v>6669</c:v>
                </c:pt>
                <c:pt idx="20">
                  <c:v>6669</c:v>
                </c:pt>
                <c:pt idx="21">
                  <c:v>6669</c:v>
                </c:pt>
              </c:numCache>
            </c:numRef>
          </c:val>
          <c:extLst>
            <c:ext xmlns:c16="http://schemas.microsoft.com/office/drawing/2014/chart" uri="{C3380CC4-5D6E-409C-BE32-E72D297353CC}">
              <c16:uniqueId val="{000002AC-AF71-46E2-8938-E4450DDE49B4}"/>
            </c:ext>
          </c:extLst>
        </c:ser>
        <c:ser>
          <c:idx val="5"/>
          <c:order val="5"/>
          <c:tx>
            <c:strRef>
              <c:f>'NEMInstalledCapacity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AE-AF71-46E2-8938-E4450DDE49B4}"/>
              </c:ext>
            </c:extLst>
          </c:dPt>
          <c:dPt>
            <c:idx val="1"/>
            <c:invertIfNegative val="0"/>
            <c:bubble3D val="0"/>
            <c:extLst>
              <c:ext xmlns:c16="http://schemas.microsoft.com/office/drawing/2014/chart" uri="{C3380CC4-5D6E-409C-BE32-E72D297353CC}">
                <c16:uniqueId val="{000002AF-AF71-46E2-8938-E4450DDE49B4}"/>
              </c:ext>
            </c:extLst>
          </c:dPt>
          <c:dPt>
            <c:idx val="2"/>
            <c:invertIfNegative val="0"/>
            <c:bubble3D val="0"/>
            <c:extLst>
              <c:ext xmlns:c16="http://schemas.microsoft.com/office/drawing/2014/chart" uri="{C3380CC4-5D6E-409C-BE32-E72D297353CC}">
                <c16:uniqueId val="{000002B0-AF71-46E2-8938-E4450DDE49B4}"/>
              </c:ext>
            </c:extLst>
          </c:dPt>
          <c:dPt>
            <c:idx val="3"/>
            <c:invertIfNegative val="0"/>
            <c:bubble3D val="0"/>
            <c:extLst>
              <c:ext xmlns:c16="http://schemas.microsoft.com/office/drawing/2014/chart" uri="{C3380CC4-5D6E-409C-BE32-E72D297353CC}">
                <c16:uniqueId val="{000002B1-AF71-46E2-8938-E4450DDE49B4}"/>
              </c:ext>
            </c:extLst>
          </c:dPt>
          <c:dPt>
            <c:idx val="4"/>
            <c:invertIfNegative val="0"/>
            <c:bubble3D val="0"/>
            <c:extLst>
              <c:ext xmlns:c16="http://schemas.microsoft.com/office/drawing/2014/chart" uri="{C3380CC4-5D6E-409C-BE32-E72D297353CC}">
                <c16:uniqueId val="{000002B2-AF71-46E2-8938-E4450DDE49B4}"/>
              </c:ext>
            </c:extLst>
          </c:dPt>
          <c:dPt>
            <c:idx val="5"/>
            <c:invertIfNegative val="0"/>
            <c:bubble3D val="0"/>
            <c:extLst>
              <c:ext xmlns:c16="http://schemas.microsoft.com/office/drawing/2014/chart" uri="{C3380CC4-5D6E-409C-BE32-E72D297353CC}">
                <c16:uniqueId val="{000002B3-AF71-46E2-8938-E4450DDE49B4}"/>
              </c:ext>
            </c:extLst>
          </c:dPt>
          <c:dPt>
            <c:idx val="6"/>
            <c:invertIfNegative val="0"/>
            <c:bubble3D val="0"/>
            <c:extLst>
              <c:ext xmlns:c16="http://schemas.microsoft.com/office/drawing/2014/chart" uri="{C3380CC4-5D6E-409C-BE32-E72D297353CC}">
                <c16:uniqueId val="{000002B4-AF71-46E2-8938-E4450DDE49B4}"/>
              </c:ext>
            </c:extLst>
          </c:dPt>
          <c:dPt>
            <c:idx val="7"/>
            <c:invertIfNegative val="0"/>
            <c:bubble3D val="0"/>
            <c:extLst>
              <c:ext xmlns:c16="http://schemas.microsoft.com/office/drawing/2014/chart" uri="{C3380CC4-5D6E-409C-BE32-E72D297353CC}">
                <c16:uniqueId val="{000002B5-AF71-46E2-8938-E4450DDE49B4}"/>
              </c:ext>
            </c:extLst>
          </c:dPt>
          <c:dPt>
            <c:idx val="8"/>
            <c:invertIfNegative val="0"/>
            <c:bubble3D val="0"/>
            <c:extLst>
              <c:ext xmlns:c16="http://schemas.microsoft.com/office/drawing/2014/chart" uri="{C3380CC4-5D6E-409C-BE32-E72D297353CC}">
                <c16:uniqueId val="{000002B6-AF71-46E2-8938-E4450DDE49B4}"/>
              </c:ext>
            </c:extLst>
          </c:dPt>
          <c:dPt>
            <c:idx val="9"/>
            <c:invertIfNegative val="0"/>
            <c:bubble3D val="0"/>
            <c:extLst>
              <c:ext xmlns:c16="http://schemas.microsoft.com/office/drawing/2014/chart" uri="{C3380CC4-5D6E-409C-BE32-E72D297353CC}">
                <c16:uniqueId val="{000002B7-AF71-46E2-8938-E4450DDE49B4}"/>
              </c:ext>
            </c:extLst>
          </c:dPt>
          <c:dPt>
            <c:idx val="10"/>
            <c:invertIfNegative val="0"/>
            <c:bubble3D val="0"/>
            <c:extLst>
              <c:ext xmlns:c16="http://schemas.microsoft.com/office/drawing/2014/chart" uri="{C3380CC4-5D6E-409C-BE32-E72D297353CC}">
                <c16:uniqueId val="{000002B8-AF71-46E2-8938-E4450DDE49B4}"/>
              </c:ext>
            </c:extLst>
          </c:dPt>
          <c:dPt>
            <c:idx val="11"/>
            <c:invertIfNegative val="0"/>
            <c:bubble3D val="0"/>
            <c:extLst>
              <c:ext xmlns:c16="http://schemas.microsoft.com/office/drawing/2014/chart" uri="{C3380CC4-5D6E-409C-BE32-E72D297353CC}">
                <c16:uniqueId val="{000002B9-AF71-46E2-8938-E4450DDE49B4}"/>
              </c:ext>
            </c:extLst>
          </c:dPt>
          <c:dPt>
            <c:idx val="12"/>
            <c:invertIfNegative val="0"/>
            <c:bubble3D val="0"/>
            <c:extLst>
              <c:ext xmlns:c16="http://schemas.microsoft.com/office/drawing/2014/chart" uri="{C3380CC4-5D6E-409C-BE32-E72D297353CC}">
                <c16:uniqueId val="{000002BA-AF71-46E2-8938-E4450DDE49B4}"/>
              </c:ext>
            </c:extLst>
          </c:dPt>
          <c:dPt>
            <c:idx val="13"/>
            <c:invertIfNegative val="0"/>
            <c:bubble3D val="0"/>
            <c:extLst>
              <c:ext xmlns:c16="http://schemas.microsoft.com/office/drawing/2014/chart" uri="{C3380CC4-5D6E-409C-BE32-E72D297353CC}">
                <c16:uniqueId val="{000002BB-AF71-46E2-8938-E4450DDE49B4}"/>
              </c:ext>
            </c:extLst>
          </c:dPt>
          <c:dPt>
            <c:idx val="14"/>
            <c:invertIfNegative val="0"/>
            <c:bubble3D val="0"/>
            <c:extLst>
              <c:ext xmlns:c16="http://schemas.microsoft.com/office/drawing/2014/chart" uri="{C3380CC4-5D6E-409C-BE32-E72D297353CC}">
                <c16:uniqueId val="{000002BC-AF71-46E2-8938-E4450DDE49B4}"/>
              </c:ext>
            </c:extLst>
          </c:dPt>
          <c:dPt>
            <c:idx val="15"/>
            <c:invertIfNegative val="0"/>
            <c:bubble3D val="0"/>
            <c:extLst>
              <c:ext xmlns:c16="http://schemas.microsoft.com/office/drawing/2014/chart" uri="{C3380CC4-5D6E-409C-BE32-E72D297353CC}">
                <c16:uniqueId val="{000002BD-AF71-46E2-8938-E4450DDE49B4}"/>
              </c:ext>
            </c:extLst>
          </c:dPt>
          <c:dPt>
            <c:idx val="16"/>
            <c:invertIfNegative val="0"/>
            <c:bubble3D val="0"/>
            <c:extLst>
              <c:ext xmlns:c16="http://schemas.microsoft.com/office/drawing/2014/chart" uri="{C3380CC4-5D6E-409C-BE32-E72D297353CC}">
                <c16:uniqueId val="{000002BE-AF71-46E2-8938-E4450DDE49B4}"/>
              </c:ext>
            </c:extLst>
          </c:dPt>
          <c:dPt>
            <c:idx val="17"/>
            <c:invertIfNegative val="0"/>
            <c:bubble3D val="0"/>
            <c:extLst>
              <c:ext xmlns:c16="http://schemas.microsoft.com/office/drawing/2014/chart" uri="{C3380CC4-5D6E-409C-BE32-E72D297353CC}">
                <c16:uniqueId val="{000002BF-AF71-46E2-8938-E4450DDE49B4}"/>
              </c:ext>
            </c:extLst>
          </c:dPt>
          <c:dPt>
            <c:idx val="18"/>
            <c:invertIfNegative val="0"/>
            <c:bubble3D val="0"/>
            <c:extLst>
              <c:ext xmlns:c16="http://schemas.microsoft.com/office/drawing/2014/chart" uri="{C3380CC4-5D6E-409C-BE32-E72D297353CC}">
                <c16:uniqueId val="{000002C0-AF71-46E2-8938-E4450DDE49B4}"/>
              </c:ext>
            </c:extLst>
          </c:dPt>
          <c:dPt>
            <c:idx val="19"/>
            <c:invertIfNegative val="0"/>
            <c:bubble3D val="0"/>
            <c:extLst>
              <c:ext xmlns:c16="http://schemas.microsoft.com/office/drawing/2014/chart" uri="{C3380CC4-5D6E-409C-BE32-E72D297353CC}">
                <c16:uniqueId val="{000002C1-AF71-46E2-8938-E4450DDE49B4}"/>
              </c:ext>
            </c:extLst>
          </c:dPt>
          <c:dPt>
            <c:idx val="20"/>
            <c:invertIfNegative val="0"/>
            <c:bubble3D val="0"/>
            <c:extLst>
              <c:ext xmlns:c16="http://schemas.microsoft.com/office/drawing/2014/chart" uri="{C3380CC4-5D6E-409C-BE32-E72D297353CC}">
                <c16:uniqueId val="{000002C2-AF71-46E2-8938-E4450DDE49B4}"/>
              </c:ext>
            </c:extLst>
          </c:dPt>
          <c:dPt>
            <c:idx val="21"/>
            <c:invertIfNegative val="0"/>
            <c:bubble3D val="0"/>
            <c:extLst>
              <c:ext xmlns:c16="http://schemas.microsoft.com/office/drawing/2014/chart" uri="{C3380CC4-5D6E-409C-BE32-E72D297353CC}">
                <c16:uniqueId val="{000002C3-AF71-46E2-8938-E4450DDE49B4}"/>
              </c:ext>
            </c:extLst>
          </c:dPt>
          <c:dPt>
            <c:idx val="22"/>
            <c:invertIfNegative val="0"/>
            <c:bubble3D val="0"/>
            <c:extLst>
              <c:ext xmlns:c16="http://schemas.microsoft.com/office/drawing/2014/chart" uri="{C3380CC4-5D6E-409C-BE32-E72D297353CC}">
                <c16:uniqueId val="{000002C4-AF71-46E2-8938-E4450DDE49B4}"/>
              </c:ext>
            </c:extLst>
          </c:dPt>
          <c:dPt>
            <c:idx val="23"/>
            <c:invertIfNegative val="0"/>
            <c:bubble3D val="0"/>
            <c:extLst>
              <c:ext xmlns:c16="http://schemas.microsoft.com/office/drawing/2014/chart" uri="{C3380CC4-5D6E-409C-BE32-E72D297353CC}">
                <c16:uniqueId val="{000002C5-AF71-46E2-8938-E4450DDE49B4}"/>
              </c:ext>
            </c:extLst>
          </c:dPt>
          <c:dPt>
            <c:idx val="24"/>
            <c:invertIfNegative val="0"/>
            <c:bubble3D val="0"/>
            <c:extLst>
              <c:ext xmlns:c16="http://schemas.microsoft.com/office/drawing/2014/chart" uri="{C3380CC4-5D6E-409C-BE32-E72D297353CC}">
                <c16:uniqueId val="{000002C6-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Data'!$C$8:$X$8</c:f>
              <c:numCache>
                <c:formatCode>#,##0_ ;\-#,##0\ </c:formatCode>
                <c:ptCount val="22"/>
                <c:pt idx="0">
                  <c:v>5824</c:v>
                </c:pt>
                <c:pt idx="1">
                  <c:v>7718</c:v>
                </c:pt>
                <c:pt idx="2">
                  <c:v>8118</c:v>
                </c:pt>
                <c:pt idx="3">
                  <c:v>8518</c:v>
                </c:pt>
                <c:pt idx="4">
                  <c:v>8918</c:v>
                </c:pt>
                <c:pt idx="5">
                  <c:v>9811</c:v>
                </c:pt>
                <c:pt idx="6">
                  <c:v>10211</c:v>
                </c:pt>
                <c:pt idx="7">
                  <c:v>10211</c:v>
                </c:pt>
                <c:pt idx="8">
                  <c:v>10211</c:v>
                </c:pt>
                <c:pt idx="9">
                  <c:v>10240</c:v>
                </c:pt>
                <c:pt idx="10">
                  <c:v>10379</c:v>
                </c:pt>
                <c:pt idx="11">
                  <c:v>10676</c:v>
                </c:pt>
                <c:pt idx="12">
                  <c:v>10676</c:v>
                </c:pt>
                <c:pt idx="13">
                  <c:v>10676</c:v>
                </c:pt>
                <c:pt idx="14">
                  <c:v>10676</c:v>
                </c:pt>
                <c:pt idx="15">
                  <c:v>10676</c:v>
                </c:pt>
                <c:pt idx="16">
                  <c:v>10676</c:v>
                </c:pt>
                <c:pt idx="17">
                  <c:v>10763</c:v>
                </c:pt>
                <c:pt idx="18">
                  <c:v>11415</c:v>
                </c:pt>
                <c:pt idx="19">
                  <c:v>11415</c:v>
                </c:pt>
                <c:pt idx="20">
                  <c:v>11656</c:v>
                </c:pt>
                <c:pt idx="21">
                  <c:v>11656</c:v>
                </c:pt>
              </c:numCache>
            </c:numRef>
          </c:val>
          <c:extLst>
            <c:ext xmlns:c16="http://schemas.microsoft.com/office/drawing/2014/chart" uri="{C3380CC4-5D6E-409C-BE32-E72D297353CC}">
              <c16:uniqueId val="{000002C7-AF71-46E2-8938-E4450DDE49B4}"/>
            </c:ext>
          </c:extLst>
        </c:ser>
        <c:ser>
          <c:idx val="9"/>
          <c:order val="6"/>
          <c:tx>
            <c:strRef>
              <c:f>'NEMInstalledCapacity Data'!$B$11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CA-AF71-46E2-8938-E4450DDE49B4}"/>
              </c:ext>
            </c:extLst>
          </c:dPt>
          <c:dPt>
            <c:idx val="1"/>
            <c:invertIfNegative val="0"/>
            <c:bubble3D val="0"/>
            <c:extLst>
              <c:ext xmlns:c16="http://schemas.microsoft.com/office/drawing/2014/chart" uri="{C3380CC4-5D6E-409C-BE32-E72D297353CC}">
                <c16:uniqueId val="{000002CC-AF71-46E2-8938-E4450DDE49B4}"/>
              </c:ext>
            </c:extLst>
          </c:dPt>
          <c:dPt>
            <c:idx val="2"/>
            <c:invertIfNegative val="0"/>
            <c:bubble3D val="0"/>
            <c:extLst>
              <c:ext xmlns:c16="http://schemas.microsoft.com/office/drawing/2014/chart" uri="{C3380CC4-5D6E-409C-BE32-E72D297353CC}">
                <c16:uniqueId val="{000002CE-AF71-46E2-8938-E4450DDE49B4}"/>
              </c:ext>
            </c:extLst>
          </c:dPt>
          <c:dPt>
            <c:idx val="3"/>
            <c:invertIfNegative val="0"/>
            <c:bubble3D val="0"/>
            <c:extLst>
              <c:ext xmlns:c16="http://schemas.microsoft.com/office/drawing/2014/chart" uri="{C3380CC4-5D6E-409C-BE32-E72D297353CC}">
                <c16:uniqueId val="{000002D0-AF71-46E2-8938-E4450DDE49B4}"/>
              </c:ext>
            </c:extLst>
          </c:dPt>
          <c:dPt>
            <c:idx val="4"/>
            <c:invertIfNegative val="0"/>
            <c:bubble3D val="0"/>
            <c:extLst>
              <c:ext xmlns:c16="http://schemas.microsoft.com/office/drawing/2014/chart" uri="{C3380CC4-5D6E-409C-BE32-E72D297353CC}">
                <c16:uniqueId val="{000002D2-AF71-46E2-8938-E4450DDE49B4}"/>
              </c:ext>
            </c:extLst>
          </c:dPt>
          <c:dPt>
            <c:idx val="5"/>
            <c:invertIfNegative val="0"/>
            <c:bubble3D val="0"/>
            <c:extLst>
              <c:ext xmlns:c16="http://schemas.microsoft.com/office/drawing/2014/chart" uri="{C3380CC4-5D6E-409C-BE32-E72D297353CC}">
                <c16:uniqueId val="{000002D4-AF71-46E2-8938-E4450DDE49B4}"/>
              </c:ext>
            </c:extLst>
          </c:dPt>
          <c:dPt>
            <c:idx val="6"/>
            <c:invertIfNegative val="0"/>
            <c:bubble3D val="0"/>
            <c:extLst>
              <c:ext xmlns:c16="http://schemas.microsoft.com/office/drawing/2014/chart" uri="{C3380CC4-5D6E-409C-BE32-E72D297353CC}">
                <c16:uniqueId val="{000002D6-AF71-46E2-8938-E4450DDE49B4}"/>
              </c:ext>
            </c:extLst>
          </c:dPt>
          <c:dPt>
            <c:idx val="7"/>
            <c:invertIfNegative val="0"/>
            <c:bubble3D val="0"/>
            <c:extLst>
              <c:ext xmlns:c16="http://schemas.microsoft.com/office/drawing/2014/chart" uri="{C3380CC4-5D6E-409C-BE32-E72D297353CC}">
                <c16:uniqueId val="{000002D8-AF71-46E2-8938-E4450DDE49B4}"/>
              </c:ext>
            </c:extLst>
          </c:dPt>
          <c:dPt>
            <c:idx val="8"/>
            <c:invertIfNegative val="0"/>
            <c:bubble3D val="0"/>
            <c:extLst>
              <c:ext xmlns:c16="http://schemas.microsoft.com/office/drawing/2014/chart" uri="{C3380CC4-5D6E-409C-BE32-E72D297353CC}">
                <c16:uniqueId val="{000002DA-AF71-46E2-8938-E4450DDE49B4}"/>
              </c:ext>
            </c:extLst>
          </c:dPt>
          <c:dPt>
            <c:idx val="9"/>
            <c:invertIfNegative val="0"/>
            <c:bubble3D val="0"/>
            <c:extLst>
              <c:ext xmlns:c16="http://schemas.microsoft.com/office/drawing/2014/chart" uri="{C3380CC4-5D6E-409C-BE32-E72D297353CC}">
                <c16:uniqueId val="{000002DC-AF71-46E2-8938-E4450DDE49B4}"/>
              </c:ext>
            </c:extLst>
          </c:dPt>
          <c:dPt>
            <c:idx val="10"/>
            <c:invertIfNegative val="0"/>
            <c:bubble3D val="0"/>
            <c:extLst>
              <c:ext xmlns:c16="http://schemas.microsoft.com/office/drawing/2014/chart" uri="{C3380CC4-5D6E-409C-BE32-E72D297353CC}">
                <c16:uniqueId val="{000002DE-AF71-46E2-8938-E4450DDE49B4}"/>
              </c:ext>
            </c:extLst>
          </c:dPt>
          <c:dPt>
            <c:idx val="11"/>
            <c:invertIfNegative val="0"/>
            <c:bubble3D val="0"/>
            <c:extLst>
              <c:ext xmlns:c16="http://schemas.microsoft.com/office/drawing/2014/chart" uri="{C3380CC4-5D6E-409C-BE32-E72D297353CC}">
                <c16:uniqueId val="{000002E0-AF71-46E2-8938-E4450DDE49B4}"/>
              </c:ext>
            </c:extLst>
          </c:dPt>
          <c:dPt>
            <c:idx val="12"/>
            <c:invertIfNegative val="0"/>
            <c:bubble3D val="0"/>
            <c:extLst>
              <c:ext xmlns:c16="http://schemas.microsoft.com/office/drawing/2014/chart" uri="{C3380CC4-5D6E-409C-BE32-E72D297353CC}">
                <c16:uniqueId val="{000002E2-AF71-46E2-8938-E4450DDE49B4}"/>
              </c:ext>
            </c:extLst>
          </c:dPt>
          <c:dPt>
            <c:idx val="13"/>
            <c:invertIfNegative val="0"/>
            <c:bubble3D val="0"/>
            <c:extLst>
              <c:ext xmlns:c16="http://schemas.microsoft.com/office/drawing/2014/chart" uri="{C3380CC4-5D6E-409C-BE32-E72D297353CC}">
                <c16:uniqueId val="{000002E4-AF71-46E2-8938-E4450DDE49B4}"/>
              </c:ext>
            </c:extLst>
          </c:dPt>
          <c:dPt>
            <c:idx val="14"/>
            <c:invertIfNegative val="0"/>
            <c:bubble3D val="0"/>
            <c:extLst>
              <c:ext xmlns:c16="http://schemas.microsoft.com/office/drawing/2014/chart" uri="{C3380CC4-5D6E-409C-BE32-E72D297353CC}">
                <c16:uniqueId val="{000002E6-AF71-46E2-8938-E4450DDE49B4}"/>
              </c:ext>
            </c:extLst>
          </c:dPt>
          <c:dPt>
            <c:idx val="15"/>
            <c:invertIfNegative val="0"/>
            <c:bubble3D val="0"/>
            <c:extLst>
              <c:ext xmlns:c16="http://schemas.microsoft.com/office/drawing/2014/chart" uri="{C3380CC4-5D6E-409C-BE32-E72D297353CC}">
                <c16:uniqueId val="{000002E8-AF71-46E2-8938-E4450DDE49B4}"/>
              </c:ext>
            </c:extLst>
          </c:dPt>
          <c:dPt>
            <c:idx val="16"/>
            <c:invertIfNegative val="0"/>
            <c:bubble3D val="0"/>
            <c:extLst>
              <c:ext xmlns:c16="http://schemas.microsoft.com/office/drawing/2014/chart" uri="{C3380CC4-5D6E-409C-BE32-E72D297353CC}">
                <c16:uniqueId val="{000002EA-AF71-46E2-8938-E4450DDE49B4}"/>
              </c:ext>
            </c:extLst>
          </c:dPt>
          <c:dPt>
            <c:idx val="17"/>
            <c:invertIfNegative val="0"/>
            <c:bubble3D val="0"/>
            <c:extLst>
              <c:ext xmlns:c16="http://schemas.microsoft.com/office/drawing/2014/chart" uri="{C3380CC4-5D6E-409C-BE32-E72D297353CC}">
                <c16:uniqueId val="{000002EC-AF71-46E2-8938-E4450DDE49B4}"/>
              </c:ext>
            </c:extLst>
          </c:dPt>
          <c:dPt>
            <c:idx val="18"/>
            <c:invertIfNegative val="0"/>
            <c:bubble3D val="0"/>
            <c:extLst>
              <c:ext xmlns:c16="http://schemas.microsoft.com/office/drawing/2014/chart" uri="{C3380CC4-5D6E-409C-BE32-E72D297353CC}">
                <c16:uniqueId val="{000002EE-AF71-46E2-8938-E4450DDE49B4}"/>
              </c:ext>
            </c:extLst>
          </c:dPt>
          <c:dPt>
            <c:idx val="19"/>
            <c:invertIfNegative val="0"/>
            <c:bubble3D val="0"/>
            <c:extLst>
              <c:ext xmlns:c16="http://schemas.microsoft.com/office/drawing/2014/chart" uri="{C3380CC4-5D6E-409C-BE32-E72D297353CC}">
                <c16:uniqueId val="{000002F0-AF71-46E2-8938-E4450DDE49B4}"/>
              </c:ext>
            </c:extLst>
          </c:dPt>
          <c:dPt>
            <c:idx val="20"/>
            <c:invertIfNegative val="0"/>
            <c:bubble3D val="0"/>
            <c:extLst>
              <c:ext xmlns:c16="http://schemas.microsoft.com/office/drawing/2014/chart" uri="{C3380CC4-5D6E-409C-BE32-E72D297353CC}">
                <c16:uniqueId val="{000002F2-AF71-46E2-8938-E4450DDE49B4}"/>
              </c:ext>
            </c:extLst>
          </c:dPt>
          <c:dPt>
            <c:idx val="21"/>
            <c:invertIfNegative val="0"/>
            <c:bubble3D val="0"/>
            <c:extLst>
              <c:ext xmlns:c16="http://schemas.microsoft.com/office/drawing/2014/chart" uri="{C3380CC4-5D6E-409C-BE32-E72D297353CC}">
                <c16:uniqueId val="{000002F4-AF71-46E2-8938-E4450DDE49B4}"/>
              </c:ext>
            </c:extLst>
          </c:dPt>
          <c:dPt>
            <c:idx val="22"/>
            <c:invertIfNegative val="0"/>
            <c:bubble3D val="0"/>
            <c:extLst>
              <c:ext xmlns:c16="http://schemas.microsoft.com/office/drawing/2014/chart" uri="{C3380CC4-5D6E-409C-BE32-E72D297353CC}">
                <c16:uniqueId val="{000002F6-AF71-46E2-8938-E4450DDE49B4}"/>
              </c:ext>
            </c:extLst>
          </c:dPt>
          <c:dPt>
            <c:idx val="23"/>
            <c:invertIfNegative val="0"/>
            <c:bubble3D val="0"/>
            <c:extLst>
              <c:ext xmlns:c16="http://schemas.microsoft.com/office/drawing/2014/chart" uri="{C3380CC4-5D6E-409C-BE32-E72D297353CC}">
                <c16:uniqueId val="{000002F8-AF71-46E2-8938-E4450DDE49B4}"/>
              </c:ext>
            </c:extLst>
          </c:dPt>
          <c:dPt>
            <c:idx val="24"/>
            <c:invertIfNegative val="0"/>
            <c:bubble3D val="0"/>
            <c:extLst>
              <c:ext xmlns:c16="http://schemas.microsoft.com/office/drawing/2014/chart" uri="{C3380CC4-5D6E-409C-BE32-E72D297353CC}">
                <c16:uniqueId val="{000002FA-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Data'!$C$11:$X$11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126</c:v>
                </c:pt>
                <c:pt idx="18">
                  <c:v>126</c:v>
                </c:pt>
                <c:pt idx="19">
                  <c:v>126</c:v>
                </c:pt>
                <c:pt idx="20">
                  <c:v>126</c:v>
                </c:pt>
                <c:pt idx="21">
                  <c:v>126</c:v>
                </c:pt>
              </c:numCache>
            </c:numRef>
          </c:val>
          <c:extLst>
            <c:ext xmlns:c16="http://schemas.microsoft.com/office/drawing/2014/chart" uri="{C3380CC4-5D6E-409C-BE32-E72D297353CC}">
              <c16:uniqueId val="{000002FB-AF71-46E2-8938-E4450DDE49B4}"/>
            </c:ext>
          </c:extLst>
        </c:ser>
        <c:ser>
          <c:idx val="6"/>
          <c:order val="7"/>
          <c:tx>
            <c:strRef>
              <c:f>'NEMInstalledCapacity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FE-AF71-46E2-8938-E4450DDE49B4}"/>
              </c:ext>
            </c:extLst>
          </c:dPt>
          <c:dPt>
            <c:idx val="1"/>
            <c:invertIfNegative val="0"/>
            <c:bubble3D val="0"/>
            <c:extLst>
              <c:ext xmlns:c16="http://schemas.microsoft.com/office/drawing/2014/chart" uri="{C3380CC4-5D6E-409C-BE32-E72D297353CC}">
                <c16:uniqueId val="{00000300-AF71-46E2-8938-E4450DDE49B4}"/>
              </c:ext>
            </c:extLst>
          </c:dPt>
          <c:dPt>
            <c:idx val="2"/>
            <c:invertIfNegative val="0"/>
            <c:bubble3D val="0"/>
            <c:extLst>
              <c:ext xmlns:c16="http://schemas.microsoft.com/office/drawing/2014/chart" uri="{C3380CC4-5D6E-409C-BE32-E72D297353CC}">
                <c16:uniqueId val="{00000302-AF71-46E2-8938-E4450DDE49B4}"/>
              </c:ext>
            </c:extLst>
          </c:dPt>
          <c:dPt>
            <c:idx val="3"/>
            <c:invertIfNegative val="0"/>
            <c:bubble3D val="0"/>
            <c:extLst>
              <c:ext xmlns:c16="http://schemas.microsoft.com/office/drawing/2014/chart" uri="{C3380CC4-5D6E-409C-BE32-E72D297353CC}">
                <c16:uniqueId val="{00000304-AF71-46E2-8938-E4450DDE49B4}"/>
              </c:ext>
            </c:extLst>
          </c:dPt>
          <c:dPt>
            <c:idx val="4"/>
            <c:invertIfNegative val="0"/>
            <c:bubble3D val="0"/>
            <c:extLst>
              <c:ext xmlns:c16="http://schemas.microsoft.com/office/drawing/2014/chart" uri="{C3380CC4-5D6E-409C-BE32-E72D297353CC}">
                <c16:uniqueId val="{00000306-AF71-46E2-8938-E4450DDE49B4}"/>
              </c:ext>
            </c:extLst>
          </c:dPt>
          <c:dPt>
            <c:idx val="5"/>
            <c:invertIfNegative val="0"/>
            <c:bubble3D val="0"/>
            <c:extLst>
              <c:ext xmlns:c16="http://schemas.microsoft.com/office/drawing/2014/chart" uri="{C3380CC4-5D6E-409C-BE32-E72D297353CC}">
                <c16:uniqueId val="{00000308-AF71-46E2-8938-E4450DDE49B4}"/>
              </c:ext>
            </c:extLst>
          </c:dPt>
          <c:dPt>
            <c:idx val="6"/>
            <c:invertIfNegative val="0"/>
            <c:bubble3D val="0"/>
            <c:extLst>
              <c:ext xmlns:c16="http://schemas.microsoft.com/office/drawing/2014/chart" uri="{C3380CC4-5D6E-409C-BE32-E72D297353CC}">
                <c16:uniqueId val="{0000030A-AF71-46E2-8938-E4450DDE49B4}"/>
              </c:ext>
            </c:extLst>
          </c:dPt>
          <c:dPt>
            <c:idx val="7"/>
            <c:invertIfNegative val="0"/>
            <c:bubble3D val="0"/>
            <c:extLst>
              <c:ext xmlns:c16="http://schemas.microsoft.com/office/drawing/2014/chart" uri="{C3380CC4-5D6E-409C-BE32-E72D297353CC}">
                <c16:uniqueId val="{0000030C-AF71-46E2-8938-E4450DDE49B4}"/>
              </c:ext>
            </c:extLst>
          </c:dPt>
          <c:dPt>
            <c:idx val="8"/>
            <c:invertIfNegative val="0"/>
            <c:bubble3D val="0"/>
            <c:extLst>
              <c:ext xmlns:c16="http://schemas.microsoft.com/office/drawing/2014/chart" uri="{C3380CC4-5D6E-409C-BE32-E72D297353CC}">
                <c16:uniqueId val="{0000030E-AF71-46E2-8938-E4450DDE49B4}"/>
              </c:ext>
            </c:extLst>
          </c:dPt>
          <c:dPt>
            <c:idx val="9"/>
            <c:invertIfNegative val="0"/>
            <c:bubble3D val="0"/>
            <c:extLst>
              <c:ext xmlns:c16="http://schemas.microsoft.com/office/drawing/2014/chart" uri="{C3380CC4-5D6E-409C-BE32-E72D297353CC}">
                <c16:uniqueId val="{00000310-AF71-46E2-8938-E4450DDE49B4}"/>
              </c:ext>
            </c:extLst>
          </c:dPt>
          <c:dPt>
            <c:idx val="10"/>
            <c:invertIfNegative val="0"/>
            <c:bubble3D val="0"/>
            <c:extLst>
              <c:ext xmlns:c16="http://schemas.microsoft.com/office/drawing/2014/chart" uri="{C3380CC4-5D6E-409C-BE32-E72D297353CC}">
                <c16:uniqueId val="{00000312-AF71-46E2-8938-E4450DDE49B4}"/>
              </c:ext>
            </c:extLst>
          </c:dPt>
          <c:dPt>
            <c:idx val="11"/>
            <c:invertIfNegative val="0"/>
            <c:bubble3D val="0"/>
            <c:extLst>
              <c:ext xmlns:c16="http://schemas.microsoft.com/office/drawing/2014/chart" uri="{C3380CC4-5D6E-409C-BE32-E72D297353CC}">
                <c16:uniqueId val="{00000314-AF71-46E2-8938-E4450DDE49B4}"/>
              </c:ext>
            </c:extLst>
          </c:dPt>
          <c:dPt>
            <c:idx val="12"/>
            <c:invertIfNegative val="0"/>
            <c:bubble3D val="0"/>
            <c:extLst>
              <c:ext xmlns:c16="http://schemas.microsoft.com/office/drawing/2014/chart" uri="{C3380CC4-5D6E-409C-BE32-E72D297353CC}">
                <c16:uniqueId val="{00000316-AF71-46E2-8938-E4450DDE49B4}"/>
              </c:ext>
            </c:extLst>
          </c:dPt>
          <c:dPt>
            <c:idx val="13"/>
            <c:invertIfNegative val="0"/>
            <c:bubble3D val="0"/>
            <c:extLst>
              <c:ext xmlns:c16="http://schemas.microsoft.com/office/drawing/2014/chart" uri="{C3380CC4-5D6E-409C-BE32-E72D297353CC}">
                <c16:uniqueId val="{00000318-AF71-46E2-8938-E4450DDE49B4}"/>
              </c:ext>
            </c:extLst>
          </c:dPt>
          <c:dPt>
            <c:idx val="14"/>
            <c:invertIfNegative val="0"/>
            <c:bubble3D val="0"/>
            <c:extLst>
              <c:ext xmlns:c16="http://schemas.microsoft.com/office/drawing/2014/chart" uri="{C3380CC4-5D6E-409C-BE32-E72D297353CC}">
                <c16:uniqueId val="{0000031A-AF71-46E2-8938-E4450DDE49B4}"/>
              </c:ext>
            </c:extLst>
          </c:dPt>
          <c:dPt>
            <c:idx val="15"/>
            <c:invertIfNegative val="0"/>
            <c:bubble3D val="0"/>
            <c:extLst>
              <c:ext xmlns:c16="http://schemas.microsoft.com/office/drawing/2014/chart" uri="{C3380CC4-5D6E-409C-BE32-E72D297353CC}">
                <c16:uniqueId val="{0000031C-AF71-46E2-8938-E4450DDE49B4}"/>
              </c:ext>
            </c:extLst>
          </c:dPt>
          <c:dPt>
            <c:idx val="16"/>
            <c:invertIfNegative val="0"/>
            <c:bubble3D val="0"/>
            <c:extLst>
              <c:ext xmlns:c16="http://schemas.microsoft.com/office/drawing/2014/chart" uri="{C3380CC4-5D6E-409C-BE32-E72D297353CC}">
                <c16:uniqueId val="{0000031E-AF71-46E2-8938-E4450DDE49B4}"/>
              </c:ext>
            </c:extLst>
          </c:dPt>
          <c:dPt>
            <c:idx val="17"/>
            <c:invertIfNegative val="0"/>
            <c:bubble3D val="0"/>
            <c:extLst>
              <c:ext xmlns:c16="http://schemas.microsoft.com/office/drawing/2014/chart" uri="{C3380CC4-5D6E-409C-BE32-E72D297353CC}">
                <c16:uniqueId val="{00000320-AF71-46E2-8938-E4450DDE49B4}"/>
              </c:ext>
            </c:extLst>
          </c:dPt>
          <c:dPt>
            <c:idx val="18"/>
            <c:invertIfNegative val="0"/>
            <c:bubble3D val="0"/>
            <c:extLst>
              <c:ext xmlns:c16="http://schemas.microsoft.com/office/drawing/2014/chart" uri="{C3380CC4-5D6E-409C-BE32-E72D297353CC}">
                <c16:uniqueId val="{00000322-AF71-46E2-8938-E4450DDE49B4}"/>
              </c:ext>
            </c:extLst>
          </c:dPt>
          <c:dPt>
            <c:idx val="19"/>
            <c:invertIfNegative val="0"/>
            <c:bubble3D val="0"/>
            <c:extLst>
              <c:ext xmlns:c16="http://schemas.microsoft.com/office/drawing/2014/chart" uri="{C3380CC4-5D6E-409C-BE32-E72D297353CC}">
                <c16:uniqueId val="{00000324-AF71-46E2-8938-E4450DDE49B4}"/>
              </c:ext>
            </c:extLst>
          </c:dPt>
          <c:dPt>
            <c:idx val="20"/>
            <c:invertIfNegative val="0"/>
            <c:bubble3D val="0"/>
            <c:extLst>
              <c:ext xmlns:c16="http://schemas.microsoft.com/office/drawing/2014/chart" uri="{C3380CC4-5D6E-409C-BE32-E72D297353CC}">
                <c16:uniqueId val="{00000326-AF71-46E2-8938-E4450DDE49B4}"/>
              </c:ext>
            </c:extLst>
          </c:dPt>
          <c:dPt>
            <c:idx val="21"/>
            <c:invertIfNegative val="0"/>
            <c:bubble3D val="0"/>
            <c:extLst>
              <c:ext xmlns:c16="http://schemas.microsoft.com/office/drawing/2014/chart" uri="{C3380CC4-5D6E-409C-BE32-E72D297353CC}">
                <c16:uniqueId val="{00000328-AF71-46E2-8938-E4450DDE49B4}"/>
              </c:ext>
            </c:extLst>
          </c:dPt>
          <c:dPt>
            <c:idx val="22"/>
            <c:invertIfNegative val="0"/>
            <c:bubble3D val="0"/>
            <c:extLst>
              <c:ext xmlns:c16="http://schemas.microsoft.com/office/drawing/2014/chart" uri="{C3380CC4-5D6E-409C-BE32-E72D297353CC}">
                <c16:uniqueId val="{0000032A-AF71-46E2-8938-E4450DDE49B4}"/>
              </c:ext>
            </c:extLst>
          </c:dPt>
          <c:dPt>
            <c:idx val="23"/>
            <c:invertIfNegative val="0"/>
            <c:bubble3D val="0"/>
            <c:extLst>
              <c:ext xmlns:c16="http://schemas.microsoft.com/office/drawing/2014/chart" uri="{C3380CC4-5D6E-409C-BE32-E72D297353CC}">
                <c16:uniqueId val="{0000032C-AF71-46E2-8938-E4450DDE49B4}"/>
              </c:ext>
            </c:extLst>
          </c:dPt>
          <c:dPt>
            <c:idx val="24"/>
            <c:invertIfNegative val="0"/>
            <c:bubble3D val="0"/>
            <c:extLst>
              <c:ext xmlns:c16="http://schemas.microsoft.com/office/drawing/2014/chart" uri="{C3380CC4-5D6E-409C-BE32-E72D297353CC}">
                <c16:uniqueId val="{0000032E-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Data'!$C$9:$X$9</c:f>
              <c:numCache>
                <c:formatCode>#,##0_ ;\-#,##0\ </c:formatCode>
                <c:ptCount val="22"/>
                <c:pt idx="0">
                  <c:v>2212</c:v>
                </c:pt>
                <c:pt idx="1">
                  <c:v>2412</c:v>
                </c:pt>
                <c:pt idx="2">
                  <c:v>2412</c:v>
                </c:pt>
                <c:pt idx="3">
                  <c:v>2508</c:v>
                </c:pt>
                <c:pt idx="4">
                  <c:v>2668</c:v>
                </c:pt>
                <c:pt idx="5">
                  <c:v>3252</c:v>
                </c:pt>
                <c:pt idx="6">
                  <c:v>3412</c:v>
                </c:pt>
                <c:pt idx="7">
                  <c:v>3990</c:v>
                </c:pt>
                <c:pt idx="8">
                  <c:v>4727</c:v>
                </c:pt>
                <c:pt idx="9">
                  <c:v>5343</c:v>
                </c:pt>
                <c:pt idx="10">
                  <c:v>5849</c:v>
                </c:pt>
                <c:pt idx="11">
                  <c:v>6126</c:v>
                </c:pt>
                <c:pt idx="12">
                  <c:v>6126</c:v>
                </c:pt>
                <c:pt idx="13">
                  <c:v>6126</c:v>
                </c:pt>
                <c:pt idx="14">
                  <c:v>6126</c:v>
                </c:pt>
                <c:pt idx="15">
                  <c:v>6126</c:v>
                </c:pt>
                <c:pt idx="16">
                  <c:v>6126</c:v>
                </c:pt>
                <c:pt idx="17">
                  <c:v>7224</c:v>
                </c:pt>
                <c:pt idx="18">
                  <c:v>7424</c:v>
                </c:pt>
                <c:pt idx="19">
                  <c:v>7424</c:v>
                </c:pt>
                <c:pt idx="20">
                  <c:v>7424</c:v>
                </c:pt>
                <c:pt idx="21">
                  <c:v>7424</c:v>
                </c:pt>
              </c:numCache>
            </c:numRef>
          </c:val>
          <c:extLst>
            <c:ext xmlns:c16="http://schemas.microsoft.com/office/drawing/2014/chart" uri="{C3380CC4-5D6E-409C-BE32-E72D297353CC}">
              <c16:uniqueId val="{0000032F-AF71-46E2-8938-E4450DDE49B4}"/>
            </c:ext>
          </c:extLst>
        </c:ser>
        <c:ser>
          <c:idx val="7"/>
          <c:order val="8"/>
          <c:tx>
            <c:strRef>
              <c:f>'NEMInstalledCapacity Data'!$B$10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332-AF71-46E2-8938-E4450DDE49B4}"/>
              </c:ext>
            </c:extLst>
          </c:dPt>
          <c:dPt>
            <c:idx val="1"/>
            <c:invertIfNegative val="0"/>
            <c:bubble3D val="0"/>
            <c:extLst>
              <c:ext xmlns:c16="http://schemas.microsoft.com/office/drawing/2014/chart" uri="{C3380CC4-5D6E-409C-BE32-E72D297353CC}">
                <c16:uniqueId val="{00000334-AF71-46E2-8938-E4450DDE49B4}"/>
              </c:ext>
            </c:extLst>
          </c:dPt>
          <c:dPt>
            <c:idx val="2"/>
            <c:invertIfNegative val="0"/>
            <c:bubble3D val="0"/>
            <c:extLst>
              <c:ext xmlns:c16="http://schemas.microsoft.com/office/drawing/2014/chart" uri="{C3380CC4-5D6E-409C-BE32-E72D297353CC}">
                <c16:uniqueId val="{00000336-AF71-46E2-8938-E4450DDE49B4}"/>
              </c:ext>
            </c:extLst>
          </c:dPt>
          <c:dPt>
            <c:idx val="3"/>
            <c:invertIfNegative val="0"/>
            <c:bubble3D val="0"/>
            <c:extLst>
              <c:ext xmlns:c16="http://schemas.microsoft.com/office/drawing/2014/chart" uri="{C3380CC4-5D6E-409C-BE32-E72D297353CC}">
                <c16:uniqueId val="{00000338-AF71-46E2-8938-E4450DDE49B4}"/>
              </c:ext>
            </c:extLst>
          </c:dPt>
          <c:dPt>
            <c:idx val="4"/>
            <c:invertIfNegative val="0"/>
            <c:bubble3D val="0"/>
            <c:extLst>
              <c:ext xmlns:c16="http://schemas.microsoft.com/office/drawing/2014/chart" uri="{C3380CC4-5D6E-409C-BE32-E72D297353CC}">
                <c16:uniqueId val="{0000033A-AF71-46E2-8938-E4450DDE49B4}"/>
              </c:ext>
            </c:extLst>
          </c:dPt>
          <c:dPt>
            <c:idx val="5"/>
            <c:invertIfNegative val="0"/>
            <c:bubble3D val="0"/>
            <c:extLst>
              <c:ext xmlns:c16="http://schemas.microsoft.com/office/drawing/2014/chart" uri="{C3380CC4-5D6E-409C-BE32-E72D297353CC}">
                <c16:uniqueId val="{0000033C-AF71-46E2-8938-E4450DDE49B4}"/>
              </c:ext>
            </c:extLst>
          </c:dPt>
          <c:dPt>
            <c:idx val="6"/>
            <c:invertIfNegative val="0"/>
            <c:bubble3D val="0"/>
            <c:extLst>
              <c:ext xmlns:c16="http://schemas.microsoft.com/office/drawing/2014/chart" uri="{C3380CC4-5D6E-409C-BE32-E72D297353CC}">
                <c16:uniqueId val="{0000033E-AF71-46E2-8938-E4450DDE49B4}"/>
              </c:ext>
            </c:extLst>
          </c:dPt>
          <c:dPt>
            <c:idx val="7"/>
            <c:invertIfNegative val="0"/>
            <c:bubble3D val="0"/>
            <c:extLst>
              <c:ext xmlns:c16="http://schemas.microsoft.com/office/drawing/2014/chart" uri="{C3380CC4-5D6E-409C-BE32-E72D297353CC}">
                <c16:uniqueId val="{00000340-AF71-46E2-8938-E4450DDE49B4}"/>
              </c:ext>
            </c:extLst>
          </c:dPt>
          <c:dPt>
            <c:idx val="8"/>
            <c:invertIfNegative val="0"/>
            <c:bubble3D val="0"/>
            <c:extLst>
              <c:ext xmlns:c16="http://schemas.microsoft.com/office/drawing/2014/chart" uri="{C3380CC4-5D6E-409C-BE32-E72D297353CC}">
                <c16:uniqueId val="{00000342-AF71-46E2-8938-E4450DDE49B4}"/>
              </c:ext>
            </c:extLst>
          </c:dPt>
          <c:dPt>
            <c:idx val="9"/>
            <c:invertIfNegative val="0"/>
            <c:bubble3D val="0"/>
            <c:extLst>
              <c:ext xmlns:c16="http://schemas.microsoft.com/office/drawing/2014/chart" uri="{C3380CC4-5D6E-409C-BE32-E72D297353CC}">
                <c16:uniqueId val="{00000344-AF71-46E2-8938-E4450DDE49B4}"/>
              </c:ext>
            </c:extLst>
          </c:dPt>
          <c:dPt>
            <c:idx val="10"/>
            <c:invertIfNegative val="0"/>
            <c:bubble3D val="0"/>
            <c:extLst>
              <c:ext xmlns:c16="http://schemas.microsoft.com/office/drawing/2014/chart" uri="{C3380CC4-5D6E-409C-BE32-E72D297353CC}">
                <c16:uniqueId val="{00000346-AF71-46E2-8938-E4450DDE49B4}"/>
              </c:ext>
            </c:extLst>
          </c:dPt>
          <c:dPt>
            <c:idx val="11"/>
            <c:invertIfNegative val="0"/>
            <c:bubble3D val="0"/>
            <c:extLst>
              <c:ext xmlns:c16="http://schemas.microsoft.com/office/drawing/2014/chart" uri="{C3380CC4-5D6E-409C-BE32-E72D297353CC}">
                <c16:uniqueId val="{00000348-AF71-46E2-8938-E4450DDE49B4}"/>
              </c:ext>
            </c:extLst>
          </c:dPt>
          <c:dPt>
            <c:idx val="12"/>
            <c:invertIfNegative val="0"/>
            <c:bubble3D val="0"/>
            <c:extLst>
              <c:ext xmlns:c16="http://schemas.microsoft.com/office/drawing/2014/chart" uri="{C3380CC4-5D6E-409C-BE32-E72D297353CC}">
                <c16:uniqueId val="{0000034A-AF71-46E2-8938-E4450DDE49B4}"/>
              </c:ext>
            </c:extLst>
          </c:dPt>
          <c:dPt>
            <c:idx val="13"/>
            <c:invertIfNegative val="0"/>
            <c:bubble3D val="0"/>
            <c:extLst>
              <c:ext xmlns:c16="http://schemas.microsoft.com/office/drawing/2014/chart" uri="{C3380CC4-5D6E-409C-BE32-E72D297353CC}">
                <c16:uniqueId val="{0000034C-AF71-46E2-8938-E4450DDE49B4}"/>
              </c:ext>
            </c:extLst>
          </c:dPt>
          <c:dPt>
            <c:idx val="14"/>
            <c:invertIfNegative val="0"/>
            <c:bubble3D val="0"/>
            <c:extLst>
              <c:ext xmlns:c16="http://schemas.microsoft.com/office/drawing/2014/chart" uri="{C3380CC4-5D6E-409C-BE32-E72D297353CC}">
                <c16:uniqueId val="{0000034E-AF71-46E2-8938-E4450DDE49B4}"/>
              </c:ext>
            </c:extLst>
          </c:dPt>
          <c:dPt>
            <c:idx val="15"/>
            <c:invertIfNegative val="0"/>
            <c:bubble3D val="0"/>
            <c:extLst>
              <c:ext xmlns:c16="http://schemas.microsoft.com/office/drawing/2014/chart" uri="{C3380CC4-5D6E-409C-BE32-E72D297353CC}">
                <c16:uniqueId val="{00000350-AF71-46E2-8938-E4450DDE49B4}"/>
              </c:ext>
            </c:extLst>
          </c:dPt>
          <c:dPt>
            <c:idx val="16"/>
            <c:invertIfNegative val="0"/>
            <c:bubble3D val="0"/>
            <c:extLst>
              <c:ext xmlns:c16="http://schemas.microsoft.com/office/drawing/2014/chart" uri="{C3380CC4-5D6E-409C-BE32-E72D297353CC}">
                <c16:uniqueId val="{00000352-AF71-46E2-8938-E4450DDE49B4}"/>
              </c:ext>
            </c:extLst>
          </c:dPt>
          <c:dPt>
            <c:idx val="17"/>
            <c:invertIfNegative val="0"/>
            <c:bubble3D val="0"/>
            <c:extLst>
              <c:ext xmlns:c16="http://schemas.microsoft.com/office/drawing/2014/chart" uri="{C3380CC4-5D6E-409C-BE32-E72D297353CC}">
                <c16:uniqueId val="{00000354-AF71-46E2-8938-E4450DDE49B4}"/>
              </c:ext>
            </c:extLst>
          </c:dPt>
          <c:dPt>
            <c:idx val="18"/>
            <c:invertIfNegative val="0"/>
            <c:bubble3D val="0"/>
            <c:extLst>
              <c:ext xmlns:c16="http://schemas.microsoft.com/office/drawing/2014/chart" uri="{C3380CC4-5D6E-409C-BE32-E72D297353CC}">
                <c16:uniqueId val="{00000356-AF71-46E2-8938-E4450DDE49B4}"/>
              </c:ext>
            </c:extLst>
          </c:dPt>
          <c:dPt>
            <c:idx val="19"/>
            <c:invertIfNegative val="0"/>
            <c:bubble3D val="0"/>
            <c:extLst>
              <c:ext xmlns:c16="http://schemas.microsoft.com/office/drawing/2014/chart" uri="{C3380CC4-5D6E-409C-BE32-E72D297353CC}">
                <c16:uniqueId val="{00000358-AF71-46E2-8938-E4450DDE49B4}"/>
              </c:ext>
            </c:extLst>
          </c:dPt>
          <c:dPt>
            <c:idx val="20"/>
            <c:invertIfNegative val="0"/>
            <c:bubble3D val="0"/>
            <c:extLst>
              <c:ext xmlns:c16="http://schemas.microsoft.com/office/drawing/2014/chart" uri="{C3380CC4-5D6E-409C-BE32-E72D297353CC}">
                <c16:uniqueId val="{0000035A-AF71-46E2-8938-E4450DDE49B4}"/>
              </c:ext>
            </c:extLst>
          </c:dPt>
          <c:dPt>
            <c:idx val="21"/>
            <c:invertIfNegative val="0"/>
            <c:bubble3D val="0"/>
            <c:extLst>
              <c:ext xmlns:c16="http://schemas.microsoft.com/office/drawing/2014/chart" uri="{C3380CC4-5D6E-409C-BE32-E72D297353CC}">
                <c16:uniqueId val="{0000035C-AF71-46E2-8938-E4450DDE49B4}"/>
              </c:ext>
            </c:extLst>
          </c:dPt>
          <c:dPt>
            <c:idx val="22"/>
            <c:invertIfNegative val="0"/>
            <c:bubble3D val="0"/>
            <c:extLst>
              <c:ext xmlns:c16="http://schemas.microsoft.com/office/drawing/2014/chart" uri="{C3380CC4-5D6E-409C-BE32-E72D297353CC}">
                <c16:uniqueId val="{0000035E-AF71-46E2-8938-E4450DDE49B4}"/>
              </c:ext>
            </c:extLst>
          </c:dPt>
          <c:dPt>
            <c:idx val="23"/>
            <c:invertIfNegative val="0"/>
            <c:bubble3D val="0"/>
            <c:extLst>
              <c:ext xmlns:c16="http://schemas.microsoft.com/office/drawing/2014/chart" uri="{C3380CC4-5D6E-409C-BE32-E72D297353CC}">
                <c16:uniqueId val="{00000360-AF71-46E2-8938-E4450DDE49B4}"/>
              </c:ext>
            </c:extLst>
          </c:dPt>
          <c:dPt>
            <c:idx val="24"/>
            <c:invertIfNegative val="0"/>
            <c:bubble3D val="0"/>
            <c:extLst>
              <c:ext xmlns:c16="http://schemas.microsoft.com/office/drawing/2014/chart" uri="{C3380CC4-5D6E-409C-BE32-E72D297353CC}">
                <c16:uniqueId val="{00000362-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Data'!$C$10:$X$10</c:f>
              <c:numCache>
                <c:formatCode>#,##0_ ;\-#,##0\ </c:formatCode>
                <c:ptCount val="22"/>
                <c:pt idx="0">
                  <c:v>2681</c:v>
                </c:pt>
                <c:pt idx="1">
                  <c:v>2701</c:v>
                </c:pt>
                <c:pt idx="2">
                  <c:v>2801</c:v>
                </c:pt>
                <c:pt idx="3">
                  <c:v>2801</c:v>
                </c:pt>
                <c:pt idx="4">
                  <c:v>2801</c:v>
                </c:pt>
                <c:pt idx="5">
                  <c:v>2801</c:v>
                </c:pt>
                <c:pt idx="6">
                  <c:v>2801</c:v>
                </c:pt>
                <c:pt idx="7">
                  <c:v>2801</c:v>
                </c:pt>
                <c:pt idx="8">
                  <c:v>2801</c:v>
                </c:pt>
                <c:pt idx="9">
                  <c:v>2801</c:v>
                </c:pt>
                <c:pt idx="10">
                  <c:v>2801</c:v>
                </c:pt>
                <c:pt idx="11">
                  <c:v>2801</c:v>
                </c:pt>
                <c:pt idx="12">
                  <c:v>2801</c:v>
                </c:pt>
                <c:pt idx="13">
                  <c:v>2801</c:v>
                </c:pt>
                <c:pt idx="14">
                  <c:v>2801</c:v>
                </c:pt>
                <c:pt idx="15">
                  <c:v>2801</c:v>
                </c:pt>
                <c:pt idx="16">
                  <c:v>2801</c:v>
                </c:pt>
                <c:pt idx="17">
                  <c:v>4836</c:v>
                </c:pt>
                <c:pt idx="18">
                  <c:v>5498</c:v>
                </c:pt>
                <c:pt idx="19">
                  <c:v>5498</c:v>
                </c:pt>
                <c:pt idx="20">
                  <c:v>5896</c:v>
                </c:pt>
                <c:pt idx="21">
                  <c:v>5896</c:v>
                </c:pt>
              </c:numCache>
            </c:numRef>
          </c:val>
          <c:extLst>
            <c:ext xmlns:c16="http://schemas.microsoft.com/office/drawing/2014/chart" uri="{C3380CC4-5D6E-409C-BE32-E72D297353CC}">
              <c16:uniqueId val="{00000363-AF71-46E2-8938-E4450DDE49B4}"/>
            </c:ext>
          </c:extLst>
        </c:ser>
        <c:ser>
          <c:idx val="10"/>
          <c:order val="9"/>
          <c:tx>
            <c:strRef>
              <c:f>'NEMInstalledCapacity Data'!$B$12</c:f>
              <c:strCache>
                <c:ptCount val="1"/>
                <c:pt idx="0">
                  <c:v>Distributed storage</c:v>
                </c:pt>
              </c:strCache>
            </c:strRef>
          </c:tx>
          <c:spPr>
            <a:solidFill>
              <a:srgbClr val="92D050"/>
            </a:solidFill>
            <a:ln>
              <a:noFill/>
            </a:ln>
            <a:effectLst/>
          </c:spPr>
          <c:invertIfNegative val="0"/>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Data'!$C$12:$X$12</c:f>
              <c:numCache>
                <c:formatCode>#,##0_ ;\-#,##0\ </c:formatCode>
                <c:ptCount val="22"/>
                <c:pt idx="0">
                  <c:v>312.26</c:v>
                </c:pt>
                <c:pt idx="1">
                  <c:v>601.14</c:v>
                </c:pt>
                <c:pt idx="2">
                  <c:v>977.37</c:v>
                </c:pt>
                <c:pt idx="3">
                  <c:v>1323.6</c:v>
                </c:pt>
                <c:pt idx="4">
                  <c:v>1656.16</c:v>
                </c:pt>
                <c:pt idx="5">
                  <c:v>1975.32</c:v>
                </c:pt>
                <c:pt idx="6">
                  <c:v>2288.36</c:v>
                </c:pt>
                <c:pt idx="7">
                  <c:v>2587.9499999999998</c:v>
                </c:pt>
                <c:pt idx="8">
                  <c:v>2881.12</c:v>
                </c:pt>
                <c:pt idx="9">
                  <c:v>3166.67</c:v>
                </c:pt>
                <c:pt idx="10">
                  <c:v>3446.18</c:v>
                </c:pt>
                <c:pt idx="11">
                  <c:v>3723.38</c:v>
                </c:pt>
                <c:pt idx="12">
                  <c:v>3980.08</c:v>
                </c:pt>
                <c:pt idx="13">
                  <c:v>4212.34</c:v>
                </c:pt>
                <c:pt idx="14">
                  <c:v>4435.8900000000003</c:v>
                </c:pt>
                <c:pt idx="15">
                  <c:v>4651.38</c:v>
                </c:pt>
                <c:pt idx="16">
                  <c:v>4860.53</c:v>
                </c:pt>
                <c:pt idx="17">
                  <c:v>5065.55</c:v>
                </c:pt>
                <c:pt idx="18">
                  <c:v>5261.95</c:v>
                </c:pt>
                <c:pt idx="19">
                  <c:v>5452.1</c:v>
                </c:pt>
                <c:pt idx="20">
                  <c:v>5592.66</c:v>
                </c:pt>
                <c:pt idx="21">
                  <c:v>5774.18</c:v>
                </c:pt>
              </c:numCache>
            </c:numRef>
          </c:val>
          <c:extLst>
            <c:ext xmlns:c16="http://schemas.microsoft.com/office/drawing/2014/chart" uri="{C3380CC4-5D6E-409C-BE32-E72D297353CC}">
              <c16:uniqueId val="{00000365-AF71-46E2-8938-E4450DDE49B4}"/>
            </c:ext>
          </c:extLst>
        </c:ser>
        <c:ser>
          <c:idx val="8"/>
          <c:order val="10"/>
          <c:tx>
            <c:strRef>
              <c:f>'NEMInstalledCapacity Data'!$B$13</c:f>
              <c:strCache>
                <c:ptCount val="1"/>
                <c:pt idx="0">
                  <c:v>Rooftop PV</c:v>
                </c:pt>
              </c:strCache>
            </c:strRef>
          </c:tx>
          <c:spPr>
            <a:solidFill>
              <a:srgbClr val="FFE7A7"/>
            </a:solidFill>
            <a:ln>
              <a:noFill/>
            </a:ln>
            <a:effectLst/>
          </c:spPr>
          <c:invertIfNegative val="0"/>
          <c:dPt>
            <c:idx val="0"/>
            <c:invertIfNegative val="0"/>
            <c:bubble3D val="0"/>
            <c:extLst>
              <c:ext xmlns:c16="http://schemas.microsoft.com/office/drawing/2014/chart" uri="{C3380CC4-5D6E-409C-BE32-E72D297353CC}">
                <c16:uniqueId val="{00000368-AF71-46E2-8938-E4450DDE49B4}"/>
              </c:ext>
            </c:extLst>
          </c:dPt>
          <c:dPt>
            <c:idx val="1"/>
            <c:invertIfNegative val="0"/>
            <c:bubble3D val="0"/>
            <c:extLst>
              <c:ext xmlns:c16="http://schemas.microsoft.com/office/drawing/2014/chart" uri="{C3380CC4-5D6E-409C-BE32-E72D297353CC}">
                <c16:uniqueId val="{0000036A-AF71-46E2-8938-E4450DDE49B4}"/>
              </c:ext>
            </c:extLst>
          </c:dPt>
          <c:dPt>
            <c:idx val="2"/>
            <c:invertIfNegative val="0"/>
            <c:bubble3D val="0"/>
            <c:extLst>
              <c:ext xmlns:c16="http://schemas.microsoft.com/office/drawing/2014/chart" uri="{C3380CC4-5D6E-409C-BE32-E72D297353CC}">
                <c16:uniqueId val="{0000036C-AF71-46E2-8938-E4450DDE49B4}"/>
              </c:ext>
            </c:extLst>
          </c:dPt>
          <c:dPt>
            <c:idx val="3"/>
            <c:invertIfNegative val="0"/>
            <c:bubble3D val="0"/>
            <c:extLst>
              <c:ext xmlns:c16="http://schemas.microsoft.com/office/drawing/2014/chart" uri="{C3380CC4-5D6E-409C-BE32-E72D297353CC}">
                <c16:uniqueId val="{0000036E-AF71-46E2-8938-E4450DDE49B4}"/>
              </c:ext>
            </c:extLst>
          </c:dPt>
          <c:dPt>
            <c:idx val="4"/>
            <c:invertIfNegative val="0"/>
            <c:bubble3D val="0"/>
            <c:extLst>
              <c:ext xmlns:c16="http://schemas.microsoft.com/office/drawing/2014/chart" uri="{C3380CC4-5D6E-409C-BE32-E72D297353CC}">
                <c16:uniqueId val="{00000370-AF71-46E2-8938-E4450DDE49B4}"/>
              </c:ext>
            </c:extLst>
          </c:dPt>
          <c:dPt>
            <c:idx val="5"/>
            <c:invertIfNegative val="0"/>
            <c:bubble3D val="0"/>
            <c:extLst>
              <c:ext xmlns:c16="http://schemas.microsoft.com/office/drawing/2014/chart" uri="{C3380CC4-5D6E-409C-BE32-E72D297353CC}">
                <c16:uniqueId val="{00000372-AF71-46E2-8938-E4450DDE49B4}"/>
              </c:ext>
            </c:extLst>
          </c:dPt>
          <c:dPt>
            <c:idx val="6"/>
            <c:invertIfNegative val="0"/>
            <c:bubble3D val="0"/>
            <c:extLst>
              <c:ext xmlns:c16="http://schemas.microsoft.com/office/drawing/2014/chart" uri="{C3380CC4-5D6E-409C-BE32-E72D297353CC}">
                <c16:uniqueId val="{00000374-AF71-46E2-8938-E4450DDE49B4}"/>
              </c:ext>
            </c:extLst>
          </c:dPt>
          <c:dPt>
            <c:idx val="7"/>
            <c:invertIfNegative val="0"/>
            <c:bubble3D val="0"/>
            <c:extLst>
              <c:ext xmlns:c16="http://schemas.microsoft.com/office/drawing/2014/chart" uri="{C3380CC4-5D6E-409C-BE32-E72D297353CC}">
                <c16:uniqueId val="{00000376-AF71-46E2-8938-E4450DDE49B4}"/>
              </c:ext>
            </c:extLst>
          </c:dPt>
          <c:dPt>
            <c:idx val="8"/>
            <c:invertIfNegative val="0"/>
            <c:bubble3D val="0"/>
            <c:extLst>
              <c:ext xmlns:c16="http://schemas.microsoft.com/office/drawing/2014/chart" uri="{C3380CC4-5D6E-409C-BE32-E72D297353CC}">
                <c16:uniqueId val="{00000378-AF71-46E2-8938-E4450DDE49B4}"/>
              </c:ext>
            </c:extLst>
          </c:dPt>
          <c:dPt>
            <c:idx val="9"/>
            <c:invertIfNegative val="0"/>
            <c:bubble3D val="0"/>
            <c:extLst>
              <c:ext xmlns:c16="http://schemas.microsoft.com/office/drawing/2014/chart" uri="{C3380CC4-5D6E-409C-BE32-E72D297353CC}">
                <c16:uniqueId val="{0000037A-AF71-46E2-8938-E4450DDE49B4}"/>
              </c:ext>
            </c:extLst>
          </c:dPt>
          <c:dPt>
            <c:idx val="10"/>
            <c:invertIfNegative val="0"/>
            <c:bubble3D val="0"/>
            <c:extLst>
              <c:ext xmlns:c16="http://schemas.microsoft.com/office/drawing/2014/chart" uri="{C3380CC4-5D6E-409C-BE32-E72D297353CC}">
                <c16:uniqueId val="{0000037C-AF71-46E2-8938-E4450DDE49B4}"/>
              </c:ext>
            </c:extLst>
          </c:dPt>
          <c:dPt>
            <c:idx val="11"/>
            <c:invertIfNegative val="0"/>
            <c:bubble3D val="0"/>
            <c:extLst>
              <c:ext xmlns:c16="http://schemas.microsoft.com/office/drawing/2014/chart" uri="{C3380CC4-5D6E-409C-BE32-E72D297353CC}">
                <c16:uniqueId val="{0000037E-AF71-46E2-8938-E4450DDE49B4}"/>
              </c:ext>
            </c:extLst>
          </c:dPt>
          <c:dPt>
            <c:idx val="12"/>
            <c:invertIfNegative val="0"/>
            <c:bubble3D val="0"/>
            <c:extLst>
              <c:ext xmlns:c16="http://schemas.microsoft.com/office/drawing/2014/chart" uri="{C3380CC4-5D6E-409C-BE32-E72D297353CC}">
                <c16:uniqueId val="{00000380-AF71-46E2-8938-E4450DDE49B4}"/>
              </c:ext>
            </c:extLst>
          </c:dPt>
          <c:dPt>
            <c:idx val="13"/>
            <c:invertIfNegative val="0"/>
            <c:bubble3D val="0"/>
            <c:extLst>
              <c:ext xmlns:c16="http://schemas.microsoft.com/office/drawing/2014/chart" uri="{C3380CC4-5D6E-409C-BE32-E72D297353CC}">
                <c16:uniqueId val="{00000382-AF71-46E2-8938-E4450DDE49B4}"/>
              </c:ext>
            </c:extLst>
          </c:dPt>
          <c:dPt>
            <c:idx val="14"/>
            <c:invertIfNegative val="0"/>
            <c:bubble3D val="0"/>
            <c:extLst>
              <c:ext xmlns:c16="http://schemas.microsoft.com/office/drawing/2014/chart" uri="{C3380CC4-5D6E-409C-BE32-E72D297353CC}">
                <c16:uniqueId val="{00000384-AF71-46E2-8938-E4450DDE49B4}"/>
              </c:ext>
            </c:extLst>
          </c:dPt>
          <c:dPt>
            <c:idx val="15"/>
            <c:invertIfNegative val="0"/>
            <c:bubble3D val="0"/>
            <c:extLst>
              <c:ext xmlns:c16="http://schemas.microsoft.com/office/drawing/2014/chart" uri="{C3380CC4-5D6E-409C-BE32-E72D297353CC}">
                <c16:uniqueId val="{00000386-AF71-46E2-8938-E4450DDE49B4}"/>
              </c:ext>
            </c:extLst>
          </c:dPt>
          <c:dPt>
            <c:idx val="16"/>
            <c:invertIfNegative val="0"/>
            <c:bubble3D val="0"/>
            <c:extLst>
              <c:ext xmlns:c16="http://schemas.microsoft.com/office/drawing/2014/chart" uri="{C3380CC4-5D6E-409C-BE32-E72D297353CC}">
                <c16:uniqueId val="{00000388-AF71-46E2-8938-E4450DDE49B4}"/>
              </c:ext>
            </c:extLst>
          </c:dPt>
          <c:dPt>
            <c:idx val="17"/>
            <c:invertIfNegative val="0"/>
            <c:bubble3D val="0"/>
            <c:extLst>
              <c:ext xmlns:c16="http://schemas.microsoft.com/office/drawing/2014/chart" uri="{C3380CC4-5D6E-409C-BE32-E72D297353CC}">
                <c16:uniqueId val="{0000038A-AF71-46E2-8938-E4450DDE49B4}"/>
              </c:ext>
            </c:extLst>
          </c:dPt>
          <c:dPt>
            <c:idx val="18"/>
            <c:invertIfNegative val="0"/>
            <c:bubble3D val="0"/>
            <c:extLst>
              <c:ext xmlns:c16="http://schemas.microsoft.com/office/drawing/2014/chart" uri="{C3380CC4-5D6E-409C-BE32-E72D297353CC}">
                <c16:uniqueId val="{0000038C-AF71-46E2-8938-E4450DDE49B4}"/>
              </c:ext>
            </c:extLst>
          </c:dPt>
          <c:dPt>
            <c:idx val="19"/>
            <c:invertIfNegative val="0"/>
            <c:bubble3D val="0"/>
            <c:extLst>
              <c:ext xmlns:c16="http://schemas.microsoft.com/office/drawing/2014/chart" uri="{C3380CC4-5D6E-409C-BE32-E72D297353CC}">
                <c16:uniqueId val="{0000038E-AF71-46E2-8938-E4450DDE49B4}"/>
              </c:ext>
            </c:extLst>
          </c:dPt>
          <c:dPt>
            <c:idx val="20"/>
            <c:invertIfNegative val="0"/>
            <c:bubble3D val="0"/>
            <c:extLst>
              <c:ext xmlns:c16="http://schemas.microsoft.com/office/drawing/2014/chart" uri="{C3380CC4-5D6E-409C-BE32-E72D297353CC}">
                <c16:uniqueId val="{00000390-AF71-46E2-8938-E4450DDE49B4}"/>
              </c:ext>
            </c:extLst>
          </c:dPt>
          <c:dPt>
            <c:idx val="21"/>
            <c:invertIfNegative val="0"/>
            <c:bubble3D val="0"/>
            <c:extLst>
              <c:ext xmlns:c16="http://schemas.microsoft.com/office/drawing/2014/chart" uri="{C3380CC4-5D6E-409C-BE32-E72D297353CC}">
                <c16:uniqueId val="{00000392-AF71-46E2-8938-E4450DDE49B4}"/>
              </c:ext>
            </c:extLst>
          </c:dPt>
          <c:dPt>
            <c:idx val="22"/>
            <c:invertIfNegative val="0"/>
            <c:bubble3D val="0"/>
            <c:extLst>
              <c:ext xmlns:c16="http://schemas.microsoft.com/office/drawing/2014/chart" uri="{C3380CC4-5D6E-409C-BE32-E72D297353CC}">
                <c16:uniqueId val="{00000394-AF71-46E2-8938-E4450DDE49B4}"/>
              </c:ext>
            </c:extLst>
          </c:dPt>
          <c:dPt>
            <c:idx val="23"/>
            <c:invertIfNegative val="0"/>
            <c:bubble3D val="0"/>
            <c:extLst>
              <c:ext xmlns:c16="http://schemas.microsoft.com/office/drawing/2014/chart" uri="{C3380CC4-5D6E-409C-BE32-E72D297353CC}">
                <c16:uniqueId val="{00000396-AF71-46E2-8938-E4450DDE49B4}"/>
              </c:ext>
            </c:extLst>
          </c:dPt>
          <c:dPt>
            <c:idx val="24"/>
            <c:invertIfNegative val="0"/>
            <c:bubble3D val="0"/>
            <c:extLst>
              <c:ext xmlns:c16="http://schemas.microsoft.com/office/drawing/2014/chart" uri="{C3380CC4-5D6E-409C-BE32-E72D297353CC}">
                <c16:uniqueId val="{00000398-AF71-46E2-8938-E4450DDE49B4}"/>
              </c:ext>
            </c:extLst>
          </c:dPt>
          <c:cat>
            <c:strRef>
              <c:f>'NEMInstalledCapacity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'NEMInstalledCapacity Data'!$C$13:$X$13</c:f>
              <c:numCache>
                <c:formatCode>#,##0_ ;\-#,##0\ </c:formatCode>
                <c:ptCount val="22"/>
                <c:pt idx="0">
                  <c:v>7324</c:v>
                </c:pt>
                <c:pt idx="1">
                  <c:v>8264</c:v>
                </c:pt>
                <c:pt idx="2">
                  <c:v>9186</c:v>
                </c:pt>
                <c:pt idx="3">
                  <c:v>10082</c:v>
                </c:pt>
                <c:pt idx="4">
                  <c:v>10958</c:v>
                </c:pt>
                <c:pt idx="5">
                  <c:v>11817</c:v>
                </c:pt>
                <c:pt idx="6">
                  <c:v>12651</c:v>
                </c:pt>
                <c:pt idx="7">
                  <c:v>13459</c:v>
                </c:pt>
                <c:pt idx="8">
                  <c:v>14248</c:v>
                </c:pt>
                <c:pt idx="9">
                  <c:v>15010</c:v>
                </c:pt>
                <c:pt idx="10">
                  <c:v>15739</c:v>
                </c:pt>
                <c:pt idx="11">
                  <c:v>16439</c:v>
                </c:pt>
                <c:pt idx="12">
                  <c:v>17092</c:v>
                </c:pt>
                <c:pt idx="13">
                  <c:v>17701</c:v>
                </c:pt>
                <c:pt idx="14">
                  <c:v>18245</c:v>
                </c:pt>
                <c:pt idx="15">
                  <c:v>18744</c:v>
                </c:pt>
                <c:pt idx="16">
                  <c:v>19214</c:v>
                </c:pt>
                <c:pt idx="17">
                  <c:v>19655</c:v>
                </c:pt>
                <c:pt idx="18">
                  <c:v>20058</c:v>
                </c:pt>
                <c:pt idx="19">
                  <c:v>20386</c:v>
                </c:pt>
                <c:pt idx="20">
                  <c:v>20724</c:v>
                </c:pt>
                <c:pt idx="21">
                  <c:v>21018</c:v>
                </c:pt>
              </c:numCache>
            </c:numRef>
          </c:val>
          <c:extLst>
            <c:ext xmlns:c16="http://schemas.microsoft.com/office/drawing/2014/chart" uri="{C3380CC4-5D6E-409C-BE32-E72D297353CC}">
              <c16:uniqueId val="{00000399-AF71-46E2-8938-E4450DDE49B4}"/>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9636411161955318"/>
              <c:y val="0.80159096108997518"/>
            </c:manualLayout>
          </c:layout>
          <c:overlay val="0"/>
          <c:spPr>
            <a:noFill/>
            <a:ln>
              <a:noFill/>
            </a:ln>
            <a:effectLst/>
          </c:sp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1879026354856696"/>
          <c:y val="0.85445706781823372"/>
          <c:w val="0.81068934425818839"/>
          <c:h val="0.12773471268354208"/>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82001628509222"/>
          <c:y val="3.2567640214531464E-2"/>
          <c:w val="0.83509542536485004"/>
          <c:h val="0.60776182214664809"/>
        </c:manualLayout>
      </c:layout>
      <c:barChart>
        <c:barDir val="col"/>
        <c:grouping val="stacked"/>
        <c:varyColors val="0"/>
        <c:ser>
          <c:idx val="0"/>
          <c:order val="0"/>
          <c:tx>
            <c:strRef>
              <c:f>'NEMEnergyGenerated Data'!$B$3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F5-450E-4EB1-A63A-E97654685C78}"/>
              </c:ext>
            </c:extLst>
          </c:dPt>
          <c:dPt>
            <c:idx val="1"/>
            <c:invertIfNegative val="0"/>
            <c:bubble3D val="0"/>
            <c:extLst>
              <c:ext xmlns:c16="http://schemas.microsoft.com/office/drawing/2014/chart" uri="{C3380CC4-5D6E-409C-BE32-E72D297353CC}">
                <c16:uniqueId val="{000001F6-450E-4EB1-A63A-E97654685C78}"/>
              </c:ext>
            </c:extLst>
          </c:dPt>
          <c:dPt>
            <c:idx val="2"/>
            <c:invertIfNegative val="0"/>
            <c:bubble3D val="0"/>
            <c:extLst>
              <c:ext xmlns:c16="http://schemas.microsoft.com/office/drawing/2014/chart" uri="{C3380CC4-5D6E-409C-BE32-E72D297353CC}">
                <c16:uniqueId val="{000001F7-450E-4EB1-A63A-E97654685C78}"/>
              </c:ext>
            </c:extLst>
          </c:dPt>
          <c:dPt>
            <c:idx val="3"/>
            <c:invertIfNegative val="0"/>
            <c:bubble3D val="0"/>
            <c:extLst>
              <c:ext xmlns:c16="http://schemas.microsoft.com/office/drawing/2014/chart" uri="{C3380CC4-5D6E-409C-BE32-E72D297353CC}">
                <c16:uniqueId val="{000001F8-450E-4EB1-A63A-E97654685C78}"/>
              </c:ext>
            </c:extLst>
          </c:dPt>
          <c:dPt>
            <c:idx val="4"/>
            <c:invertIfNegative val="0"/>
            <c:bubble3D val="0"/>
            <c:extLst>
              <c:ext xmlns:c16="http://schemas.microsoft.com/office/drawing/2014/chart" uri="{C3380CC4-5D6E-409C-BE32-E72D297353CC}">
                <c16:uniqueId val="{000001F9-450E-4EB1-A63A-E97654685C78}"/>
              </c:ext>
            </c:extLst>
          </c:dPt>
          <c:dPt>
            <c:idx val="5"/>
            <c:invertIfNegative val="0"/>
            <c:bubble3D val="0"/>
            <c:extLst>
              <c:ext xmlns:c16="http://schemas.microsoft.com/office/drawing/2014/chart" uri="{C3380CC4-5D6E-409C-BE32-E72D297353CC}">
                <c16:uniqueId val="{000001FA-450E-4EB1-A63A-E97654685C78}"/>
              </c:ext>
            </c:extLst>
          </c:dPt>
          <c:dPt>
            <c:idx val="6"/>
            <c:invertIfNegative val="0"/>
            <c:bubble3D val="0"/>
            <c:extLst>
              <c:ext xmlns:c16="http://schemas.microsoft.com/office/drawing/2014/chart" uri="{C3380CC4-5D6E-409C-BE32-E72D297353CC}">
                <c16:uniqueId val="{000001FB-450E-4EB1-A63A-E97654685C78}"/>
              </c:ext>
            </c:extLst>
          </c:dPt>
          <c:dPt>
            <c:idx val="7"/>
            <c:invertIfNegative val="0"/>
            <c:bubble3D val="0"/>
            <c:extLst>
              <c:ext xmlns:c16="http://schemas.microsoft.com/office/drawing/2014/chart" uri="{C3380CC4-5D6E-409C-BE32-E72D297353CC}">
                <c16:uniqueId val="{000001FC-450E-4EB1-A63A-E97654685C78}"/>
              </c:ext>
            </c:extLst>
          </c:dPt>
          <c:dPt>
            <c:idx val="8"/>
            <c:invertIfNegative val="0"/>
            <c:bubble3D val="0"/>
            <c:extLst>
              <c:ext xmlns:c16="http://schemas.microsoft.com/office/drawing/2014/chart" uri="{C3380CC4-5D6E-409C-BE32-E72D297353CC}">
                <c16:uniqueId val="{000001FD-450E-4EB1-A63A-E97654685C78}"/>
              </c:ext>
            </c:extLst>
          </c:dPt>
          <c:dPt>
            <c:idx val="9"/>
            <c:invertIfNegative val="0"/>
            <c:bubble3D val="0"/>
            <c:extLst>
              <c:ext xmlns:c16="http://schemas.microsoft.com/office/drawing/2014/chart" uri="{C3380CC4-5D6E-409C-BE32-E72D297353CC}">
                <c16:uniqueId val="{000001FE-450E-4EB1-A63A-E97654685C78}"/>
              </c:ext>
            </c:extLst>
          </c:dPt>
          <c:dPt>
            <c:idx val="10"/>
            <c:invertIfNegative val="0"/>
            <c:bubble3D val="0"/>
            <c:extLst>
              <c:ext xmlns:c16="http://schemas.microsoft.com/office/drawing/2014/chart" uri="{C3380CC4-5D6E-409C-BE32-E72D297353CC}">
                <c16:uniqueId val="{000001FF-450E-4EB1-A63A-E97654685C78}"/>
              </c:ext>
            </c:extLst>
          </c:dPt>
          <c:dPt>
            <c:idx val="11"/>
            <c:invertIfNegative val="0"/>
            <c:bubble3D val="0"/>
            <c:extLst>
              <c:ext xmlns:c16="http://schemas.microsoft.com/office/drawing/2014/chart" uri="{C3380CC4-5D6E-409C-BE32-E72D297353CC}">
                <c16:uniqueId val="{00000200-450E-4EB1-A63A-E97654685C78}"/>
              </c:ext>
            </c:extLst>
          </c:dPt>
          <c:dPt>
            <c:idx val="12"/>
            <c:invertIfNegative val="0"/>
            <c:bubble3D val="0"/>
            <c:extLst>
              <c:ext xmlns:c16="http://schemas.microsoft.com/office/drawing/2014/chart" uri="{C3380CC4-5D6E-409C-BE32-E72D297353CC}">
                <c16:uniqueId val="{00000201-450E-4EB1-A63A-E97654685C78}"/>
              </c:ext>
            </c:extLst>
          </c:dPt>
          <c:dPt>
            <c:idx val="13"/>
            <c:invertIfNegative val="0"/>
            <c:bubble3D val="0"/>
            <c:extLst>
              <c:ext xmlns:c16="http://schemas.microsoft.com/office/drawing/2014/chart" uri="{C3380CC4-5D6E-409C-BE32-E72D297353CC}">
                <c16:uniqueId val="{00000202-450E-4EB1-A63A-E97654685C78}"/>
              </c:ext>
            </c:extLst>
          </c:dPt>
          <c:dPt>
            <c:idx val="14"/>
            <c:invertIfNegative val="0"/>
            <c:bubble3D val="0"/>
            <c:extLst>
              <c:ext xmlns:c16="http://schemas.microsoft.com/office/drawing/2014/chart" uri="{C3380CC4-5D6E-409C-BE32-E72D297353CC}">
                <c16:uniqueId val="{00000203-450E-4EB1-A63A-E97654685C78}"/>
              </c:ext>
            </c:extLst>
          </c:dPt>
          <c:dPt>
            <c:idx val="15"/>
            <c:invertIfNegative val="0"/>
            <c:bubble3D val="0"/>
            <c:extLst>
              <c:ext xmlns:c16="http://schemas.microsoft.com/office/drawing/2014/chart" uri="{C3380CC4-5D6E-409C-BE32-E72D297353CC}">
                <c16:uniqueId val="{00000204-450E-4EB1-A63A-E97654685C78}"/>
              </c:ext>
            </c:extLst>
          </c:dPt>
          <c:dPt>
            <c:idx val="16"/>
            <c:invertIfNegative val="0"/>
            <c:bubble3D val="0"/>
            <c:extLst>
              <c:ext xmlns:c16="http://schemas.microsoft.com/office/drawing/2014/chart" uri="{C3380CC4-5D6E-409C-BE32-E72D297353CC}">
                <c16:uniqueId val="{00000205-450E-4EB1-A63A-E97654685C78}"/>
              </c:ext>
            </c:extLst>
          </c:dPt>
          <c:dPt>
            <c:idx val="17"/>
            <c:invertIfNegative val="0"/>
            <c:bubble3D val="0"/>
            <c:extLst>
              <c:ext xmlns:c16="http://schemas.microsoft.com/office/drawing/2014/chart" uri="{C3380CC4-5D6E-409C-BE32-E72D297353CC}">
                <c16:uniqueId val="{00000206-450E-4EB1-A63A-E97654685C78}"/>
              </c:ext>
            </c:extLst>
          </c:dPt>
          <c:dPt>
            <c:idx val="18"/>
            <c:invertIfNegative val="0"/>
            <c:bubble3D val="0"/>
            <c:extLst>
              <c:ext xmlns:c16="http://schemas.microsoft.com/office/drawing/2014/chart" uri="{C3380CC4-5D6E-409C-BE32-E72D297353CC}">
                <c16:uniqueId val="{00000207-450E-4EB1-A63A-E97654685C78}"/>
              </c:ext>
            </c:extLst>
          </c:dPt>
          <c:dPt>
            <c:idx val="19"/>
            <c:invertIfNegative val="0"/>
            <c:bubble3D val="0"/>
            <c:extLst>
              <c:ext xmlns:c16="http://schemas.microsoft.com/office/drawing/2014/chart" uri="{C3380CC4-5D6E-409C-BE32-E72D297353CC}">
                <c16:uniqueId val="{00000208-450E-4EB1-A63A-E97654685C78}"/>
              </c:ext>
            </c:extLst>
          </c:dPt>
          <c:dPt>
            <c:idx val="20"/>
            <c:invertIfNegative val="0"/>
            <c:bubble3D val="0"/>
            <c:extLst>
              <c:ext xmlns:c16="http://schemas.microsoft.com/office/drawing/2014/chart" uri="{C3380CC4-5D6E-409C-BE32-E72D297353CC}">
                <c16:uniqueId val="{00000209-450E-4EB1-A63A-E97654685C78}"/>
              </c:ext>
            </c:extLst>
          </c:dPt>
          <c:dPt>
            <c:idx val="21"/>
            <c:invertIfNegative val="0"/>
            <c:bubble3D val="0"/>
            <c:extLst>
              <c:ext xmlns:c16="http://schemas.microsoft.com/office/drawing/2014/chart" uri="{C3380CC4-5D6E-409C-BE32-E72D297353CC}">
                <c16:uniqueId val="{0000020A-450E-4EB1-A63A-E97654685C78}"/>
              </c:ext>
            </c:extLst>
          </c:dPt>
          <c:dPt>
            <c:idx val="22"/>
            <c:invertIfNegative val="0"/>
            <c:bubble3D val="0"/>
            <c:extLst>
              <c:ext xmlns:c16="http://schemas.microsoft.com/office/drawing/2014/chart" uri="{C3380CC4-5D6E-409C-BE32-E72D297353CC}">
                <c16:uniqueId val="{0000020B-450E-4EB1-A63A-E97654685C78}"/>
              </c:ext>
            </c:extLst>
          </c:dPt>
          <c:dPt>
            <c:idx val="23"/>
            <c:invertIfNegative val="0"/>
            <c:bubble3D val="0"/>
            <c:extLst>
              <c:ext xmlns:c16="http://schemas.microsoft.com/office/drawing/2014/chart" uri="{C3380CC4-5D6E-409C-BE32-E72D297353CC}">
                <c16:uniqueId val="{0000020C-450E-4EB1-A63A-E97654685C78}"/>
              </c:ext>
            </c:extLst>
          </c:dPt>
          <c:dPt>
            <c:idx val="24"/>
            <c:invertIfNegative val="0"/>
            <c:bubble3D val="0"/>
            <c:extLst>
              <c:ext xmlns:c16="http://schemas.microsoft.com/office/drawing/2014/chart" uri="{C3380CC4-5D6E-409C-BE32-E72D297353CC}">
                <c16:uniqueId val="{0000020D-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Data'!$C$3:$X$3</c:f>
              <c:numCache>
                <c:formatCode>#,##0_ ;\-#,##0\ </c:formatCode>
                <c:ptCount val="22"/>
                <c:pt idx="0">
                  <c:v>99146</c:v>
                </c:pt>
                <c:pt idx="1">
                  <c:v>88464</c:v>
                </c:pt>
                <c:pt idx="2">
                  <c:v>85544</c:v>
                </c:pt>
                <c:pt idx="3">
                  <c:v>86581</c:v>
                </c:pt>
                <c:pt idx="4">
                  <c:v>85982</c:v>
                </c:pt>
                <c:pt idx="5">
                  <c:v>85337</c:v>
                </c:pt>
                <c:pt idx="6">
                  <c:v>81780</c:v>
                </c:pt>
                <c:pt idx="7">
                  <c:v>79777</c:v>
                </c:pt>
                <c:pt idx="8">
                  <c:v>77581</c:v>
                </c:pt>
                <c:pt idx="9">
                  <c:v>74443</c:v>
                </c:pt>
                <c:pt idx="10">
                  <c:v>70201</c:v>
                </c:pt>
                <c:pt idx="11">
                  <c:v>63939</c:v>
                </c:pt>
                <c:pt idx="12">
                  <c:v>60791</c:v>
                </c:pt>
                <c:pt idx="13">
                  <c:v>56985</c:v>
                </c:pt>
                <c:pt idx="14">
                  <c:v>58982</c:v>
                </c:pt>
                <c:pt idx="15">
                  <c:v>56171</c:v>
                </c:pt>
                <c:pt idx="16">
                  <c:v>48919</c:v>
                </c:pt>
                <c:pt idx="17">
                  <c:v>36655</c:v>
                </c:pt>
                <c:pt idx="18">
                  <c:v>29549</c:v>
                </c:pt>
                <c:pt idx="19">
                  <c:v>27145</c:v>
                </c:pt>
                <c:pt idx="20">
                  <c:v>25480</c:v>
                </c:pt>
                <c:pt idx="21">
                  <c:v>25399</c:v>
                </c:pt>
              </c:numCache>
            </c:numRef>
          </c:val>
          <c:extLst>
            <c:ext xmlns:c16="http://schemas.microsoft.com/office/drawing/2014/chart" uri="{C3380CC4-5D6E-409C-BE32-E72D297353CC}">
              <c16:uniqueId val="{0000020E-450E-4EB1-A63A-E97654685C78}"/>
            </c:ext>
          </c:extLst>
        </c:ser>
        <c:ser>
          <c:idx val="1"/>
          <c:order val="1"/>
          <c:tx>
            <c:strRef>
              <c:f>'NEMEnergyGenerated Data'!$B$4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210-450E-4EB1-A63A-E97654685C78}"/>
              </c:ext>
            </c:extLst>
          </c:dPt>
          <c:dPt>
            <c:idx val="1"/>
            <c:invertIfNegative val="0"/>
            <c:bubble3D val="0"/>
            <c:extLst>
              <c:ext xmlns:c16="http://schemas.microsoft.com/office/drawing/2014/chart" uri="{C3380CC4-5D6E-409C-BE32-E72D297353CC}">
                <c16:uniqueId val="{00000211-450E-4EB1-A63A-E97654685C78}"/>
              </c:ext>
            </c:extLst>
          </c:dPt>
          <c:dPt>
            <c:idx val="2"/>
            <c:invertIfNegative val="0"/>
            <c:bubble3D val="0"/>
            <c:extLst>
              <c:ext xmlns:c16="http://schemas.microsoft.com/office/drawing/2014/chart" uri="{C3380CC4-5D6E-409C-BE32-E72D297353CC}">
                <c16:uniqueId val="{00000212-450E-4EB1-A63A-E97654685C78}"/>
              </c:ext>
            </c:extLst>
          </c:dPt>
          <c:dPt>
            <c:idx val="3"/>
            <c:invertIfNegative val="0"/>
            <c:bubble3D val="0"/>
            <c:extLst>
              <c:ext xmlns:c16="http://schemas.microsoft.com/office/drawing/2014/chart" uri="{C3380CC4-5D6E-409C-BE32-E72D297353CC}">
                <c16:uniqueId val="{00000213-450E-4EB1-A63A-E97654685C78}"/>
              </c:ext>
            </c:extLst>
          </c:dPt>
          <c:dPt>
            <c:idx val="4"/>
            <c:invertIfNegative val="0"/>
            <c:bubble3D val="0"/>
            <c:extLst>
              <c:ext xmlns:c16="http://schemas.microsoft.com/office/drawing/2014/chart" uri="{C3380CC4-5D6E-409C-BE32-E72D297353CC}">
                <c16:uniqueId val="{00000214-450E-4EB1-A63A-E97654685C78}"/>
              </c:ext>
            </c:extLst>
          </c:dPt>
          <c:dPt>
            <c:idx val="5"/>
            <c:invertIfNegative val="0"/>
            <c:bubble3D val="0"/>
            <c:extLst>
              <c:ext xmlns:c16="http://schemas.microsoft.com/office/drawing/2014/chart" uri="{C3380CC4-5D6E-409C-BE32-E72D297353CC}">
                <c16:uniqueId val="{00000215-450E-4EB1-A63A-E97654685C78}"/>
              </c:ext>
            </c:extLst>
          </c:dPt>
          <c:dPt>
            <c:idx val="6"/>
            <c:invertIfNegative val="0"/>
            <c:bubble3D val="0"/>
            <c:extLst>
              <c:ext xmlns:c16="http://schemas.microsoft.com/office/drawing/2014/chart" uri="{C3380CC4-5D6E-409C-BE32-E72D297353CC}">
                <c16:uniqueId val="{00000216-450E-4EB1-A63A-E97654685C78}"/>
              </c:ext>
            </c:extLst>
          </c:dPt>
          <c:dPt>
            <c:idx val="7"/>
            <c:invertIfNegative val="0"/>
            <c:bubble3D val="0"/>
            <c:extLst>
              <c:ext xmlns:c16="http://schemas.microsoft.com/office/drawing/2014/chart" uri="{C3380CC4-5D6E-409C-BE32-E72D297353CC}">
                <c16:uniqueId val="{00000217-450E-4EB1-A63A-E97654685C78}"/>
              </c:ext>
            </c:extLst>
          </c:dPt>
          <c:dPt>
            <c:idx val="8"/>
            <c:invertIfNegative val="0"/>
            <c:bubble3D val="0"/>
            <c:extLst>
              <c:ext xmlns:c16="http://schemas.microsoft.com/office/drawing/2014/chart" uri="{C3380CC4-5D6E-409C-BE32-E72D297353CC}">
                <c16:uniqueId val="{00000218-450E-4EB1-A63A-E97654685C78}"/>
              </c:ext>
            </c:extLst>
          </c:dPt>
          <c:dPt>
            <c:idx val="9"/>
            <c:invertIfNegative val="0"/>
            <c:bubble3D val="0"/>
            <c:extLst>
              <c:ext xmlns:c16="http://schemas.microsoft.com/office/drawing/2014/chart" uri="{C3380CC4-5D6E-409C-BE32-E72D297353CC}">
                <c16:uniqueId val="{00000219-450E-4EB1-A63A-E97654685C78}"/>
              </c:ext>
            </c:extLst>
          </c:dPt>
          <c:dPt>
            <c:idx val="10"/>
            <c:invertIfNegative val="0"/>
            <c:bubble3D val="0"/>
            <c:extLst>
              <c:ext xmlns:c16="http://schemas.microsoft.com/office/drawing/2014/chart" uri="{C3380CC4-5D6E-409C-BE32-E72D297353CC}">
                <c16:uniqueId val="{0000021A-450E-4EB1-A63A-E97654685C78}"/>
              </c:ext>
            </c:extLst>
          </c:dPt>
          <c:dPt>
            <c:idx val="11"/>
            <c:invertIfNegative val="0"/>
            <c:bubble3D val="0"/>
            <c:extLst>
              <c:ext xmlns:c16="http://schemas.microsoft.com/office/drawing/2014/chart" uri="{C3380CC4-5D6E-409C-BE32-E72D297353CC}">
                <c16:uniqueId val="{0000021B-450E-4EB1-A63A-E97654685C78}"/>
              </c:ext>
            </c:extLst>
          </c:dPt>
          <c:dPt>
            <c:idx val="12"/>
            <c:invertIfNegative val="0"/>
            <c:bubble3D val="0"/>
            <c:extLst>
              <c:ext xmlns:c16="http://schemas.microsoft.com/office/drawing/2014/chart" uri="{C3380CC4-5D6E-409C-BE32-E72D297353CC}">
                <c16:uniqueId val="{0000021C-450E-4EB1-A63A-E97654685C78}"/>
              </c:ext>
            </c:extLst>
          </c:dPt>
          <c:dPt>
            <c:idx val="13"/>
            <c:invertIfNegative val="0"/>
            <c:bubble3D val="0"/>
            <c:extLst>
              <c:ext xmlns:c16="http://schemas.microsoft.com/office/drawing/2014/chart" uri="{C3380CC4-5D6E-409C-BE32-E72D297353CC}">
                <c16:uniqueId val="{0000021D-450E-4EB1-A63A-E97654685C78}"/>
              </c:ext>
            </c:extLst>
          </c:dPt>
          <c:dPt>
            <c:idx val="14"/>
            <c:invertIfNegative val="0"/>
            <c:bubble3D val="0"/>
            <c:extLst>
              <c:ext xmlns:c16="http://schemas.microsoft.com/office/drawing/2014/chart" uri="{C3380CC4-5D6E-409C-BE32-E72D297353CC}">
                <c16:uniqueId val="{0000021E-450E-4EB1-A63A-E97654685C78}"/>
              </c:ext>
            </c:extLst>
          </c:dPt>
          <c:dPt>
            <c:idx val="15"/>
            <c:invertIfNegative val="0"/>
            <c:bubble3D val="0"/>
            <c:extLst>
              <c:ext xmlns:c16="http://schemas.microsoft.com/office/drawing/2014/chart" uri="{C3380CC4-5D6E-409C-BE32-E72D297353CC}">
                <c16:uniqueId val="{0000021F-450E-4EB1-A63A-E97654685C78}"/>
              </c:ext>
            </c:extLst>
          </c:dPt>
          <c:dPt>
            <c:idx val="16"/>
            <c:invertIfNegative val="0"/>
            <c:bubble3D val="0"/>
            <c:extLst>
              <c:ext xmlns:c16="http://schemas.microsoft.com/office/drawing/2014/chart" uri="{C3380CC4-5D6E-409C-BE32-E72D297353CC}">
                <c16:uniqueId val="{00000220-450E-4EB1-A63A-E97654685C78}"/>
              </c:ext>
            </c:extLst>
          </c:dPt>
          <c:dPt>
            <c:idx val="17"/>
            <c:invertIfNegative val="0"/>
            <c:bubble3D val="0"/>
            <c:extLst>
              <c:ext xmlns:c16="http://schemas.microsoft.com/office/drawing/2014/chart" uri="{C3380CC4-5D6E-409C-BE32-E72D297353CC}">
                <c16:uniqueId val="{00000221-450E-4EB1-A63A-E97654685C78}"/>
              </c:ext>
            </c:extLst>
          </c:dPt>
          <c:dPt>
            <c:idx val="18"/>
            <c:invertIfNegative val="0"/>
            <c:bubble3D val="0"/>
            <c:extLst>
              <c:ext xmlns:c16="http://schemas.microsoft.com/office/drawing/2014/chart" uri="{C3380CC4-5D6E-409C-BE32-E72D297353CC}">
                <c16:uniqueId val="{00000222-450E-4EB1-A63A-E97654685C78}"/>
              </c:ext>
            </c:extLst>
          </c:dPt>
          <c:dPt>
            <c:idx val="19"/>
            <c:invertIfNegative val="0"/>
            <c:bubble3D val="0"/>
            <c:extLst>
              <c:ext xmlns:c16="http://schemas.microsoft.com/office/drawing/2014/chart" uri="{C3380CC4-5D6E-409C-BE32-E72D297353CC}">
                <c16:uniqueId val="{00000223-450E-4EB1-A63A-E97654685C78}"/>
              </c:ext>
            </c:extLst>
          </c:dPt>
          <c:dPt>
            <c:idx val="20"/>
            <c:invertIfNegative val="0"/>
            <c:bubble3D val="0"/>
            <c:extLst>
              <c:ext xmlns:c16="http://schemas.microsoft.com/office/drawing/2014/chart" uri="{C3380CC4-5D6E-409C-BE32-E72D297353CC}">
                <c16:uniqueId val="{00000224-450E-4EB1-A63A-E97654685C78}"/>
              </c:ext>
            </c:extLst>
          </c:dPt>
          <c:dPt>
            <c:idx val="21"/>
            <c:invertIfNegative val="0"/>
            <c:bubble3D val="0"/>
            <c:extLst>
              <c:ext xmlns:c16="http://schemas.microsoft.com/office/drawing/2014/chart" uri="{C3380CC4-5D6E-409C-BE32-E72D297353CC}">
                <c16:uniqueId val="{00000225-450E-4EB1-A63A-E97654685C78}"/>
              </c:ext>
            </c:extLst>
          </c:dPt>
          <c:dPt>
            <c:idx val="22"/>
            <c:invertIfNegative val="0"/>
            <c:bubble3D val="0"/>
            <c:extLst>
              <c:ext xmlns:c16="http://schemas.microsoft.com/office/drawing/2014/chart" uri="{C3380CC4-5D6E-409C-BE32-E72D297353CC}">
                <c16:uniqueId val="{00000226-450E-4EB1-A63A-E97654685C78}"/>
              </c:ext>
            </c:extLst>
          </c:dPt>
          <c:dPt>
            <c:idx val="23"/>
            <c:invertIfNegative val="0"/>
            <c:bubble3D val="0"/>
            <c:extLst>
              <c:ext xmlns:c16="http://schemas.microsoft.com/office/drawing/2014/chart" uri="{C3380CC4-5D6E-409C-BE32-E72D297353CC}">
                <c16:uniqueId val="{00000227-450E-4EB1-A63A-E97654685C78}"/>
              </c:ext>
            </c:extLst>
          </c:dPt>
          <c:dPt>
            <c:idx val="24"/>
            <c:invertIfNegative val="0"/>
            <c:bubble3D val="0"/>
            <c:extLst>
              <c:ext xmlns:c16="http://schemas.microsoft.com/office/drawing/2014/chart" uri="{C3380CC4-5D6E-409C-BE32-E72D297353CC}">
                <c16:uniqueId val="{00000228-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Data'!$C$4:$X$4</c:f>
              <c:numCache>
                <c:formatCode>#,##0_ ;\-#,##0\ </c:formatCode>
                <c:ptCount val="22"/>
                <c:pt idx="0">
                  <c:v>32102</c:v>
                </c:pt>
                <c:pt idx="1">
                  <c:v>32119</c:v>
                </c:pt>
                <c:pt idx="2">
                  <c:v>32150</c:v>
                </c:pt>
                <c:pt idx="3">
                  <c:v>32318</c:v>
                </c:pt>
                <c:pt idx="4">
                  <c:v>29830</c:v>
                </c:pt>
                <c:pt idx="5">
                  <c:v>29584</c:v>
                </c:pt>
                <c:pt idx="6">
                  <c:v>32255</c:v>
                </c:pt>
                <c:pt idx="7">
                  <c:v>32217</c:v>
                </c:pt>
                <c:pt idx="8">
                  <c:v>28550</c:v>
                </c:pt>
                <c:pt idx="9">
                  <c:v>32063</c:v>
                </c:pt>
                <c:pt idx="10">
                  <c:v>28356</c:v>
                </c:pt>
                <c:pt idx="11">
                  <c:v>28165</c:v>
                </c:pt>
                <c:pt idx="12">
                  <c:v>31360</c:v>
                </c:pt>
                <c:pt idx="13">
                  <c:v>31197</c:v>
                </c:pt>
                <c:pt idx="14">
                  <c:v>21659</c:v>
                </c:pt>
                <c:pt idx="15">
                  <c:v>21526</c:v>
                </c:pt>
                <c:pt idx="16">
                  <c:v>21649</c:v>
                </c:pt>
                <c:pt idx="17">
                  <c:v>22132</c:v>
                </c:pt>
                <c:pt idx="18">
                  <c:v>18413</c:v>
                </c:pt>
                <c:pt idx="19">
                  <c:v>22036</c:v>
                </c:pt>
                <c:pt idx="20">
                  <c:v>18439</c:v>
                </c:pt>
                <c:pt idx="21">
                  <c:v>18385</c:v>
                </c:pt>
              </c:numCache>
            </c:numRef>
          </c:val>
          <c:extLst>
            <c:ext xmlns:c16="http://schemas.microsoft.com/office/drawing/2014/chart" uri="{C3380CC4-5D6E-409C-BE32-E72D297353CC}">
              <c16:uniqueId val="{00000229-450E-4EB1-A63A-E97654685C78}"/>
            </c:ext>
          </c:extLst>
        </c:ser>
        <c:ser>
          <c:idx val="2"/>
          <c:order val="2"/>
          <c:tx>
            <c:strRef>
              <c:f>'NEMEnergyGenerated Data'!$B$5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22B-450E-4EB1-A63A-E97654685C78}"/>
              </c:ext>
            </c:extLst>
          </c:dPt>
          <c:dPt>
            <c:idx val="1"/>
            <c:invertIfNegative val="0"/>
            <c:bubble3D val="0"/>
            <c:extLst>
              <c:ext xmlns:c16="http://schemas.microsoft.com/office/drawing/2014/chart" uri="{C3380CC4-5D6E-409C-BE32-E72D297353CC}">
                <c16:uniqueId val="{0000022C-450E-4EB1-A63A-E97654685C78}"/>
              </c:ext>
            </c:extLst>
          </c:dPt>
          <c:dPt>
            <c:idx val="2"/>
            <c:invertIfNegative val="0"/>
            <c:bubble3D val="0"/>
            <c:extLst>
              <c:ext xmlns:c16="http://schemas.microsoft.com/office/drawing/2014/chart" uri="{C3380CC4-5D6E-409C-BE32-E72D297353CC}">
                <c16:uniqueId val="{0000022D-450E-4EB1-A63A-E97654685C78}"/>
              </c:ext>
            </c:extLst>
          </c:dPt>
          <c:dPt>
            <c:idx val="3"/>
            <c:invertIfNegative val="0"/>
            <c:bubble3D val="0"/>
            <c:extLst>
              <c:ext xmlns:c16="http://schemas.microsoft.com/office/drawing/2014/chart" uri="{C3380CC4-5D6E-409C-BE32-E72D297353CC}">
                <c16:uniqueId val="{0000022E-450E-4EB1-A63A-E97654685C78}"/>
              </c:ext>
            </c:extLst>
          </c:dPt>
          <c:dPt>
            <c:idx val="4"/>
            <c:invertIfNegative val="0"/>
            <c:bubble3D val="0"/>
            <c:extLst>
              <c:ext xmlns:c16="http://schemas.microsoft.com/office/drawing/2014/chart" uri="{C3380CC4-5D6E-409C-BE32-E72D297353CC}">
                <c16:uniqueId val="{0000022F-450E-4EB1-A63A-E97654685C78}"/>
              </c:ext>
            </c:extLst>
          </c:dPt>
          <c:dPt>
            <c:idx val="5"/>
            <c:invertIfNegative val="0"/>
            <c:bubble3D val="0"/>
            <c:extLst>
              <c:ext xmlns:c16="http://schemas.microsoft.com/office/drawing/2014/chart" uri="{C3380CC4-5D6E-409C-BE32-E72D297353CC}">
                <c16:uniqueId val="{00000230-450E-4EB1-A63A-E97654685C78}"/>
              </c:ext>
            </c:extLst>
          </c:dPt>
          <c:dPt>
            <c:idx val="6"/>
            <c:invertIfNegative val="0"/>
            <c:bubble3D val="0"/>
            <c:extLst>
              <c:ext xmlns:c16="http://schemas.microsoft.com/office/drawing/2014/chart" uri="{C3380CC4-5D6E-409C-BE32-E72D297353CC}">
                <c16:uniqueId val="{00000231-450E-4EB1-A63A-E97654685C78}"/>
              </c:ext>
            </c:extLst>
          </c:dPt>
          <c:dPt>
            <c:idx val="7"/>
            <c:invertIfNegative val="0"/>
            <c:bubble3D val="0"/>
            <c:extLst>
              <c:ext xmlns:c16="http://schemas.microsoft.com/office/drawing/2014/chart" uri="{C3380CC4-5D6E-409C-BE32-E72D297353CC}">
                <c16:uniqueId val="{00000232-450E-4EB1-A63A-E97654685C78}"/>
              </c:ext>
            </c:extLst>
          </c:dPt>
          <c:dPt>
            <c:idx val="8"/>
            <c:invertIfNegative val="0"/>
            <c:bubble3D val="0"/>
            <c:extLst>
              <c:ext xmlns:c16="http://schemas.microsoft.com/office/drawing/2014/chart" uri="{C3380CC4-5D6E-409C-BE32-E72D297353CC}">
                <c16:uniqueId val="{00000233-450E-4EB1-A63A-E97654685C78}"/>
              </c:ext>
            </c:extLst>
          </c:dPt>
          <c:dPt>
            <c:idx val="9"/>
            <c:invertIfNegative val="0"/>
            <c:bubble3D val="0"/>
            <c:extLst>
              <c:ext xmlns:c16="http://schemas.microsoft.com/office/drawing/2014/chart" uri="{C3380CC4-5D6E-409C-BE32-E72D297353CC}">
                <c16:uniqueId val="{00000234-450E-4EB1-A63A-E97654685C78}"/>
              </c:ext>
            </c:extLst>
          </c:dPt>
          <c:dPt>
            <c:idx val="10"/>
            <c:invertIfNegative val="0"/>
            <c:bubble3D val="0"/>
            <c:extLst>
              <c:ext xmlns:c16="http://schemas.microsoft.com/office/drawing/2014/chart" uri="{C3380CC4-5D6E-409C-BE32-E72D297353CC}">
                <c16:uniqueId val="{00000235-450E-4EB1-A63A-E97654685C78}"/>
              </c:ext>
            </c:extLst>
          </c:dPt>
          <c:dPt>
            <c:idx val="11"/>
            <c:invertIfNegative val="0"/>
            <c:bubble3D val="0"/>
            <c:extLst>
              <c:ext xmlns:c16="http://schemas.microsoft.com/office/drawing/2014/chart" uri="{C3380CC4-5D6E-409C-BE32-E72D297353CC}">
                <c16:uniqueId val="{00000236-450E-4EB1-A63A-E97654685C78}"/>
              </c:ext>
            </c:extLst>
          </c:dPt>
          <c:dPt>
            <c:idx val="12"/>
            <c:invertIfNegative val="0"/>
            <c:bubble3D val="0"/>
            <c:extLst>
              <c:ext xmlns:c16="http://schemas.microsoft.com/office/drawing/2014/chart" uri="{C3380CC4-5D6E-409C-BE32-E72D297353CC}">
                <c16:uniqueId val="{00000237-450E-4EB1-A63A-E97654685C78}"/>
              </c:ext>
            </c:extLst>
          </c:dPt>
          <c:dPt>
            <c:idx val="13"/>
            <c:invertIfNegative val="0"/>
            <c:bubble3D val="0"/>
            <c:extLst>
              <c:ext xmlns:c16="http://schemas.microsoft.com/office/drawing/2014/chart" uri="{C3380CC4-5D6E-409C-BE32-E72D297353CC}">
                <c16:uniqueId val="{00000238-450E-4EB1-A63A-E97654685C78}"/>
              </c:ext>
            </c:extLst>
          </c:dPt>
          <c:dPt>
            <c:idx val="14"/>
            <c:invertIfNegative val="0"/>
            <c:bubble3D val="0"/>
            <c:extLst>
              <c:ext xmlns:c16="http://schemas.microsoft.com/office/drawing/2014/chart" uri="{C3380CC4-5D6E-409C-BE32-E72D297353CC}">
                <c16:uniqueId val="{00000239-450E-4EB1-A63A-E97654685C78}"/>
              </c:ext>
            </c:extLst>
          </c:dPt>
          <c:dPt>
            <c:idx val="15"/>
            <c:invertIfNegative val="0"/>
            <c:bubble3D val="0"/>
            <c:extLst>
              <c:ext xmlns:c16="http://schemas.microsoft.com/office/drawing/2014/chart" uri="{C3380CC4-5D6E-409C-BE32-E72D297353CC}">
                <c16:uniqueId val="{0000023A-450E-4EB1-A63A-E97654685C78}"/>
              </c:ext>
            </c:extLst>
          </c:dPt>
          <c:dPt>
            <c:idx val="16"/>
            <c:invertIfNegative val="0"/>
            <c:bubble3D val="0"/>
            <c:extLst>
              <c:ext xmlns:c16="http://schemas.microsoft.com/office/drawing/2014/chart" uri="{C3380CC4-5D6E-409C-BE32-E72D297353CC}">
                <c16:uniqueId val="{0000023B-450E-4EB1-A63A-E97654685C78}"/>
              </c:ext>
            </c:extLst>
          </c:dPt>
          <c:dPt>
            <c:idx val="17"/>
            <c:invertIfNegative val="0"/>
            <c:bubble3D val="0"/>
            <c:extLst>
              <c:ext xmlns:c16="http://schemas.microsoft.com/office/drawing/2014/chart" uri="{C3380CC4-5D6E-409C-BE32-E72D297353CC}">
                <c16:uniqueId val="{0000023C-450E-4EB1-A63A-E97654685C78}"/>
              </c:ext>
            </c:extLst>
          </c:dPt>
          <c:dPt>
            <c:idx val="18"/>
            <c:invertIfNegative val="0"/>
            <c:bubble3D val="0"/>
            <c:extLst>
              <c:ext xmlns:c16="http://schemas.microsoft.com/office/drawing/2014/chart" uri="{C3380CC4-5D6E-409C-BE32-E72D297353CC}">
                <c16:uniqueId val="{0000023D-450E-4EB1-A63A-E97654685C78}"/>
              </c:ext>
            </c:extLst>
          </c:dPt>
          <c:dPt>
            <c:idx val="19"/>
            <c:invertIfNegative val="0"/>
            <c:bubble3D val="0"/>
            <c:extLst>
              <c:ext xmlns:c16="http://schemas.microsoft.com/office/drawing/2014/chart" uri="{C3380CC4-5D6E-409C-BE32-E72D297353CC}">
                <c16:uniqueId val="{0000023E-450E-4EB1-A63A-E97654685C78}"/>
              </c:ext>
            </c:extLst>
          </c:dPt>
          <c:dPt>
            <c:idx val="20"/>
            <c:invertIfNegative val="0"/>
            <c:bubble3D val="0"/>
            <c:extLst>
              <c:ext xmlns:c16="http://schemas.microsoft.com/office/drawing/2014/chart" uri="{C3380CC4-5D6E-409C-BE32-E72D297353CC}">
                <c16:uniqueId val="{0000023F-450E-4EB1-A63A-E97654685C78}"/>
              </c:ext>
            </c:extLst>
          </c:dPt>
          <c:dPt>
            <c:idx val="21"/>
            <c:invertIfNegative val="0"/>
            <c:bubble3D val="0"/>
            <c:extLst>
              <c:ext xmlns:c16="http://schemas.microsoft.com/office/drawing/2014/chart" uri="{C3380CC4-5D6E-409C-BE32-E72D297353CC}">
                <c16:uniqueId val="{00000240-450E-4EB1-A63A-E97654685C78}"/>
              </c:ext>
            </c:extLst>
          </c:dPt>
          <c:dPt>
            <c:idx val="22"/>
            <c:invertIfNegative val="0"/>
            <c:bubble3D val="0"/>
            <c:extLst>
              <c:ext xmlns:c16="http://schemas.microsoft.com/office/drawing/2014/chart" uri="{C3380CC4-5D6E-409C-BE32-E72D297353CC}">
                <c16:uniqueId val="{00000241-450E-4EB1-A63A-E97654685C78}"/>
              </c:ext>
            </c:extLst>
          </c:dPt>
          <c:dPt>
            <c:idx val="23"/>
            <c:invertIfNegative val="0"/>
            <c:bubble3D val="0"/>
            <c:extLst>
              <c:ext xmlns:c16="http://schemas.microsoft.com/office/drawing/2014/chart" uri="{C3380CC4-5D6E-409C-BE32-E72D297353CC}">
                <c16:uniqueId val="{00000242-450E-4EB1-A63A-E97654685C78}"/>
              </c:ext>
            </c:extLst>
          </c:dPt>
          <c:dPt>
            <c:idx val="24"/>
            <c:invertIfNegative val="0"/>
            <c:bubble3D val="0"/>
            <c:extLst>
              <c:ext xmlns:c16="http://schemas.microsoft.com/office/drawing/2014/chart" uri="{C3380CC4-5D6E-409C-BE32-E72D297353CC}">
                <c16:uniqueId val="{00000243-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Data'!$C$5:$X$5</c:f>
              <c:numCache>
                <c:formatCode>#,##0_ ;\-#,##0\ </c:formatCode>
                <c:ptCount val="22"/>
                <c:pt idx="0">
                  <c:v>15797</c:v>
                </c:pt>
                <c:pt idx="1">
                  <c:v>15840</c:v>
                </c:pt>
                <c:pt idx="2">
                  <c:v>15797</c:v>
                </c:pt>
                <c:pt idx="3">
                  <c:v>15797</c:v>
                </c:pt>
                <c:pt idx="4">
                  <c:v>15797</c:v>
                </c:pt>
                <c:pt idx="5">
                  <c:v>15840</c:v>
                </c:pt>
                <c:pt idx="6">
                  <c:v>15729</c:v>
                </c:pt>
                <c:pt idx="7">
                  <c:v>15797</c:v>
                </c:pt>
                <c:pt idx="8">
                  <c:v>15797</c:v>
                </c:pt>
                <c:pt idx="9">
                  <c:v>15840</c:v>
                </c:pt>
                <c:pt idx="10">
                  <c:v>15797</c:v>
                </c:pt>
                <c:pt idx="11">
                  <c:v>15797</c:v>
                </c:pt>
                <c:pt idx="12">
                  <c:v>15797</c:v>
                </c:pt>
                <c:pt idx="13">
                  <c:v>15840</c:v>
                </c:pt>
                <c:pt idx="14">
                  <c:v>15797</c:v>
                </c:pt>
                <c:pt idx="15">
                  <c:v>15797</c:v>
                </c:pt>
                <c:pt idx="16">
                  <c:v>15797</c:v>
                </c:pt>
                <c:pt idx="17">
                  <c:v>15840</c:v>
                </c:pt>
                <c:pt idx="18">
                  <c:v>15797</c:v>
                </c:pt>
                <c:pt idx="19">
                  <c:v>15797</c:v>
                </c:pt>
                <c:pt idx="20">
                  <c:v>15797</c:v>
                </c:pt>
                <c:pt idx="21">
                  <c:v>15840</c:v>
                </c:pt>
              </c:numCache>
            </c:numRef>
          </c:val>
          <c:extLst>
            <c:ext xmlns:c16="http://schemas.microsoft.com/office/drawing/2014/chart" uri="{C3380CC4-5D6E-409C-BE32-E72D297353CC}">
              <c16:uniqueId val="{00000244-450E-4EB1-A63A-E97654685C78}"/>
            </c:ext>
          </c:extLst>
        </c:ser>
        <c:ser>
          <c:idx val="3"/>
          <c:order val="3"/>
          <c:tx>
            <c:strRef>
              <c:f>'NEMEnergyGenerated Data'!$B$6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246-450E-4EB1-A63A-E97654685C78}"/>
              </c:ext>
            </c:extLst>
          </c:dPt>
          <c:dPt>
            <c:idx val="1"/>
            <c:invertIfNegative val="0"/>
            <c:bubble3D val="0"/>
            <c:extLst>
              <c:ext xmlns:c16="http://schemas.microsoft.com/office/drawing/2014/chart" uri="{C3380CC4-5D6E-409C-BE32-E72D297353CC}">
                <c16:uniqueId val="{00000247-450E-4EB1-A63A-E97654685C78}"/>
              </c:ext>
            </c:extLst>
          </c:dPt>
          <c:dPt>
            <c:idx val="2"/>
            <c:invertIfNegative val="0"/>
            <c:bubble3D val="0"/>
            <c:extLst>
              <c:ext xmlns:c16="http://schemas.microsoft.com/office/drawing/2014/chart" uri="{C3380CC4-5D6E-409C-BE32-E72D297353CC}">
                <c16:uniqueId val="{00000248-450E-4EB1-A63A-E97654685C78}"/>
              </c:ext>
            </c:extLst>
          </c:dPt>
          <c:dPt>
            <c:idx val="3"/>
            <c:invertIfNegative val="0"/>
            <c:bubble3D val="0"/>
            <c:extLst>
              <c:ext xmlns:c16="http://schemas.microsoft.com/office/drawing/2014/chart" uri="{C3380CC4-5D6E-409C-BE32-E72D297353CC}">
                <c16:uniqueId val="{00000249-450E-4EB1-A63A-E97654685C78}"/>
              </c:ext>
            </c:extLst>
          </c:dPt>
          <c:dPt>
            <c:idx val="4"/>
            <c:invertIfNegative val="0"/>
            <c:bubble3D val="0"/>
            <c:extLst>
              <c:ext xmlns:c16="http://schemas.microsoft.com/office/drawing/2014/chart" uri="{C3380CC4-5D6E-409C-BE32-E72D297353CC}">
                <c16:uniqueId val="{0000024A-450E-4EB1-A63A-E97654685C78}"/>
              </c:ext>
            </c:extLst>
          </c:dPt>
          <c:dPt>
            <c:idx val="5"/>
            <c:invertIfNegative val="0"/>
            <c:bubble3D val="0"/>
            <c:extLst>
              <c:ext xmlns:c16="http://schemas.microsoft.com/office/drawing/2014/chart" uri="{C3380CC4-5D6E-409C-BE32-E72D297353CC}">
                <c16:uniqueId val="{0000024B-450E-4EB1-A63A-E97654685C78}"/>
              </c:ext>
            </c:extLst>
          </c:dPt>
          <c:dPt>
            <c:idx val="6"/>
            <c:invertIfNegative val="0"/>
            <c:bubble3D val="0"/>
            <c:extLst>
              <c:ext xmlns:c16="http://schemas.microsoft.com/office/drawing/2014/chart" uri="{C3380CC4-5D6E-409C-BE32-E72D297353CC}">
                <c16:uniqueId val="{0000024C-450E-4EB1-A63A-E97654685C78}"/>
              </c:ext>
            </c:extLst>
          </c:dPt>
          <c:dPt>
            <c:idx val="7"/>
            <c:invertIfNegative val="0"/>
            <c:bubble3D val="0"/>
            <c:extLst>
              <c:ext xmlns:c16="http://schemas.microsoft.com/office/drawing/2014/chart" uri="{C3380CC4-5D6E-409C-BE32-E72D297353CC}">
                <c16:uniqueId val="{0000024D-450E-4EB1-A63A-E97654685C78}"/>
              </c:ext>
            </c:extLst>
          </c:dPt>
          <c:dPt>
            <c:idx val="8"/>
            <c:invertIfNegative val="0"/>
            <c:bubble3D val="0"/>
            <c:extLst>
              <c:ext xmlns:c16="http://schemas.microsoft.com/office/drawing/2014/chart" uri="{C3380CC4-5D6E-409C-BE32-E72D297353CC}">
                <c16:uniqueId val="{0000024E-450E-4EB1-A63A-E97654685C78}"/>
              </c:ext>
            </c:extLst>
          </c:dPt>
          <c:dPt>
            <c:idx val="9"/>
            <c:invertIfNegative val="0"/>
            <c:bubble3D val="0"/>
            <c:extLst>
              <c:ext xmlns:c16="http://schemas.microsoft.com/office/drawing/2014/chart" uri="{C3380CC4-5D6E-409C-BE32-E72D297353CC}">
                <c16:uniqueId val="{0000024F-450E-4EB1-A63A-E97654685C78}"/>
              </c:ext>
            </c:extLst>
          </c:dPt>
          <c:dPt>
            <c:idx val="10"/>
            <c:invertIfNegative val="0"/>
            <c:bubble3D val="0"/>
            <c:extLst>
              <c:ext xmlns:c16="http://schemas.microsoft.com/office/drawing/2014/chart" uri="{C3380CC4-5D6E-409C-BE32-E72D297353CC}">
                <c16:uniqueId val="{00000250-450E-4EB1-A63A-E97654685C78}"/>
              </c:ext>
            </c:extLst>
          </c:dPt>
          <c:dPt>
            <c:idx val="11"/>
            <c:invertIfNegative val="0"/>
            <c:bubble3D val="0"/>
            <c:extLst>
              <c:ext xmlns:c16="http://schemas.microsoft.com/office/drawing/2014/chart" uri="{C3380CC4-5D6E-409C-BE32-E72D297353CC}">
                <c16:uniqueId val="{00000251-450E-4EB1-A63A-E97654685C78}"/>
              </c:ext>
            </c:extLst>
          </c:dPt>
          <c:dPt>
            <c:idx val="12"/>
            <c:invertIfNegative val="0"/>
            <c:bubble3D val="0"/>
            <c:extLst>
              <c:ext xmlns:c16="http://schemas.microsoft.com/office/drawing/2014/chart" uri="{C3380CC4-5D6E-409C-BE32-E72D297353CC}">
                <c16:uniqueId val="{00000252-450E-4EB1-A63A-E97654685C78}"/>
              </c:ext>
            </c:extLst>
          </c:dPt>
          <c:dPt>
            <c:idx val="13"/>
            <c:invertIfNegative val="0"/>
            <c:bubble3D val="0"/>
            <c:extLst>
              <c:ext xmlns:c16="http://schemas.microsoft.com/office/drawing/2014/chart" uri="{C3380CC4-5D6E-409C-BE32-E72D297353CC}">
                <c16:uniqueId val="{00000253-450E-4EB1-A63A-E97654685C78}"/>
              </c:ext>
            </c:extLst>
          </c:dPt>
          <c:dPt>
            <c:idx val="14"/>
            <c:invertIfNegative val="0"/>
            <c:bubble3D val="0"/>
            <c:extLst>
              <c:ext xmlns:c16="http://schemas.microsoft.com/office/drawing/2014/chart" uri="{C3380CC4-5D6E-409C-BE32-E72D297353CC}">
                <c16:uniqueId val="{00000254-450E-4EB1-A63A-E97654685C78}"/>
              </c:ext>
            </c:extLst>
          </c:dPt>
          <c:dPt>
            <c:idx val="15"/>
            <c:invertIfNegative val="0"/>
            <c:bubble3D val="0"/>
            <c:extLst>
              <c:ext xmlns:c16="http://schemas.microsoft.com/office/drawing/2014/chart" uri="{C3380CC4-5D6E-409C-BE32-E72D297353CC}">
                <c16:uniqueId val="{00000255-450E-4EB1-A63A-E97654685C78}"/>
              </c:ext>
            </c:extLst>
          </c:dPt>
          <c:dPt>
            <c:idx val="16"/>
            <c:invertIfNegative val="0"/>
            <c:bubble3D val="0"/>
            <c:extLst>
              <c:ext xmlns:c16="http://schemas.microsoft.com/office/drawing/2014/chart" uri="{C3380CC4-5D6E-409C-BE32-E72D297353CC}">
                <c16:uniqueId val="{00000256-450E-4EB1-A63A-E97654685C78}"/>
              </c:ext>
            </c:extLst>
          </c:dPt>
          <c:dPt>
            <c:idx val="17"/>
            <c:invertIfNegative val="0"/>
            <c:bubble3D val="0"/>
            <c:extLst>
              <c:ext xmlns:c16="http://schemas.microsoft.com/office/drawing/2014/chart" uri="{C3380CC4-5D6E-409C-BE32-E72D297353CC}">
                <c16:uniqueId val="{00000257-450E-4EB1-A63A-E97654685C78}"/>
              </c:ext>
            </c:extLst>
          </c:dPt>
          <c:dPt>
            <c:idx val="18"/>
            <c:invertIfNegative val="0"/>
            <c:bubble3D val="0"/>
            <c:extLst>
              <c:ext xmlns:c16="http://schemas.microsoft.com/office/drawing/2014/chart" uri="{C3380CC4-5D6E-409C-BE32-E72D297353CC}">
                <c16:uniqueId val="{00000258-450E-4EB1-A63A-E97654685C78}"/>
              </c:ext>
            </c:extLst>
          </c:dPt>
          <c:dPt>
            <c:idx val="19"/>
            <c:invertIfNegative val="0"/>
            <c:bubble3D val="0"/>
            <c:extLst>
              <c:ext xmlns:c16="http://schemas.microsoft.com/office/drawing/2014/chart" uri="{C3380CC4-5D6E-409C-BE32-E72D297353CC}">
                <c16:uniqueId val="{00000259-450E-4EB1-A63A-E97654685C78}"/>
              </c:ext>
            </c:extLst>
          </c:dPt>
          <c:dPt>
            <c:idx val="20"/>
            <c:invertIfNegative val="0"/>
            <c:bubble3D val="0"/>
            <c:extLst>
              <c:ext xmlns:c16="http://schemas.microsoft.com/office/drawing/2014/chart" uri="{C3380CC4-5D6E-409C-BE32-E72D297353CC}">
                <c16:uniqueId val="{0000025A-450E-4EB1-A63A-E97654685C78}"/>
              </c:ext>
            </c:extLst>
          </c:dPt>
          <c:dPt>
            <c:idx val="21"/>
            <c:invertIfNegative val="0"/>
            <c:bubble3D val="0"/>
            <c:extLst>
              <c:ext xmlns:c16="http://schemas.microsoft.com/office/drawing/2014/chart" uri="{C3380CC4-5D6E-409C-BE32-E72D297353CC}">
                <c16:uniqueId val="{0000025B-450E-4EB1-A63A-E97654685C78}"/>
              </c:ext>
            </c:extLst>
          </c:dPt>
          <c:dPt>
            <c:idx val="22"/>
            <c:invertIfNegative val="0"/>
            <c:bubble3D val="0"/>
            <c:extLst>
              <c:ext xmlns:c16="http://schemas.microsoft.com/office/drawing/2014/chart" uri="{C3380CC4-5D6E-409C-BE32-E72D297353CC}">
                <c16:uniqueId val="{0000025C-450E-4EB1-A63A-E97654685C78}"/>
              </c:ext>
            </c:extLst>
          </c:dPt>
          <c:dPt>
            <c:idx val="23"/>
            <c:invertIfNegative val="0"/>
            <c:bubble3D val="0"/>
            <c:extLst>
              <c:ext xmlns:c16="http://schemas.microsoft.com/office/drawing/2014/chart" uri="{C3380CC4-5D6E-409C-BE32-E72D297353CC}">
                <c16:uniqueId val="{0000025D-450E-4EB1-A63A-E97654685C78}"/>
              </c:ext>
            </c:extLst>
          </c:dPt>
          <c:dPt>
            <c:idx val="24"/>
            <c:invertIfNegative val="0"/>
            <c:bubble3D val="0"/>
            <c:extLst>
              <c:ext xmlns:c16="http://schemas.microsoft.com/office/drawing/2014/chart" uri="{C3380CC4-5D6E-409C-BE32-E72D297353CC}">
                <c16:uniqueId val="{0000025E-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Data'!$C$6:$X$6</c:f>
              <c:numCache>
                <c:formatCode>#,##0_ ;\-#,##0\ </c:formatCode>
                <c:ptCount val="22"/>
                <c:pt idx="0">
                  <c:v>11034</c:v>
                </c:pt>
                <c:pt idx="1">
                  <c:v>11784</c:v>
                </c:pt>
                <c:pt idx="2">
                  <c:v>11732</c:v>
                </c:pt>
                <c:pt idx="3">
                  <c:v>7670</c:v>
                </c:pt>
                <c:pt idx="4">
                  <c:v>8243</c:v>
                </c:pt>
                <c:pt idx="5">
                  <c:v>7892</c:v>
                </c:pt>
                <c:pt idx="6">
                  <c:v>3232</c:v>
                </c:pt>
                <c:pt idx="7">
                  <c:v>3737</c:v>
                </c:pt>
                <c:pt idx="8">
                  <c:v>4618</c:v>
                </c:pt>
                <c:pt idx="9">
                  <c:v>3508</c:v>
                </c:pt>
                <c:pt idx="10">
                  <c:v>3991</c:v>
                </c:pt>
                <c:pt idx="11">
                  <c:v>4639</c:v>
                </c:pt>
                <c:pt idx="12">
                  <c:v>3974</c:v>
                </c:pt>
                <c:pt idx="13">
                  <c:v>3804</c:v>
                </c:pt>
                <c:pt idx="14">
                  <c:v>3222</c:v>
                </c:pt>
                <c:pt idx="15">
                  <c:v>3296</c:v>
                </c:pt>
                <c:pt idx="16">
                  <c:v>4777</c:v>
                </c:pt>
                <c:pt idx="17">
                  <c:v>7767</c:v>
                </c:pt>
                <c:pt idx="18">
                  <c:v>9879</c:v>
                </c:pt>
                <c:pt idx="19">
                  <c:v>9531</c:v>
                </c:pt>
                <c:pt idx="20">
                  <c:v>10020</c:v>
                </c:pt>
                <c:pt idx="21">
                  <c:v>9608</c:v>
                </c:pt>
              </c:numCache>
            </c:numRef>
          </c:val>
          <c:extLst>
            <c:ext xmlns:c16="http://schemas.microsoft.com/office/drawing/2014/chart" uri="{C3380CC4-5D6E-409C-BE32-E72D297353CC}">
              <c16:uniqueId val="{0000025F-450E-4EB1-A63A-E97654685C78}"/>
            </c:ext>
          </c:extLst>
        </c:ser>
        <c:ser>
          <c:idx val="4"/>
          <c:order val="4"/>
          <c:tx>
            <c:strRef>
              <c:f>'NEMEnergyGenerated Data'!$B$7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261-450E-4EB1-A63A-E97654685C78}"/>
              </c:ext>
            </c:extLst>
          </c:dPt>
          <c:dPt>
            <c:idx val="1"/>
            <c:invertIfNegative val="0"/>
            <c:bubble3D val="0"/>
            <c:extLst>
              <c:ext xmlns:c16="http://schemas.microsoft.com/office/drawing/2014/chart" uri="{C3380CC4-5D6E-409C-BE32-E72D297353CC}">
                <c16:uniqueId val="{00000262-450E-4EB1-A63A-E97654685C78}"/>
              </c:ext>
            </c:extLst>
          </c:dPt>
          <c:dPt>
            <c:idx val="2"/>
            <c:invertIfNegative val="0"/>
            <c:bubble3D val="0"/>
            <c:extLst>
              <c:ext xmlns:c16="http://schemas.microsoft.com/office/drawing/2014/chart" uri="{C3380CC4-5D6E-409C-BE32-E72D297353CC}">
                <c16:uniqueId val="{00000263-450E-4EB1-A63A-E97654685C78}"/>
              </c:ext>
            </c:extLst>
          </c:dPt>
          <c:dPt>
            <c:idx val="3"/>
            <c:invertIfNegative val="0"/>
            <c:bubble3D val="0"/>
            <c:extLst>
              <c:ext xmlns:c16="http://schemas.microsoft.com/office/drawing/2014/chart" uri="{C3380CC4-5D6E-409C-BE32-E72D297353CC}">
                <c16:uniqueId val="{00000264-450E-4EB1-A63A-E97654685C78}"/>
              </c:ext>
            </c:extLst>
          </c:dPt>
          <c:dPt>
            <c:idx val="4"/>
            <c:invertIfNegative val="0"/>
            <c:bubble3D val="0"/>
            <c:extLst>
              <c:ext xmlns:c16="http://schemas.microsoft.com/office/drawing/2014/chart" uri="{C3380CC4-5D6E-409C-BE32-E72D297353CC}">
                <c16:uniqueId val="{00000265-450E-4EB1-A63A-E97654685C78}"/>
              </c:ext>
            </c:extLst>
          </c:dPt>
          <c:dPt>
            <c:idx val="5"/>
            <c:invertIfNegative val="0"/>
            <c:bubble3D val="0"/>
            <c:extLst>
              <c:ext xmlns:c16="http://schemas.microsoft.com/office/drawing/2014/chart" uri="{C3380CC4-5D6E-409C-BE32-E72D297353CC}">
                <c16:uniqueId val="{00000266-450E-4EB1-A63A-E97654685C78}"/>
              </c:ext>
            </c:extLst>
          </c:dPt>
          <c:dPt>
            <c:idx val="6"/>
            <c:invertIfNegative val="0"/>
            <c:bubble3D val="0"/>
            <c:extLst>
              <c:ext xmlns:c16="http://schemas.microsoft.com/office/drawing/2014/chart" uri="{C3380CC4-5D6E-409C-BE32-E72D297353CC}">
                <c16:uniqueId val="{00000267-450E-4EB1-A63A-E97654685C78}"/>
              </c:ext>
            </c:extLst>
          </c:dPt>
          <c:dPt>
            <c:idx val="7"/>
            <c:invertIfNegative val="0"/>
            <c:bubble3D val="0"/>
            <c:extLst>
              <c:ext xmlns:c16="http://schemas.microsoft.com/office/drawing/2014/chart" uri="{C3380CC4-5D6E-409C-BE32-E72D297353CC}">
                <c16:uniqueId val="{00000268-450E-4EB1-A63A-E97654685C78}"/>
              </c:ext>
            </c:extLst>
          </c:dPt>
          <c:dPt>
            <c:idx val="8"/>
            <c:invertIfNegative val="0"/>
            <c:bubble3D val="0"/>
            <c:extLst>
              <c:ext xmlns:c16="http://schemas.microsoft.com/office/drawing/2014/chart" uri="{C3380CC4-5D6E-409C-BE32-E72D297353CC}">
                <c16:uniqueId val="{00000269-450E-4EB1-A63A-E97654685C78}"/>
              </c:ext>
            </c:extLst>
          </c:dPt>
          <c:dPt>
            <c:idx val="9"/>
            <c:invertIfNegative val="0"/>
            <c:bubble3D val="0"/>
            <c:extLst>
              <c:ext xmlns:c16="http://schemas.microsoft.com/office/drawing/2014/chart" uri="{C3380CC4-5D6E-409C-BE32-E72D297353CC}">
                <c16:uniqueId val="{0000026A-450E-4EB1-A63A-E97654685C78}"/>
              </c:ext>
            </c:extLst>
          </c:dPt>
          <c:dPt>
            <c:idx val="10"/>
            <c:invertIfNegative val="0"/>
            <c:bubble3D val="0"/>
            <c:extLst>
              <c:ext xmlns:c16="http://schemas.microsoft.com/office/drawing/2014/chart" uri="{C3380CC4-5D6E-409C-BE32-E72D297353CC}">
                <c16:uniqueId val="{0000026B-450E-4EB1-A63A-E97654685C78}"/>
              </c:ext>
            </c:extLst>
          </c:dPt>
          <c:dPt>
            <c:idx val="11"/>
            <c:invertIfNegative val="0"/>
            <c:bubble3D val="0"/>
            <c:extLst>
              <c:ext xmlns:c16="http://schemas.microsoft.com/office/drawing/2014/chart" uri="{C3380CC4-5D6E-409C-BE32-E72D297353CC}">
                <c16:uniqueId val="{0000026C-450E-4EB1-A63A-E97654685C78}"/>
              </c:ext>
            </c:extLst>
          </c:dPt>
          <c:dPt>
            <c:idx val="12"/>
            <c:invertIfNegative val="0"/>
            <c:bubble3D val="0"/>
            <c:extLst>
              <c:ext xmlns:c16="http://schemas.microsoft.com/office/drawing/2014/chart" uri="{C3380CC4-5D6E-409C-BE32-E72D297353CC}">
                <c16:uniqueId val="{0000026D-450E-4EB1-A63A-E97654685C78}"/>
              </c:ext>
            </c:extLst>
          </c:dPt>
          <c:dPt>
            <c:idx val="13"/>
            <c:invertIfNegative val="0"/>
            <c:bubble3D val="0"/>
            <c:extLst>
              <c:ext xmlns:c16="http://schemas.microsoft.com/office/drawing/2014/chart" uri="{C3380CC4-5D6E-409C-BE32-E72D297353CC}">
                <c16:uniqueId val="{0000026E-450E-4EB1-A63A-E97654685C78}"/>
              </c:ext>
            </c:extLst>
          </c:dPt>
          <c:dPt>
            <c:idx val="14"/>
            <c:invertIfNegative val="0"/>
            <c:bubble3D val="0"/>
            <c:extLst>
              <c:ext xmlns:c16="http://schemas.microsoft.com/office/drawing/2014/chart" uri="{C3380CC4-5D6E-409C-BE32-E72D297353CC}">
                <c16:uniqueId val="{0000026F-450E-4EB1-A63A-E97654685C78}"/>
              </c:ext>
            </c:extLst>
          </c:dPt>
          <c:dPt>
            <c:idx val="15"/>
            <c:invertIfNegative val="0"/>
            <c:bubble3D val="0"/>
            <c:extLst>
              <c:ext xmlns:c16="http://schemas.microsoft.com/office/drawing/2014/chart" uri="{C3380CC4-5D6E-409C-BE32-E72D297353CC}">
                <c16:uniqueId val="{00000270-450E-4EB1-A63A-E97654685C78}"/>
              </c:ext>
            </c:extLst>
          </c:dPt>
          <c:dPt>
            <c:idx val="16"/>
            <c:invertIfNegative val="0"/>
            <c:bubble3D val="0"/>
            <c:extLst>
              <c:ext xmlns:c16="http://schemas.microsoft.com/office/drawing/2014/chart" uri="{C3380CC4-5D6E-409C-BE32-E72D297353CC}">
                <c16:uniqueId val="{00000271-450E-4EB1-A63A-E97654685C78}"/>
              </c:ext>
            </c:extLst>
          </c:dPt>
          <c:dPt>
            <c:idx val="17"/>
            <c:invertIfNegative val="0"/>
            <c:bubble3D val="0"/>
            <c:extLst>
              <c:ext xmlns:c16="http://schemas.microsoft.com/office/drawing/2014/chart" uri="{C3380CC4-5D6E-409C-BE32-E72D297353CC}">
                <c16:uniqueId val="{00000272-450E-4EB1-A63A-E97654685C78}"/>
              </c:ext>
            </c:extLst>
          </c:dPt>
          <c:dPt>
            <c:idx val="18"/>
            <c:invertIfNegative val="0"/>
            <c:bubble3D val="0"/>
            <c:extLst>
              <c:ext xmlns:c16="http://schemas.microsoft.com/office/drawing/2014/chart" uri="{C3380CC4-5D6E-409C-BE32-E72D297353CC}">
                <c16:uniqueId val="{00000273-450E-4EB1-A63A-E97654685C78}"/>
              </c:ext>
            </c:extLst>
          </c:dPt>
          <c:dPt>
            <c:idx val="19"/>
            <c:invertIfNegative val="0"/>
            <c:bubble3D val="0"/>
            <c:extLst>
              <c:ext xmlns:c16="http://schemas.microsoft.com/office/drawing/2014/chart" uri="{C3380CC4-5D6E-409C-BE32-E72D297353CC}">
                <c16:uniqueId val="{00000274-450E-4EB1-A63A-E97654685C78}"/>
              </c:ext>
            </c:extLst>
          </c:dPt>
          <c:dPt>
            <c:idx val="20"/>
            <c:invertIfNegative val="0"/>
            <c:bubble3D val="0"/>
            <c:extLst>
              <c:ext xmlns:c16="http://schemas.microsoft.com/office/drawing/2014/chart" uri="{C3380CC4-5D6E-409C-BE32-E72D297353CC}">
                <c16:uniqueId val="{00000275-450E-4EB1-A63A-E97654685C78}"/>
              </c:ext>
            </c:extLst>
          </c:dPt>
          <c:dPt>
            <c:idx val="21"/>
            <c:invertIfNegative val="0"/>
            <c:bubble3D val="0"/>
            <c:extLst>
              <c:ext xmlns:c16="http://schemas.microsoft.com/office/drawing/2014/chart" uri="{C3380CC4-5D6E-409C-BE32-E72D297353CC}">
                <c16:uniqueId val="{00000276-450E-4EB1-A63A-E97654685C78}"/>
              </c:ext>
            </c:extLst>
          </c:dPt>
          <c:dPt>
            <c:idx val="22"/>
            <c:invertIfNegative val="0"/>
            <c:bubble3D val="0"/>
            <c:extLst>
              <c:ext xmlns:c16="http://schemas.microsoft.com/office/drawing/2014/chart" uri="{C3380CC4-5D6E-409C-BE32-E72D297353CC}">
                <c16:uniqueId val="{00000277-450E-4EB1-A63A-E97654685C78}"/>
              </c:ext>
            </c:extLst>
          </c:dPt>
          <c:dPt>
            <c:idx val="23"/>
            <c:invertIfNegative val="0"/>
            <c:bubble3D val="0"/>
            <c:extLst>
              <c:ext xmlns:c16="http://schemas.microsoft.com/office/drawing/2014/chart" uri="{C3380CC4-5D6E-409C-BE32-E72D297353CC}">
                <c16:uniqueId val="{00000278-450E-4EB1-A63A-E97654685C78}"/>
              </c:ext>
            </c:extLst>
          </c:dPt>
          <c:dPt>
            <c:idx val="24"/>
            <c:invertIfNegative val="0"/>
            <c:bubble3D val="0"/>
            <c:extLst>
              <c:ext xmlns:c16="http://schemas.microsoft.com/office/drawing/2014/chart" uri="{C3380CC4-5D6E-409C-BE32-E72D297353CC}">
                <c16:uniqueId val="{00000279-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Data'!$C$7:$X$7</c:f>
              <c:numCache>
                <c:formatCode>#,##0_ ;\-#,##0\ </c:formatCode>
                <c:ptCount val="22"/>
                <c:pt idx="0">
                  <c:v>671</c:v>
                </c:pt>
                <c:pt idx="1">
                  <c:v>421</c:v>
                </c:pt>
                <c:pt idx="2">
                  <c:v>386</c:v>
                </c:pt>
                <c:pt idx="3">
                  <c:v>49</c:v>
                </c:pt>
                <c:pt idx="4">
                  <c:v>102</c:v>
                </c:pt>
                <c:pt idx="5">
                  <c:v>71</c:v>
                </c:pt>
                <c:pt idx="6">
                  <c:v>121</c:v>
                </c:pt>
                <c:pt idx="7">
                  <c:v>179</c:v>
                </c:pt>
                <c:pt idx="8">
                  <c:v>264</c:v>
                </c:pt>
                <c:pt idx="9">
                  <c:v>167</c:v>
                </c:pt>
                <c:pt idx="10">
                  <c:v>209</c:v>
                </c:pt>
                <c:pt idx="11">
                  <c:v>446</c:v>
                </c:pt>
                <c:pt idx="12">
                  <c:v>211</c:v>
                </c:pt>
                <c:pt idx="13">
                  <c:v>204</c:v>
                </c:pt>
                <c:pt idx="14">
                  <c:v>183</c:v>
                </c:pt>
                <c:pt idx="15">
                  <c:v>150</c:v>
                </c:pt>
                <c:pt idx="16">
                  <c:v>282</c:v>
                </c:pt>
                <c:pt idx="17">
                  <c:v>1465</c:v>
                </c:pt>
                <c:pt idx="18">
                  <c:v>3054</c:v>
                </c:pt>
                <c:pt idx="19">
                  <c:v>2073</c:v>
                </c:pt>
                <c:pt idx="20">
                  <c:v>3720</c:v>
                </c:pt>
                <c:pt idx="21">
                  <c:v>3063</c:v>
                </c:pt>
              </c:numCache>
            </c:numRef>
          </c:val>
          <c:extLst>
            <c:ext xmlns:c16="http://schemas.microsoft.com/office/drawing/2014/chart" uri="{C3380CC4-5D6E-409C-BE32-E72D297353CC}">
              <c16:uniqueId val="{0000027A-450E-4EB1-A63A-E97654685C78}"/>
            </c:ext>
          </c:extLst>
        </c:ser>
        <c:ser>
          <c:idx val="5"/>
          <c:order val="5"/>
          <c:tx>
            <c:strRef>
              <c:f>'NEMEnergyGenerated Data'!$B$8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27C-450E-4EB1-A63A-E97654685C78}"/>
              </c:ext>
            </c:extLst>
          </c:dPt>
          <c:dPt>
            <c:idx val="1"/>
            <c:invertIfNegative val="0"/>
            <c:bubble3D val="0"/>
            <c:extLst>
              <c:ext xmlns:c16="http://schemas.microsoft.com/office/drawing/2014/chart" uri="{C3380CC4-5D6E-409C-BE32-E72D297353CC}">
                <c16:uniqueId val="{0000027D-450E-4EB1-A63A-E97654685C78}"/>
              </c:ext>
            </c:extLst>
          </c:dPt>
          <c:dPt>
            <c:idx val="2"/>
            <c:invertIfNegative val="0"/>
            <c:bubble3D val="0"/>
            <c:extLst>
              <c:ext xmlns:c16="http://schemas.microsoft.com/office/drawing/2014/chart" uri="{C3380CC4-5D6E-409C-BE32-E72D297353CC}">
                <c16:uniqueId val="{0000027E-450E-4EB1-A63A-E97654685C78}"/>
              </c:ext>
            </c:extLst>
          </c:dPt>
          <c:dPt>
            <c:idx val="3"/>
            <c:invertIfNegative val="0"/>
            <c:bubble3D val="0"/>
            <c:extLst>
              <c:ext xmlns:c16="http://schemas.microsoft.com/office/drawing/2014/chart" uri="{C3380CC4-5D6E-409C-BE32-E72D297353CC}">
                <c16:uniqueId val="{0000027F-450E-4EB1-A63A-E97654685C78}"/>
              </c:ext>
            </c:extLst>
          </c:dPt>
          <c:dPt>
            <c:idx val="4"/>
            <c:invertIfNegative val="0"/>
            <c:bubble3D val="0"/>
            <c:extLst>
              <c:ext xmlns:c16="http://schemas.microsoft.com/office/drawing/2014/chart" uri="{C3380CC4-5D6E-409C-BE32-E72D297353CC}">
                <c16:uniqueId val="{00000280-450E-4EB1-A63A-E97654685C78}"/>
              </c:ext>
            </c:extLst>
          </c:dPt>
          <c:dPt>
            <c:idx val="5"/>
            <c:invertIfNegative val="0"/>
            <c:bubble3D val="0"/>
            <c:extLst>
              <c:ext xmlns:c16="http://schemas.microsoft.com/office/drawing/2014/chart" uri="{C3380CC4-5D6E-409C-BE32-E72D297353CC}">
                <c16:uniqueId val="{00000281-450E-4EB1-A63A-E97654685C78}"/>
              </c:ext>
            </c:extLst>
          </c:dPt>
          <c:dPt>
            <c:idx val="6"/>
            <c:invertIfNegative val="0"/>
            <c:bubble3D val="0"/>
            <c:extLst>
              <c:ext xmlns:c16="http://schemas.microsoft.com/office/drawing/2014/chart" uri="{C3380CC4-5D6E-409C-BE32-E72D297353CC}">
                <c16:uniqueId val="{00000282-450E-4EB1-A63A-E97654685C78}"/>
              </c:ext>
            </c:extLst>
          </c:dPt>
          <c:dPt>
            <c:idx val="7"/>
            <c:invertIfNegative val="0"/>
            <c:bubble3D val="0"/>
            <c:extLst>
              <c:ext xmlns:c16="http://schemas.microsoft.com/office/drawing/2014/chart" uri="{C3380CC4-5D6E-409C-BE32-E72D297353CC}">
                <c16:uniqueId val="{00000283-450E-4EB1-A63A-E97654685C78}"/>
              </c:ext>
            </c:extLst>
          </c:dPt>
          <c:dPt>
            <c:idx val="8"/>
            <c:invertIfNegative val="0"/>
            <c:bubble3D val="0"/>
            <c:extLst>
              <c:ext xmlns:c16="http://schemas.microsoft.com/office/drawing/2014/chart" uri="{C3380CC4-5D6E-409C-BE32-E72D297353CC}">
                <c16:uniqueId val="{00000284-450E-4EB1-A63A-E97654685C78}"/>
              </c:ext>
            </c:extLst>
          </c:dPt>
          <c:dPt>
            <c:idx val="9"/>
            <c:invertIfNegative val="0"/>
            <c:bubble3D val="0"/>
            <c:extLst>
              <c:ext xmlns:c16="http://schemas.microsoft.com/office/drawing/2014/chart" uri="{C3380CC4-5D6E-409C-BE32-E72D297353CC}">
                <c16:uniqueId val="{00000285-450E-4EB1-A63A-E97654685C78}"/>
              </c:ext>
            </c:extLst>
          </c:dPt>
          <c:dPt>
            <c:idx val="10"/>
            <c:invertIfNegative val="0"/>
            <c:bubble3D val="0"/>
            <c:extLst>
              <c:ext xmlns:c16="http://schemas.microsoft.com/office/drawing/2014/chart" uri="{C3380CC4-5D6E-409C-BE32-E72D297353CC}">
                <c16:uniqueId val="{00000286-450E-4EB1-A63A-E97654685C78}"/>
              </c:ext>
            </c:extLst>
          </c:dPt>
          <c:dPt>
            <c:idx val="11"/>
            <c:invertIfNegative val="0"/>
            <c:bubble3D val="0"/>
            <c:extLst>
              <c:ext xmlns:c16="http://schemas.microsoft.com/office/drawing/2014/chart" uri="{C3380CC4-5D6E-409C-BE32-E72D297353CC}">
                <c16:uniqueId val="{00000287-450E-4EB1-A63A-E97654685C78}"/>
              </c:ext>
            </c:extLst>
          </c:dPt>
          <c:dPt>
            <c:idx val="12"/>
            <c:invertIfNegative val="0"/>
            <c:bubble3D val="0"/>
            <c:extLst>
              <c:ext xmlns:c16="http://schemas.microsoft.com/office/drawing/2014/chart" uri="{C3380CC4-5D6E-409C-BE32-E72D297353CC}">
                <c16:uniqueId val="{00000288-450E-4EB1-A63A-E97654685C78}"/>
              </c:ext>
            </c:extLst>
          </c:dPt>
          <c:dPt>
            <c:idx val="13"/>
            <c:invertIfNegative val="0"/>
            <c:bubble3D val="0"/>
            <c:extLst>
              <c:ext xmlns:c16="http://schemas.microsoft.com/office/drawing/2014/chart" uri="{C3380CC4-5D6E-409C-BE32-E72D297353CC}">
                <c16:uniqueId val="{00000289-450E-4EB1-A63A-E97654685C78}"/>
              </c:ext>
            </c:extLst>
          </c:dPt>
          <c:dPt>
            <c:idx val="14"/>
            <c:invertIfNegative val="0"/>
            <c:bubble3D val="0"/>
            <c:extLst>
              <c:ext xmlns:c16="http://schemas.microsoft.com/office/drawing/2014/chart" uri="{C3380CC4-5D6E-409C-BE32-E72D297353CC}">
                <c16:uniqueId val="{0000028A-450E-4EB1-A63A-E97654685C78}"/>
              </c:ext>
            </c:extLst>
          </c:dPt>
          <c:dPt>
            <c:idx val="15"/>
            <c:invertIfNegative val="0"/>
            <c:bubble3D val="0"/>
            <c:extLst>
              <c:ext xmlns:c16="http://schemas.microsoft.com/office/drawing/2014/chart" uri="{C3380CC4-5D6E-409C-BE32-E72D297353CC}">
                <c16:uniqueId val="{0000028B-450E-4EB1-A63A-E97654685C78}"/>
              </c:ext>
            </c:extLst>
          </c:dPt>
          <c:dPt>
            <c:idx val="16"/>
            <c:invertIfNegative val="0"/>
            <c:bubble3D val="0"/>
            <c:extLst>
              <c:ext xmlns:c16="http://schemas.microsoft.com/office/drawing/2014/chart" uri="{C3380CC4-5D6E-409C-BE32-E72D297353CC}">
                <c16:uniqueId val="{0000028C-450E-4EB1-A63A-E97654685C78}"/>
              </c:ext>
            </c:extLst>
          </c:dPt>
          <c:dPt>
            <c:idx val="17"/>
            <c:invertIfNegative val="0"/>
            <c:bubble3D val="0"/>
            <c:extLst>
              <c:ext xmlns:c16="http://schemas.microsoft.com/office/drawing/2014/chart" uri="{C3380CC4-5D6E-409C-BE32-E72D297353CC}">
                <c16:uniqueId val="{0000028D-450E-4EB1-A63A-E97654685C78}"/>
              </c:ext>
            </c:extLst>
          </c:dPt>
          <c:dPt>
            <c:idx val="18"/>
            <c:invertIfNegative val="0"/>
            <c:bubble3D val="0"/>
            <c:extLst>
              <c:ext xmlns:c16="http://schemas.microsoft.com/office/drawing/2014/chart" uri="{C3380CC4-5D6E-409C-BE32-E72D297353CC}">
                <c16:uniqueId val="{0000028E-450E-4EB1-A63A-E97654685C78}"/>
              </c:ext>
            </c:extLst>
          </c:dPt>
          <c:dPt>
            <c:idx val="19"/>
            <c:invertIfNegative val="0"/>
            <c:bubble3D val="0"/>
            <c:extLst>
              <c:ext xmlns:c16="http://schemas.microsoft.com/office/drawing/2014/chart" uri="{C3380CC4-5D6E-409C-BE32-E72D297353CC}">
                <c16:uniqueId val="{0000028F-450E-4EB1-A63A-E97654685C78}"/>
              </c:ext>
            </c:extLst>
          </c:dPt>
          <c:dPt>
            <c:idx val="20"/>
            <c:invertIfNegative val="0"/>
            <c:bubble3D val="0"/>
            <c:extLst>
              <c:ext xmlns:c16="http://schemas.microsoft.com/office/drawing/2014/chart" uri="{C3380CC4-5D6E-409C-BE32-E72D297353CC}">
                <c16:uniqueId val="{00000290-450E-4EB1-A63A-E97654685C78}"/>
              </c:ext>
            </c:extLst>
          </c:dPt>
          <c:dPt>
            <c:idx val="21"/>
            <c:invertIfNegative val="0"/>
            <c:bubble3D val="0"/>
            <c:extLst>
              <c:ext xmlns:c16="http://schemas.microsoft.com/office/drawing/2014/chart" uri="{C3380CC4-5D6E-409C-BE32-E72D297353CC}">
                <c16:uniqueId val="{00000291-450E-4EB1-A63A-E97654685C78}"/>
              </c:ext>
            </c:extLst>
          </c:dPt>
          <c:dPt>
            <c:idx val="22"/>
            <c:invertIfNegative val="0"/>
            <c:bubble3D val="0"/>
            <c:extLst>
              <c:ext xmlns:c16="http://schemas.microsoft.com/office/drawing/2014/chart" uri="{C3380CC4-5D6E-409C-BE32-E72D297353CC}">
                <c16:uniqueId val="{00000292-450E-4EB1-A63A-E97654685C78}"/>
              </c:ext>
            </c:extLst>
          </c:dPt>
          <c:dPt>
            <c:idx val="23"/>
            <c:invertIfNegative val="0"/>
            <c:bubble3D val="0"/>
            <c:extLst>
              <c:ext xmlns:c16="http://schemas.microsoft.com/office/drawing/2014/chart" uri="{C3380CC4-5D6E-409C-BE32-E72D297353CC}">
                <c16:uniqueId val="{00000293-450E-4EB1-A63A-E97654685C78}"/>
              </c:ext>
            </c:extLst>
          </c:dPt>
          <c:dPt>
            <c:idx val="24"/>
            <c:invertIfNegative val="0"/>
            <c:bubble3D val="0"/>
            <c:extLst>
              <c:ext xmlns:c16="http://schemas.microsoft.com/office/drawing/2014/chart" uri="{C3380CC4-5D6E-409C-BE32-E72D297353CC}">
                <c16:uniqueId val="{00000294-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Data'!$C$8:$X$8</c:f>
              <c:numCache>
                <c:formatCode>#,##0_ ;\-#,##0\ </c:formatCode>
                <c:ptCount val="22"/>
                <c:pt idx="0">
                  <c:v>18190</c:v>
                </c:pt>
                <c:pt idx="1">
                  <c:v>24191</c:v>
                </c:pt>
                <c:pt idx="2">
                  <c:v>25968</c:v>
                </c:pt>
                <c:pt idx="3">
                  <c:v>26463</c:v>
                </c:pt>
                <c:pt idx="4">
                  <c:v>26175</c:v>
                </c:pt>
                <c:pt idx="5">
                  <c:v>25055</c:v>
                </c:pt>
                <c:pt idx="6">
                  <c:v>30671</c:v>
                </c:pt>
                <c:pt idx="7">
                  <c:v>30579</c:v>
                </c:pt>
                <c:pt idx="8">
                  <c:v>31518</c:v>
                </c:pt>
                <c:pt idx="9">
                  <c:v>30411</c:v>
                </c:pt>
                <c:pt idx="10">
                  <c:v>31959</c:v>
                </c:pt>
                <c:pt idx="11">
                  <c:v>32568</c:v>
                </c:pt>
                <c:pt idx="12">
                  <c:v>30869</c:v>
                </c:pt>
                <c:pt idx="13">
                  <c:v>30270</c:v>
                </c:pt>
                <c:pt idx="14">
                  <c:v>31571</c:v>
                </c:pt>
                <c:pt idx="15">
                  <c:v>31385</c:v>
                </c:pt>
                <c:pt idx="16">
                  <c:v>32101</c:v>
                </c:pt>
                <c:pt idx="17">
                  <c:v>33887</c:v>
                </c:pt>
                <c:pt idx="18">
                  <c:v>36388</c:v>
                </c:pt>
                <c:pt idx="19">
                  <c:v>35808</c:v>
                </c:pt>
                <c:pt idx="20">
                  <c:v>37375</c:v>
                </c:pt>
                <c:pt idx="21">
                  <c:v>37997</c:v>
                </c:pt>
              </c:numCache>
            </c:numRef>
          </c:val>
          <c:extLst>
            <c:ext xmlns:c16="http://schemas.microsoft.com/office/drawing/2014/chart" uri="{C3380CC4-5D6E-409C-BE32-E72D297353CC}">
              <c16:uniqueId val="{00000295-450E-4EB1-A63A-E97654685C78}"/>
            </c:ext>
          </c:extLst>
        </c:ser>
        <c:ser>
          <c:idx val="8"/>
          <c:order val="6"/>
          <c:tx>
            <c:strRef>
              <c:f>'NEMEnergyGenerated Data'!$B$12</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297-450E-4EB1-A63A-E97654685C78}"/>
              </c:ext>
            </c:extLst>
          </c:dPt>
          <c:dPt>
            <c:idx val="1"/>
            <c:invertIfNegative val="0"/>
            <c:bubble3D val="0"/>
            <c:extLst>
              <c:ext xmlns:c16="http://schemas.microsoft.com/office/drawing/2014/chart" uri="{C3380CC4-5D6E-409C-BE32-E72D297353CC}">
                <c16:uniqueId val="{00000298-450E-4EB1-A63A-E97654685C78}"/>
              </c:ext>
            </c:extLst>
          </c:dPt>
          <c:dPt>
            <c:idx val="2"/>
            <c:invertIfNegative val="0"/>
            <c:bubble3D val="0"/>
            <c:extLst>
              <c:ext xmlns:c16="http://schemas.microsoft.com/office/drawing/2014/chart" uri="{C3380CC4-5D6E-409C-BE32-E72D297353CC}">
                <c16:uniqueId val="{00000299-450E-4EB1-A63A-E97654685C78}"/>
              </c:ext>
            </c:extLst>
          </c:dPt>
          <c:dPt>
            <c:idx val="3"/>
            <c:invertIfNegative val="0"/>
            <c:bubble3D val="0"/>
            <c:extLst>
              <c:ext xmlns:c16="http://schemas.microsoft.com/office/drawing/2014/chart" uri="{C3380CC4-5D6E-409C-BE32-E72D297353CC}">
                <c16:uniqueId val="{0000029A-450E-4EB1-A63A-E97654685C78}"/>
              </c:ext>
            </c:extLst>
          </c:dPt>
          <c:dPt>
            <c:idx val="4"/>
            <c:invertIfNegative val="0"/>
            <c:bubble3D val="0"/>
            <c:extLst>
              <c:ext xmlns:c16="http://schemas.microsoft.com/office/drawing/2014/chart" uri="{C3380CC4-5D6E-409C-BE32-E72D297353CC}">
                <c16:uniqueId val="{0000029B-450E-4EB1-A63A-E97654685C78}"/>
              </c:ext>
            </c:extLst>
          </c:dPt>
          <c:dPt>
            <c:idx val="5"/>
            <c:invertIfNegative val="0"/>
            <c:bubble3D val="0"/>
            <c:extLst>
              <c:ext xmlns:c16="http://schemas.microsoft.com/office/drawing/2014/chart" uri="{C3380CC4-5D6E-409C-BE32-E72D297353CC}">
                <c16:uniqueId val="{0000029C-450E-4EB1-A63A-E97654685C78}"/>
              </c:ext>
            </c:extLst>
          </c:dPt>
          <c:dPt>
            <c:idx val="6"/>
            <c:invertIfNegative val="0"/>
            <c:bubble3D val="0"/>
            <c:extLst>
              <c:ext xmlns:c16="http://schemas.microsoft.com/office/drawing/2014/chart" uri="{C3380CC4-5D6E-409C-BE32-E72D297353CC}">
                <c16:uniqueId val="{0000029D-450E-4EB1-A63A-E97654685C78}"/>
              </c:ext>
            </c:extLst>
          </c:dPt>
          <c:dPt>
            <c:idx val="7"/>
            <c:invertIfNegative val="0"/>
            <c:bubble3D val="0"/>
            <c:extLst>
              <c:ext xmlns:c16="http://schemas.microsoft.com/office/drawing/2014/chart" uri="{C3380CC4-5D6E-409C-BE32-E72D297353CC}">
                <c16:uniqueId val="{0000029E-450E-4EB1-A63A-E97654685C78}"/>
              </c:ext>
            </c:extLst>
          </c:dPt>
          <c:dPt>
            <c:idx val="8"/>
            <c:invertIfNegative val="0"/>
            <c:bubble3D val="0"/>
            <c:extLst>
              <c:ext xmlns:c16="http://schemas.microsoft.com/office/drawing/2014/chart" uri="{C3380CC4-5D6E-409C-BE32-E72D297353CC}">
                <c16:uniqueId val="{0000029F-450E-4EB1-A63A-E97654685C78}"/>
              </c:ext>
            </c:extLst>
          </c:dPt>
          <c:dPt>
            <c:idx val="9"/>
            <c:invertIfNegative val="0"/>
            <c:bubble3D val="0"/>
            <c:extLst>
              <c:ext xmlns:c16="http://schemas.microsoft.com/office/drawing/2014/chart" uri="{C3380CC4-5D6E-409C-BE32-E72D297353CC}">
                <c16:uniqueId val="{000002A0-450E-4EB1-A63A-E97654685C78}"/>
              </c:ext>
            </c:extLst>
          </c:dPt>
          <c:dPt>
            <c:idx val="10"/>
            <c:invertIfNegative val="0"/>
            <c:bubble3D val="0"/>
            <c:extLst>
              <c:ext xmlns:c16="http://schemas.microsoft.com/office/drawing/2014/chart" uri="{C3380CC4-5D6E-409C-BE32-E72D297353CC}">
                <c16:uniqueId val="{000002A1-450E-4EB1-A63A-E97654685C78}"/>
              </c:ext>
            </c:extLst>
          </c:dPt>
          <c:dPt>
            <c:idx val="11"/>
            <c:invertIfNegative val="0"/>
            <c:bubble3D val="0"/>
            <c:extLst>
              <c:ext xmlns:c16="http://schemas.microsoft.com/office/drawing/2014/chart" uri="{C3380CC4-5D6E-409C-BE32-E72D297353CC}">
                <c16:uniqueId val="{000002A2-450E-4EB1-A63A-E97654685C78}"/>
              </c:ext>
            </c:extLst>
          </c:dPt>
          <c:dPt>
            <c:idx val="12"/>
            <c:invertIfNegative val="0"/>
            <c:bubble3D val="0"/>
            <c:extLst>
              <c:ext xmlns:c16="http://schemas.microsoft.com/office/drawing/2014/chart" uri="{C3380CC4-5D6E-409C-BE32-E72D297353CC}">
                <c16:uniqueId val="{000002A3-450E-4EB1-A63A-E97654685C78}"/>
              </c:ext>
            </c:extLst>
          </c:dPt>
          <c:dPt>
            <c:idx val="13"/>
            <c:invertIfNegative val="0"/>
            <c:bubble3D val="0"/>
            <c:extLst>
              <c:ext xmlns:c16="http://schemas.microsoft.com/office/drawing/2014/chart" uri="{C3380CC4-5D6E-409C-BE32-E72D297353CC}">
                <c16:uniqueId val="{000002A4-450E-4EB1-A63A-E97654685C78}"/>
              </c:ext>
            </c:extLst>
          </c:dPt>
          <c:dPt>
            <c:idx val="14"/>
            <c:invertIfNegative val="0"/>
            <c:bubble3D val="0"/>
            <c:extLst>
              <c:ext xmlns:c16="http://schemas.microsoft.com/office/drawing/2014/chart" uri="{C3380CC4-5D6E-409C-BE32-E72D297353CC}">
                <c16:uniqueId val="{000002A5-450E-4EB1-A63A-E97654685C78}"/>
              </c:ext>
            </c:extLst>
          </c:dPt>
          <c:dPt>
            <c:idx val="15"/>
            <c:invertIfNegative val="0"/>
            <c:bubble3D val="0"/>
            <c:extLst>
              <c:ext xmlns:c16="http://schemas.microsoft.com/office/drawing/2014/chart" uri="{C3380CC4-5D6E-409C-BE32-E72D297353CC}">
                <c16:uniqueId val="{000002A6-450E-4EB1-A63A-E97654685C78}"/>
              </c:ext>
            </c:extLst>
          </c:dPt>
          <c:dPt>
            <c:idx val="16"/>
            <c:invertIfNegative val="0"/>
            <c:bubble3D val="0"/>
            <c:extLst>
              <c:ext xmlns:c16="http://schemas.microsoft.com/office/drawing/2014/chart" uri="{C3380CC4-5D6E-409C-BE32-E72D297353CC}">
                <c16:uniqueId val="{000002A7-450E-4EB1-A63A-E97654685C78}"/>
              </c:ext>
            </c:extLst>
          </c:dPt>
          <c:dPt>
            <c:idx val="17"/>
            <c:invertIfNegative val="0"/>
            <c:bubble3D val="0"/>
            <c:extLst>
              <c:ext xmlns:c16="http://schemas.microsoft.com/office/drawing/2014/chart" uri="{C3380CC4-5D6E-409C-BE32-E72D297353CC}">
                <c16:uniqueId val="{000002A8-450E-4EB1-A63A-E97654685C78}"/>
              </c:ext>
            </c:extLst>
          </c:dPt>
          <c:dPt>
            <c:idx val="18"/>
            <c:invertIfNegative val="0"/>
            <c:bubble3D val="0"/>
            <c:extLst>
              <c:ext xmlns:c16="http://schemas.microsoft.com/office/drawing/2014/chart" uri="{C3380CC4-5D6E-409C-BE32-E72D297353CC}">
                <c16:uniqueId val="{000002A9-450E-4EB1-A63A-E97654685C78}"/>
              </c:ext>
            </c:extLst>
          </c:dPt>
          <c:dPt>
            <c:idx val="19"/>
            <c:invertIfNegative val="0"/>
            <c:bubble3D val="0"/>
            <c:extLst>
              <c:ext xmlns:c16="http://schemas.microsoft.com/office/drawing/2014/chart" uri="{C3380CC4-5D6E-409C-BE32-E72D297353CC}">
                <c16:uniqueId val="{000002AA-450E-4EB1-A63A-E97654685C78}"/>
              </c:ext>
            </c:extLst>
          </c:dPt>
          <c:dPt>
            <c:idx val="20"/>
            <c:invertIfNegative val="0"/>
            <c:bubble3D val="0"/>
            <c:extLst>
              <c:ext xmlns:c16="http://schemas.microsoft.com/office/drawing/2014/chart" uri="{C3380CC4-5D6E-409C-BE32-E72D297353CC}">
                <c16:uniqueId val="{000002AB-450E-4EB1-A63A-E97654685C78}"/>
              </c:ext>
            </c:extLst>
          </c:dPt>
          <c:dPt>
            <c:idx val="21"/>
            <c:invertIfNegative val="0"/>
            <c:bubble3D val="0"/>
            <c:extLst>
              <c:ext xmlns:c16="http://schemas.microsoft.com/office/drawing/2014/chart" uri="{C3380CC4-5D6E-409C-BE32-E72D297353CC}">
                <c16:uniqueId val="{000002AC-450E-4EB1-A63A-E97654685C78}"/>
              </c:ext>
            </c:extLst>
          </c:dPt>
          <c:dPt>
            <c:idx val="22"/>
            <c:invertIfNegative val="0"/>
            <c:bubble3D val="0"/>
            <c:extLst>
              <c:ext xmlns:c16="http://schemas.microsoft.com/office/drawing/2014/chart" uri="{C3380CC4-5D6E-409C-BE32-E72D297353CC}">
                <c16:uniqueId val="{000002AD-450E-4EB1-A63A-E97654685C78}"/>
              </c:ext>
            </c:extLst>
          </c:dPt>
          <c:dPt>
            <c:idx val="23"/>
            <c:invertIfNegative val="0"/>
            <c:bubble3D val="0"/>
            <c:extLst>
              <c:ext xmlns:c16="http://schemas.microsoft.com/office/drawing/2014/chart" uri="{C3380CC4-5D6E-409C-BE32-E72D297353CC}">
                <c16:uniqueId val="{000002AE-450E-4EB1-A63A-E97654685C78}"/>
              </c:ext>
            </c:extLst>
          </c:dPt>
          <c:dPt>
            <c:idx val="24"/>
            <c:invertIfNegative val="0"/>
            <c:bubble3D val="0"/>
            <c:extLst>
              <c:ext xmlns:c16="http://schemas.microsoft.com/office/drawing/2014/chart" uri="{C3380CC4-5D6E-409C-BE32-E72D297353CC}">
                <c16:uniqueId val="{000002AF-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Data'!$C$12:$X$12</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553</c:v>
                </c:pt>
                <c:pt idx="18">
                  <c:v>551</c:v>
                </c:pt>
                <c:pt idx="19">
                  <c:v>551</c:v>
                </c:pt>
                <c:pt idx="20">
                  <c:v>551</c:v>
                </c:pt>
                <c:pt idx="21">
                  <c:v>553</c:v>
                </c:pt>
              </c:numCache>
            </c:numRef>
          </c:val>
          <c:extLst>
            <c:ext xmlns:c16="http://schemas.microsoft.com/office/drawing/2014/chart" uri="{C3380CC4-5D6E-409C-BE32-E72D297353CC}">
              <c16:uniqueId val="{000002B0-450E-4EB1-A63A-E97654685C78}"/>
            </c:ext>
          </c:extLst>
        </c:ser>
        <c:ser>
          <c:idx val="6"/>
          <c:order val="7"/>
          <c:tx>
            <c:strRef>
              <c:f>'NEMEnergyGenerated Data'!$B$9</c:f>
              <c:strCache>
                <c:ptCount val="1"/>
                <c:pt idx="0">
                  <c:v>Utility Solar</c:v>
                </c:pt>
              </c:strCache>
            </c:strRef>
          </c:tx>
          <c:spPr>
            <a:solidFill>
              <a:srgbClr val="FFC222"/>
            </a:solidFill>
            <a:ln>
              <a:noFill/>
            </a:ln>
            <a:effectLst/>
          </c:spPr>
          <c:invertIfNegative val="0"/>
          <c:dPt>
            <c:idx val="0"/>
            <c:invertIfNegative val="0"/>
            <c:bubble3D val="0"/>
            <c:extLst>
              <c:ext xmlns:c16="http://schemas.microsoft.com/office/drawing/2014/chart" uri="{C3380CC4-5D6E-409C-BE32-E72D297353CC}">
                <c16:uniqueId val="{000002B2-450E-4EB1-A63A-E97654685C78}"/>
              </c:ext>
            </c:extLst>
          </c:dPt>
          <c:dPt>
            <c:idx val="1"/>
            <c:invertIfNegative val="0"/>
            <c:bubble3D val="0"/>
            <c:extLst>
              <c:ext xmlns:c16="http://schemas.microsoft.com/office/drawing/2014/chart" uri="{C3380CC4-5D6E-409C-BE32-E72D297353CC}">
                <c16:uniqueId val="{000002B3-450E-4EB1-A63A-E97654685C78}"/>
              </c:ext>
            </c:extLst>
          </c:dPt>
          <c:dPt>
            <c:idx val="2"/>
            <c:invertIfNegative val="0"/>
            <c:bubble3D val="0"/>
            <c:extLst>
              <c:ext xmlns:c16="http://schemas.microsoft.com/office/drawing/2014/chart" uri="{C3380CC4-5D6E-409C-BE32-E72D297353CC}">
                <c16:uniqueId val="{000002B4-450E-4EB1-A63A-E97654685C78}"/>
              </c:ext>
            </c:extLst>
          </c:dPt>
          <c:dPt>
            <c:idx val="3"/>
            <c:invertIfNegative val="0"/>
            <c:bubble3D val="0"/>
            <c:extLst>
              <c:ext xmlns:c16="http://schemas.microsoft.com/office/drawing/2014/chart" uri="{C3380CC4-5D6E-409C-BE32-E72D297353CC}">
                <c16:uniqueId val="{000002B5-450E-4EB1-A63A-E97654685C78}"/>
              </c:ext>
            </c:extLst>
          </c:dPt>
          <c:dPt>
            <c:idx val="4"/>
            <c:invertIfNegative val="0"/>
            <c:bubble3D val="0"/>
            <c:extLst>
              <c:ext xmlns:c16="http://schemas.microsoft.com/office/drawing/2014/chart" uri="{C3380CC4-5D6E-409C-BE32-E72D297353CC}">
                <c16:uniqueId val="{000002B6-450E-4EB1-A63A-E97654685C78}"/>
              </c:ext>
            </c:extLst>
          </c:dPt>
          <c:dPt>
            <c:idx val="5"/>
            <c:invertIfNegative val="0"/>
            <c:bubble3D val="0"/>
            <c:extLst>
              <c:ext xmlns:c16="http://schemas.microsoft.com/office/drawing/2014/chart" uri="{C3380CC4-5D6E-409C-BE32-E72D297353CC}">
                <c16:uniqueId val="{000002B7-450E-4EB1-A63A-E97654685C78}"/>
              </c:ext>
            </c:extLst>
          </c:dPt>
          <c:dPt>
            <c:idx val="6"/>
            <c:invertIfNegative val="0"/>
            <c:bubble3D val="0"/>
            <c:extLst>
              <c:ext xmlns:c16="http://schemas.microsoft.com/office/drawing/2014/chart" uri="{C3380CC4-5D6E-409C-BE32-E72D297353CC}">
                <c16:uniqueId val="{000002B8-450E-4EB1-A63A-E97654685C78}"/>
              </c:ext>
            </c:extLst>
          </c:dPt>
          <c:dPt>
            <c:idx val="7"/>
            <c:invertIfNegative val="0"/>
            <c:bubble3D val="0"/>
            <c:extLst>
              <c:ext xmlns:c16="http://schemas.microsoft.com/office/drawing/2014/chart" uri="{C3380CC4-5D6E-409C-BE32-E72D297353CC}">
                <c16:uniqueId val="{000002B9-450E-4EB1-A63A-E97654685C78}"/>
              </c:ext>
            </c:extLst>
          </c:dPt>
          <c:dPt>
            <c:idx val="8"/>
            <c:invertIfNegative val="0"/>
            <c:bubble3D val="0"/>
            <c:extLst>
              <c:ext xmlns:c16="http://schemas.microsoft.com/office/drawing/2014/chart" uri="{C3380CC4-5D6E-409C-BE32-E72D297353CC}">
                <c16:uniqueId val="{000002BA-450E-4EB1-A63A-E97654685C78}"/>
              </c:ext>
            </c:extLst>
          </c:dPt>
          <c:dPt>
            <c:idx val="9"/>
            <c:invertIfNegative val="0"/>
            <c:bubble3D val="0"/>
            <c:extLst>
              <c:ext xmlns:c16="http://schemas.microsoft.com/office/drawing/2014/chart" uri="{C3380CC4-5D6E-409C-BE32-E72D297353CC}">
                <c16:uniqueId val="{000002BB-450E-4EB1-A63A-E97654685C78}"/>
              </c:ext>
            </c:extLst>
          </c:dPt>
          <c:dPt>
            <c:idx val="10"/>
            <c:invertIfNegative val="0"/>
            <c:bubble3D val="0"/>
            <c:extLst>
              <c:ext xmlns:c16="http://schemas.microsoft.com/office/drawing/2014/chart" uri="{C3380CC4-5D6E-409C-BE32-E72D297353CC}">
                <c16:uniqueId val="{000002BC-450E-4EB1-A63A-E97654685C78}"/>
              </c:ext>
            </c:extLst>
          </c:dPt>
          <c:dPt>
            <c:idx val="11"/>
            <c:invertIfNegative val="0"/>
            <c:bubble3D val="0"/>
            <c:extLst>
              <c:ext xmlns:c16="http://schemas.microsoft.com/office/drawing/2014/chart" uri="{C3380CC4-5D6E-409C-BE32-E72D297353CC}">
                <c16:uniqueId val="{000002BD-450E-4EB1-A63A-E97654685C78}"/>
              </c:ext>
            </c:extLst>
          </c:dPt>
          <c:dPt>
            <c:idx val="12"/>
            <c:invertIfNegative val="0"/>
            <c:bubble3D val="0"/>
            <c:extLst>
              <c:ext xmlns:c16="http://schemas.microsoft.com/office/drawing/2014/chart" uri="{C3380CC4-5D6E-409C-BE32-E72D297353CC}">
                <c16:uniqueId val="{000002BE-450E-4EB1-A63A-E97654685C78}"/>
              </c:ext>
            </c:extLst>
          </c:dPt>
          <c:dPt>
            <c:idx val="13"/>
            <c:invertIfNegative val="0"/>
            <c:bubble3D val="0"/>
            <c:extLst>
              <c:ext xmlns:c16="http://schemas.microsoft.com/office/drawing/2014/chart" uri="{C3380CC4-5D6E-409C-BE32-E72D297353CC}">
                <c16:uniqueId val="{000002BF-450E-4EB1-A63A-E97654685C78}"/>
              </c:ext>
            </c:extLst>
          </c:dPt>
          <c:dPt>
            <c:idx val="14"/>
            <c:invertIfNegative val="0"/>
            <c:bubble3D val="0"/>
            <c:extLst>
              <c:ext xmlns:c16="http://schemas.microsoft.com/office/drawing/2014/chart" uri="{C3380CC4-5D6E-409C-BE32-E72D297353CC}">
                <c16:uniqueId val="{000002C0-450E-4EB1-A63A-E97654685C78}"/>
              </c:ext>
            </c:extLst>
          </c:dPt>
          <c:dPt>
            <c:idx val="15"/>
            <c:invertIfNegative val="0"/>
            <c:bubble3D val="0"/>
            <c:extLst>
              <c:ext xmlns:c16="http://schemas.microsoft.com/office/drawing/2014/chart" uri="{C3380CC4-5D6E-409C-BE32-E72D297353CC}">
                <c16:uniqueId val="{000002C1-450E-4EB1-A63A-E97654685C78}"/>
              </c:ext>
            </c:extLst>
          </c:dPt>
          <c:dPt>
            <c:idx val="16"/>
            <c:invertIfNegative val="0"/>
            <c:bubble3D val="0"/>
            <c:extLst>
              <c:ext xmlns:c16="http://schemas.microsoft.com/office/drawing/2014/chart" uri="{C3380CC4-5D6E-409C-BE32-E72D297353CC}">
                <c16:uniqueId val="{000002C2-450E-4EB1-A63A-E97654685C78}"/>
              </c:ext>
            </c:extLst>
          </c:dPt>
          <c:dPt>
            <c:idx val="17"/>
            <c:invertIfNegative val="0"/>
            <c:bubble3D val="0"/>
            <c:extLst>
              <c:ext xmlns:c16="http://schemas.microsoft.com/office/drawing/2014/chart" uri="{C3380CC4-5D6E-409C-BE32-E72D297353CC}">
                <c16:uniqueId val="{000002C3-450E-4EB1-A63A-E97654685C78}"/>
              </c:ext>
            </c:extLst>
          </c:dPt>
          <c:dPt>
            <c:idx val="18"/>
            <c:invertIfNegative val="0"/>
            <c:bubble3D val="0"/>
            <c:extLst>
              <c:ext xmlns:c16="http://schemas.microsoft.com/office/drawing/2014/chart" uri="{C3380CC4-5D6E-409C-BE32-E72D297353CC}">
                <c16:uniqueId val="{000002C4-450E-4EB1-A63A-E97654685C78}"/>
              </c:ext>
            </c:extLst>
          </c:dPt>
          <c:dPt>
            <c:idx val="19"/>
            <c:invertIfNegative val="0"/>
            <c:bubble3D val="0"/>
            <c:extLst>
              <c:ext xmlns:c16="http://schemas.microsoft.com/office/drawing/2014/chart" uri="{C3380CC4-5D6E-409C-BE32-E72D297353CC}">
                <c16:uniqueId val="{000002C5-450E-4EB1-A63A-E97654685C78}"/>
              </c:ext>
            </c:extLst>
          </c:dPt>
          <c:dPt>
            <c:idx val="20"/>
            <c:invertIfNegative val="0"/>
            <c:bubble3D val="0"/>
            <c:extLst>
              <c:ext xmlns:c16="http://schemas.microsoft.com/office/drawing/2014/chart" uri="{C3380CC4-5D6E-409C-BE32-E72D297353CC}">
                <c16:uniqueId val="{000002C6-450E-4EB1-A63A-E97654685C78}"/>
              </c:ext>
            </c:extLst>
          </c:dPt>
          <c:dPt>
            <c:idx val="21"/>
            <c:invertIfNegative val="0"/>
            <c:bubble3D val="0"/>
            <c:extLst>
              <c:ext xmlns:c16="http://schemas.microsoft.com/office/drawing/2014/chart" uri="{C3380CC4-5D6E-409C-BE32-E72D297353CC}">
                <c16:uniqueId val="{000002C7-450E-4EB1-A63A-E97654685C78}"/>
              </c:ext>
            </c:extLst>
          </c:dPt>
          <c:dPt>
            <c:idx val="22"/>
            <c:invertIfNegative val="0"/>
            <c:bubble3D val="0"/>
            <c:extLst>
              <c:ext xmlns:c16="http://schemas.microsoft.com/office/drawing/2014/chart" uri="{C3380CC4-5D6E-409C-BE32-E72D297353CC}">
                <c16:uniqueId val="{000002C8-450E-4EB1-A63A-E97654685C78}"/>
              </c:ext>
            </c:extLst>
          </c:dPt>
          <c:dPt>
            <c:idx val="23"/>
            <c:invertIfNegative val="0"/>
            <c:bubble3D val="0"/>
            <c:extLst>
              <c:ext xmlns:c16="http://schemas.microsoft.com/office/drawing/2014/chart" uri="{C3380CC4-5D6E-409C-BE32-E72D297353CC}">
                <c16:uniqueId val="{000002C9-450E-4EB1-A63A-E97654685C78}"/>
              </c:ext>
            </c:extLst>
          </c:dPt>
          <c:dPt>
            <c:idx val="24"/>
            <c:invertIfNegative val="0"/>
            <c:bubble3D val="0"/>
            <c:extLst>
              <c:ext xmlns:c16="http://schemas.microsoft.com/office/drawing/2014/chart" uri="{C3380CC4-5D6E-409C-BE32-E72D297353CC}">
                <c16:uniqueId val="{000002CA-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Data'!$C$9:$X$9</c:f>
              <c:numCache>
                <c:formatCode>#,##0_ ;\-#,##0\ </c:formatCode>
                <c:ptCount val="22"/>
                <c:pt idx="0">
                  <c:v>4830</c:v>
                </c:pt>
                <c:pt idx="1">
                  <c:v>6157</c:v>
                </c:pt>
                <c:pt idx="2">
                  <c:v>6130</c:v>
                </c:pt>
                <c:pt idx="3">
                  <c:v>6373</c:v>
                </c:pt>
                <c:pt idx="4">
                  <c:v>6766</c:v>
                </c:pt>
                <c:pt idx="5">
                  <c:v>8234</c:v>
                </c:pt>
                <c:pt idx="6">
                  <c:v>8635</c:v>
                </c:pt>
                <c:pt idx="7">
                  <c:v>10245</c:v>
                </c:pt>
                <c:pt idx="8">
                  <c:v>12321</c:v>
                </c:pt>
                <c:pt idx="9">
                  <c:v>14094</c:v>
                </c:pt>
                <c:pt idx="10">
                  <c:v>15416</c:v>
                </c:pt>
                <c:pt idx="11">
                  <c:v>16163</c:v>
                </c:pt>
                <c:pt idx="12">
                  <c:v>16013</c:v>
                </c:pt>
                <c:pt idx="13">
                  <c:v>15843</c:v>
                </c:pt>
                <c:pt idx="14">
                  <c:v>15679</c:v>
                </c:pt>
                <c:pt idx="15">
                  <c:v>15214</c:v>
                </c:pt>
                <c:pt idx="16">
                  <c:v>14933</c:v>
                </c:pt>
                <c:pt idx="17">
                  <c:v>18293</c:v>
                </c:pt>
                <c:pt idx="18">
                  <c:v>19654</c:v>
                </c:pt>
                <c:pt idx="19">
                  <c:v>19779</c:v>
                </c:pt>
                <c:pt idx="20">
                  <c:v>19855</c:v>
                </c:pt>
                <c:pt idx="21">
                  <c:v>19842</c:v>
                </c:pt>
              </c:numCache>
            </c:numRef>
          </c:val>
          <c:extLst>
            <c:ext xmlns:c16="http://schemas.microsoft.com/office/drawing/2014/chart" uri="{C3380CC4-5D6E-409C-BE32-E72D297353CC}">
              <c16:uniqueId val="{000002CB-450E-4EB1-A63A-E97654685C78}"/>
            </c:ext>
          </c:extLst>
        </c:ser>
        <c:ser>
          <c:idx val="9"/>
          <c:order val="8"/>
          <c:tx>
            <c:strRef>
              <c:f>'NEMEnergyGenerated Data'!$B$11</c:f>
              <c:strCache>
                <c:ptCount val="1"/>
                <c:pt idx="0">
                  <c:v>Utility storage generation</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CD-450E-4EB1-A63A-E97654685C78}"/>
              </c:ext>
            </c:extLst>
          </c:dPt>
          <c:dPt>
            <c:idx val="1"/>
            <c:invertIfNegative val="0"/>
            <c:bubble3D val="0"/>
            <c:extLst>
              <c:ext xmlns:c16="http://schemas.microsoft.com/office/drawing/2014/chart" uri="{C3380CC4-5D6E-409C-BE32-E72D297353CC}">
                <c16:uniqueId val="{000002CE-450E-4EB1-A63A-E97654685C78}"/>
              </c:ext>
            </c:extLst>
          </c:dPt>
          <c:dPt>
            <c:idx val="2"/>
            <c:invertIfNegative val="0"/>
            <c:bubble3D val="0"/>
            <c:extLst>
              <c:ext xmlns:c16="http://schemas.microsoft.com/office/drawing/2014/chart" uri="{C3380CC4-5D6E-409C-BE32-E72D297353CC}">
                <c16:uniqueId val="{000002CF-450E-4EB1-A63A-E97654685C78}"/>
              </c:ext>
            </c:extLst>
          </c:dPt>
          <c:dPt>
            <c:idx val="3"/>
            <c:invertIfNegative val="0"/>
            <c:bubble3D val="0"/>
            <c:extLst>
              <c:ext xmlns:c16="http://schemas.microsoft.com/office/drawing/2014/chart" uri="{C3380CC4-5D6E-409C-BE32-E72D297353CC}">
                <c16:uniqueId val="{000002D0-450E-4EB1-A63A-E97654685C78}"/>
              </c:ext>
            </c:extLst>
          </c:dPt>
          <c:dPt>
            <c:idx val="4"/>
            <c:invertIfNegative val="0"/>
            <c:bubble3D val="0"/>
            <c:extLst>
              <c:ext xmlns:c16="http://schemas.microsoft.com/office/drawing/2014/chart" uri="{C3380CC4-5D6E-409C-BE32-E72D297353CC}">
                <c16:uniqueId val="{000002D1-450E-4EB1-A63A-E97654685C78}"/>
              </c:ext>
            </c:extLst>
          </c:dPt>
          <c:dPt>
            <c:idx val="5"/>
            <c:invertIfNegative val="0"/>
            <c:bubble3D val="0"/>
            <c:extLst>
              <c:ext xmlns:c16="http://schemas.microsoft.com/office/drawing/2014/chart" uri="{C3380CC4-5D6E-409C-BE32-E72D297353CC}">
                <c16:uniqueId val="{000002D2-450E-4EB1-A63A-E97654685C78}"/>
              </c:ext>
            </c:extLst>
          </c:dPt>
          <c:dPt>
            <c:idx val="6"/>
            <c:invertIfNegative val="0"/>
            <c:bubble3D val="0"/>
            <c:extLst>
              <c:ext xmlns:c16="http://schemas.microsoft.com/office/drawing/2014/chart" uri="{C3380CC4-5D6E-409C-BE32-E72D297353CC}">
                <c16:uniqueId val="{000002D3-450E-4EB1-A63A-E97654685C78}"/>
              </c:ext>
            </c:extLst>
          </c:dPt>
          <c:dPt>
            <c:idx val="7"/>
            <c:invertIfNegative val="0"/>
            <c:bubble3D val="0"/>
            <c:extLst>
              <c:ext xmlns:c16="http://schemas.microsoft.com/office/drawing/2014/chart" uri="{C3380CC4-5D6E-409C-BE32-E72D297353CC}">
                <c16:uniqueId val="{000002D4-450E-4EB1-A63A-E97654685C78}"/>
              </c:ext>
            </c:extLst>
          </c:dPt>
          <c:dPt>
            <c:idx val="8"/>
            <c:invertIfNegative val="0"/>
            <c:bubble3D val="0"/>
            <c:extLst>
              <c:ext xmlns:c16="http://schemas.microsoft.com/office/drawing/2014/chart" uri="{C3380CC4-5D6E-409C-BE32-E72D297353CC}">
                <c16:uniqueId val="{000002D5-450E-4EB1-A63A-E97654685C78}"/>
              </c:ext>
            </c:extLst>
          </c:dPt>
          <c:dPt>
            <c:idx val="9"/>
            <c:invertIfNegative val="0"/>
            <c:bubble3D val="0"/>
            <c:extLst>
              <c:ext xmlns:c16="http://schemas.microsoft.com/office/drawing/2014/chart" uri="{C3380CC4-5D6E-409C-BE32-E72D297353CC}">
                <c16:uniqueId val="{000002D6-450E-4EB1-A63A-E97654685C78}"/>
              </c:ext>
            </c:extLst>
          </c:dPt>
          <c:dPt>
            <c:idx val="10"/>
            <c:invertIfNegative val="0"/>
            <c:bubble3D val="0"/>
            <c:extLst>
              <c:ext xmlns:c16="http://schemas.microsoft.com/office/drawing/2014/chart" uri="{C3380CC4-5D6E-409C-BE32-E72D297353CC}">
                <c16:uniqueId val="{000002D7-450E-4EB1-A63A-E97654685C78}"/>
              </c:ext>
            </c:extLst>
          </c:dPt>
          <c:dPt>
            <c:idx val="11"/>
            <c:invertIfNegative val="0"/>
            <c:bubble3D val="0"/>
            <c:extLst>
              <c:ext xmlns:c16="http://schemas.microsoft.com/office/drawing/2014/chart" uri="{C3380CC4-5D6E-409C-BE32-E72D297353CC}">
                <c16:uniqueId val="{000002D8-450E-4EB1-A63A-E97654685C78}"/>
              </c:ext>
            </c:extLst>
          </c:dPt>
          <c:dPt>
            <c:idx val="12"/>
            <c:invertIfNegative val="0"/>
            <c:bubble3D val="0"/>
            <c:extLst>
              <c:ext xmlns:c16="http://schemas.microsoft.com/office/drawing/2014/chart" uri="{C3380CC4-5D6E-409C-BE32-E72D297353CC}">
                <c16:uniqueId val="{000002D9-450E-4EB1-A63A-E97654685C78}"/>
              </c:ext>
            </c:extLst>
          </c:dPt>
          <c:dPt>
            <c:idx val="13"/>
            <c:invertIfNegative val="0"/>
            <c:bubble3D val="0"/>
            <c:extLst>
              <c:ext xmlns:c16="http://schemas.microsoft.com/office/drawing/2014/chart" uri="{C3380CC4-5D6E-409C-BE32-E72D297353CC}">
                <c16:uniqueId val="{000002DA-450E-4EB1-A63A-E97654685C78}"/>
              </c:ext>
            </c:extLst>
          </c:dPt>
          <c:dPt>
            <c:idx val="14"/>
            <c:invertIfNegative val="0"/>
            <c:bubble3D val="0"/>
            <c:extLst>
              <c:ext xmlns:c16="http://schemas.microsoft.com/office/drawing/2014/chart" uri="{C3380CC4-5D6E-409C-BE32-E72D297353CC}">
                <c16:uniqueId val="{000002DB-450E-4EB1-A63A-E97654685C78}"/>
              </c:ext>
            </c:extLst>
          </c:dPt>
          <c:dPt>
            <c:idx val="15"/>
            <c:invertIfNegative val="0"/>
            <c:bubble3D val="0"/>
            <c:extLst>
              <c:ext xmlns:c16="http://schemas.microsoft.com/office/drawing/2014/chart" uri="{C3380CC4-5D6E-409C-BE32-E72D297353CC}">
                <c16:uniqueId val="{000002DC-450E-4EB1-A63A-E97654685C78}"/>
              </c:ext>
            </c:extLst>
          </c:dPt>
          <c:dPt>
            <c:idx val="16"/>
            <c:invertIfNegative val="0"/>
            <c:bubble3D val="0"/>
            <c:extLst>
              <c:ext xmlns:c16="http://schemas.microsoft.com/office/drawing/2014/chart" uri="{C3380CC4-5D6E-409C-BE32-E72D297353CC}">
                <c16:uniqueId val="{000002DD-450E-4EB1-A63A-E97654685C78}"/>
              </c:ext>
            </c:extLst>
          </c:dPt>
          <c:dPt>
            <c:idx val="17"/>
            <c:invertIfNegative val="0"/>
            <c:bubble3D val="0"/>
            <c:extLst>
              <c:ext xmlns:c16="http://schemas.microsoft.com/office/drawing/2014/chart" uri="{C3380CC4-5D6E-409C-BE32-E72D297353CC}">
                <c16:uniqueId val="{000002DE-450E-4EB1-A63A-E97654685C78}"/>
              </c:ext>
            </c:extLst>
          </c:dPt>
          <c:dPt>
            <c:idx val="18"/>
            <c:invertIfNegative val="0"/>
            <c:bubble3D val="0"/>
            <c:extLst>
              <c:ext xmlns:c16="http://schemas.microsoft.com/office/drawing/2014/chart" uri="{C3380CC4-5D6E-409C-BE32-E72D297353CC}">
                <c16:uniqueId val="{000002DF-450E-4EB1-A63A-E97654685C78}"/>
              </c:ext>
            </c:extLst>
          </c:dPt>
          <c:dPt>
            <c:idx val="19"/>
            <c:invertIfNegative val="0"/>
            <c:bubble3D val="0"/>
            <c:extLst>
              <c:ext xmlns:c16="http://schemas.microsoft.com/office/drawing/2014/chart" uri="{C3380CC4-5D6E-409C-BE32-E72D297353CC}">
                <c16:uniqueId val="{000002E0-450E-4EB1-A63A-E97654685C78}"/>
              </c:ext>
            </c:extLst>
          </c:dPt>
          <c:dPt>
            <c:idx val="20"/>
            <c:invertIfNegative val="0"/>
            <c:bubble3D val="0"/>
            <c:extLst>
              <c:ext xmlns:c16="http://schemas.microsoft.com/office/drawing/2014/chart" uri="{C3380CC4-5D6E-409C-BE32-E72D297353CC}">
                <c16:uniqueId val="{000002E1-450E-4EB1-A63A-E97654685C78}"/>
              </c:ext>
            </c:extLst>
          </c:dPt>
          <c:dPt>
            <c:idx val="21"/>
            <c:invertIfNegative val="0"/>
            <c:bubble3D val="0"/>
            <c:extLst>
              <c:ext xmlns:c16="http://schemas.microsoft.com/office/drawing/2014/chart" uri="{C3380CC4-5D6E-409C-BE32-E72D297353CC}">
                <c16:uniqueId val="{000002E2-450E-4EB1-A63A-E97654685C78}"/>
              </c:ext>
            </c:extLst>
          </c:dPt>
          <c:dPt>
            <c:idx val="22"/>
            <c:invertIfNegative val="0"/>
            <c:bubble3D val="0"/>
            <c:extLst>
              <c:ext xmlns:c16="http://schemas.microsoft.com/office/drawing/2014/chart" uri="{C3380CC4-5D6E-409C-BE32-E72D297353CC}">
                <c16:uniqueId val="{000002E3-450E-4EB1-A63A-E97654685C78}"/>
              </c:ext>
            </c:extLst>
          </c:dPt>
          <c:dPt>
            <c:idx val="23"/>
            <c:invertIfNegative val="0"/>
            <c:bubble3D val="0"/>
            <c:extLst>
              <c:ext xmlns:c16="http://schemas.microsoft.com/office/drawing/2014/chart" uri="{C3380CC4-5D6E-409C-BE32-E72D297353CC}">
                <c16:uniqueId val="{000002E4-450E-4EB1-A63A-E97654685C78}"/>
              </c:ext>
            </c:extLst>
          </c:dPt>
          <c:dPt>
            <c:idx val="24"/>
            <c:invertIfNegative val="0"/>
            <c:bubble3D val="0"/>
            <c:extLst>
              <c:ext xmlns:c16="http://schemas.microsoft.com/office/drawing/2014/chart" uri="{C3380CC4-5D6E-409C-BE32-E72D297353CC}">
                <c16:uniqueId val="{000002E5-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Data'!$C$11:$X$11</c:f>
              <c:numCache>
                <c:formatCode>#,##0_ ;\-#,##0\ </c:formatCode>
                <c:ptCount val="22"/>
                <c:pt idx="0">
                  <c:v>1064</c:v>
                </c:pt>
                <c:pt idx="1">
                  <c:v>61</c:v>
                </c:pt>
                <c:pt idx="2">
                  <c:v>69</c:v>
                </c:pt>
                <c:pt idx="3">
                  <c:v>104</c:v>
                </c:pt>
                <c:pt idx="4">
                  <c:v>240</c:v>
                </c:pt>
                <c:pt idx="5">
                  <c:v>198</c:v>
                </c:pt>
                <c:pt idx="6">
                  <c:v>253</c:v>
                </c:pt>
                <c:pt idx="7">
                  <c:v>449</c:v>
                </c:pt>
                <c:pt idx="8">
                  <c:v>828</c:v>
                </c:pt>
                <c:pt idx="9">
                  <c:v>817</c:v>
                </c:pt>
                <c:pt idx="10">
                  <c:v>1044</c:v>
                </c:pt>
                <c:pt idx="11">
                  <c:v>1269</c:v>
                </c:pt>
                <c:pt idx="12">
                  <c:v>1204</c:v>
                </c:pt>
                <c:pt idx="13">
                  <c:v>1233</c:v>
                </c:pt>
                <c:pt idx="14">
                  <c:v>1201</c:v>
                </c:pt>
                <c:pt idx="15">
                  <c:v>1263</c:v>
                </c:pt>
                <c:pt idx="16">
                  <c:v>1417</c:v>
                </c:pt>
                <c:pt idx="17">
                  <c:v>4856</c:v>
                </c:pt>
                <c:pt idx="18">
                  <c:v>6353</c:v>
                </c:pt>
                <c:pt idx="19">
                  <c:v>6496</c:v>
                </c:pt>
                <c:pt idx="20">
                  <c:v>7292</c:v>
                </c:pt>
                <c:pt idx="21">
                  <c:v>7336</c:v>
                </c:pt>
              </c:numCache>
            </c:numRef>
          </c:val>
          <c:extLst>
            <c:ext xmlns:c16="http://schemas.microsoft.com/office/drawing/2014/chart" uri="{C3380CC4-5D6E-409C-BE32-E72D297353CC}">
              <c16:uniqueId val="{000002E6-450E-4EB1-A63A-E97654685C78}"/>
            </c:ext>
          </c:extLst>
        </c:ser>
        <c:ser>
          <c:idx val="11"/>
          <c:order val="9"/>
          <c:tx>
            <c:strRef>
              <c:f>'NEMEnergyGenerated Data'!$B$14</c:f>
              <c:strCache>
                <c:ptCount val="1"/>
                <c:pt idx="0">
                  <c:v>Distributed storage generation</c:v>
                </c:pt>
              </c:strCache>
            </c:strRef>
          </c:tx>
          <c:spPr>
            <a:solidFill>
              <a:srgbClr val="92D050"/>
            </a:solidFill>
            <a:ln>
              <a:noFill/>
            </a:ln>
          </c:spPr>
          <c:invertIfNegative val="0"/>
          <c:dPt>
            <c:idx val="0"/>
            <c:invertIfNegative val="0"/>
            <c:bubble3D val="0"/>
            <c:spPr>
              <a:solidFill>
                <a:srgbClr val="92D050"/>
              </a:solidFill>
              <a:ln w="3175" cmpd="sng">
                <a:noFill/>
                <a:prstDash val="solid"/>
              </a:ln>
            </c:spPr>
            <c:extLst>
              <c:ext xmlns:c16="http://schemas.microsoft.com/office/drawing/2014/chart" uri="{C3380CC4-5D6E-409C-BE32-E72D297353CC}">
                <c16:uniqueId val="{000002E9-450E-4EB1-A63A-E97654685C78}"/>
              </c:ext>
            </c:extLst>
          </c:dPt>
          <c:dPt>
            <c:idx val="1"/>
            <c:invertIfNegative val="0"/>
            <c:bubble3D val="0"/>
            <c:spPr>
              <a:solidFill>
                <a:srgbClr val="92D050"/>
              </a:solidFill>
              <a:ln w="3175" cmpd="sng">
                <a:noFill/>
                <a:prstDash val="solid"/>
              </a:ln>
            </c:spPr>
            <c:extLst>
              <c:ext xmlns:c16="http://schemas.microsoft.com/office/drawing/2014/chart" uri="{C3380CC4-5D6E-409C-BE32-E72D297353CC}">
                <c16:uniqueId val="{000002EB-450E-4EB1-A63A-E97654685C78}"/>
              </c:ext>
            </c:extLst>
          </c:dPt>
          <c:dPt>
            <c:idx val="2"/>
            <c:invertIfNegative val="0"/>
            <c:bubble3D val="0"/>
            <c:spPr>
              <a:solidFill>
                <a:srgbClr val="92D050"/>
              </a:solidFill>
              <a:ln w="3175" cmpd="sng">
                <a:noFill/>
                <a:prstDash val="solid"/>
              </a:ln>
            </c:spPr>
            <c:extLst>
              <c:ext xmlns:c16="http://schemas.microsoft.com/office/drawing/2014/chart" uri="{C3380CC4-5D6E-409C-BE32-E72D297353CC}">
                <c16:uniqueId val="{000002ED-450E-4EB1-A63A-E97654685C78}"/>
              </c:ext>
            </c:extLst>
          </c:dPt>
          <c:dPt>
            <c:idx val="3"/>
            <c:invertIfNegative val="0"/>
            <c:bubble3D val="0"/>
            <c:spPr>
              <a:solidFill>
                <a:srgbClr val="92D050"/>
              </a:solidFill>
              <a:ln w="3175" cmpd="sng">
                <a:noFill/>
                <a:prstDash val="solid"/>
              </a:ln>
            </c:spPr>
            <c:extLst>
              <c:ext xmlns:c16="http://schemas.microsoft.com/office/drawing/2014/chart" uri="{C3380CC4-5D6E-409C-BE32-E72D297353CC}">
                <c16:uniqueId val="{000002EF-450E-4EB1-A63A-E97654685C78}"/>
              </c:ext>
            </c:extLst>
          </c:dPt>
          <c:dPt>
            <c:idx val="4"/>
            <c:invertIfNegative val="0"/>
            <c:bubble3D val="0"/>
            <c:spPr>
              <a:solidFill>
                <a:srgbClr val="92D050"/>
              </a:solidFill>
              <a:ln w="3175" cmpd="sng">
                <a:noFill/>
                <a:prstDash val="solid"/>
              </a:ln>
            </c:spPr>
            <c:extLst>
              <c:ext xmlns:c16="http://schemas.microsoft.com/office/drawing/2014/chart" uri="{C3380CC4-5D6E-409C-BE32-E72D297353CC}">
                <c16:uniqueId val="{000002F1-450E-4EB1-A63A-E97654685C78}"/>
              </c:ext>
            </c:extLst>
          </c:dPt>
          <c:dPt>
            <c:idx val="5"/>
            <c:invertIfNegative val="0"/>
            <c:bubble3D val="0"/>
            <c:spPr>
              <a:solidFill>
                <a:srgbClr val="92D050"/>
              </a:solidFill>
              <a:ln w="3175" cmpd="sng">
                <a:noFill/>
                <a:prstDash val="solid"/>
              </a:ln>
            </c:spPr>
            <c:extLst>
              <c:ext xmlns:c16="http://schemas.microsoft.com/office/drawing/2014/chart" uri="{C3380CC4-5D6E-409C-BE32-E72D297353CC}">
                <c16:uniqueId val="{000002F3-450E-4EB1-A63A-E97654685C78}"/>
              </c:ext>
            </c:extLst>
          </c:dPt>
          <c:dPt>
            <c:idx val="6"/>
            <c:invertIfNegative val="0"/>
            <c:bubble3D val="0"/>
            <c:spPr>
              <a:solidFill>
                <a:srgbClr val="92D050"/>
              </a:solidFill>
              <a:ln w="3175" cmpd="sng">
                <a:noFill/>
                <a:prstDash val="solid"/>
              </a:ln>
            </c:spPr>
            <c:extLst>
              <c:ext xmlns:c16="http://schemas.microsoft.com/office/drawing/2014/chart" uri="{C3380CC4-5D6E-409C-BE32-E72D297353CC}">
                <c16:uniqueId val="{000002F5-450E-4EB1-A63A-E97654685C78}"/>
              </c:ext>
            </c:extLst>
          </c:dPt>
          <c:dPt>
            <c:idx val="7"/>
            <c:invertIfNegative val="0"/>
            <c:bubble3D val="0"/>
            <c:spPr>
              <a:solidFill>
                <a:srgbClr val="92D050"/>
              </a:solidFill>
              <a:ln w="3175" cmpd="sng">
                <a:noFill/>
                <a:prstDash val="solid"/>
              </a:ln>
            </c:spPr>
            <c:extLst>
              <c:ext xmlns:c16="http://schemas.microsoft.com/office/drawing/2014/chart" uri="{C3380CC4-5D6E-409C-BE32-E72D297353CC}">
                <c16:uniqueId val="{000002F7-450E-4EB1-A63A-E97654685C78}"/>
              </c:ext>
            </c:extLst>
          </c:dPt>
          <c:dPt>
            <c:idx val="8"/>
            <c:invertIfNegative val="0"/>
            <c:bubble3D val="0"/>
            <c:spPr>
              <a:solidFill>
                <a:srgbClr val="92D050"/>
              </a:solidFill>
              <a:ln w="3175" cmpd="sng">
                <a:noFill/>
                <a:prstDash val="solid"/>
              </a:ln>
            </c:spPr>
            <c:extLst>
              <c:ext xmlns:c16="http://schemas.microsoft.com/office/drawing/2014/chart" uri="{C3380CC4-5D6E-409C-BE32-E72D297353CC}">
                <c16:uniqueId val="{000002F9-450E-4EB1-A63A-E97654685C78}"/>
              </c:ext>
            </c:extLst>
          </c:dPt>
          <c:dPt>
            <c:idx val="9"/>
            <c:invertIfNegative val="0"/>
            <c:bubble3D val="0"/>
            <c:spPr>
              <a:solidFill>
                <a:srgbClr val="92D050"/>
              </a:solidFill>
              <a:ln w="3175" cmpd="sng">
                <a:noFill/>
                <a:prstDash val="solid"/>
              </a:ln>
            </c:spPr>
            <c:extLst>
              <c:ext xmlns:c16="http://schemas.microsoft.com/office/drawing/2014/chart" uri="{C3380CC4-5D6E-409C-BE32-E72D297353CC}">
                <c16:uniqueId val="{000002FB-450E-4EB1-A63A-E97654685C78}"/>
              </c:ext>
            </c:extLst>
          </c:dPt>
          <c:dPt>
            <c:idx val="10"/>
            <c:invertIfNegative val="0"/>
            <c:bubble3D val="0"/>
            <c:spPr>
              <a:solidFill>
                <a:srgbClr val="92D050"/>
              </a:solidFill>
              <a:ln w="3175" cmpd="sng">
                <a:noFill/>
                <a:prstDash val="solid"/>
              </a:ln>
            </c:spPr>
            <c:extLst>
              <c:ext xmlns:c16="http://schemas.microsoft.com/office/drawing/2014/chart" uri="{C3380CC4-5D6E-409C-BE32-E72D297353CC}">
                <c16:uniqueId val="{000002FD-450E-4EB1-A63A-E97654685C78}"/>
              </c:ext>
            </c:extLst>
          </c:dPt>
          <c:dPt>
            <c:idx val="11"/>
            <c:invertIfNegative val="0"/>
            <c:bubble3D val="0"/>
            <c:spPr>
              <a:solidFill>
                <a:srgbClr val="92D050"/>
              </a:solidFill>
              <a:ln w="3175" cmpd="sng">
                <a:noFill/>
                <a:prstDash val="solid"/>
              </a:ln>
            </c:spPr>
            <c:extLst>
              <c:ext xmlns:c16="http://schemas.microsoft.com/office/drawing/2014/chart" uri="{C3380CC4-5D6E-409C-BE32-E72D297353CC}">
                <c16:uniqueId val="{000002FF-450E-4EB1-A63A-E97654685C78}"/>
              </c:ext>
            </c:extLst>
          </c:dPt>
          <c:dPt>
            <c:idx val="12"/>
            <c:invertIfNegative val="0"/>
            <c:bubble3D val="0"/>
            <c:spPr>
              <a:solidFill>
                <a:srgbClr val="92D050"/>
              </a:solidFill>
              <a:ln w="3175" cmpd="sng">
                <a:noFill/>
                <a:prstDash val="solid"/>
              </a:ln>
            </c:spPr>
            <c:extLst>
              <c:ext xmlns:c16="http://schemas.microsoft.com/office/drawing/2014/chart" uri="{C3380CC4-5D6E-409C-BE32-E72D297353CC}">
                <c16:uniqueId val="{00000301-450E-4EB1-A63A-E97654685C78}"/>
              </c:ext>
            </c:extLst>
          </c:dPt>
          <c:dPt>
            <c:idx val="13"/>
            <c:invertIfNegative val="0"/>
            <c:bubble3D val="0"/>
            <c:spPr>
              <a:solidFill>
                <a:srgbClr val="92D050"/>
              </a:solidFill>
              <a:ln w="3175" cmpd="sng">
                <a:noFill/>
                <a:prstDash val="solid"/>
              </a:ln>
            </c:spPr>
            <c:extLst>
              <c:ext xmlns:c16="http://schemas.microsoft.com/office/drawing/2014/chart" uri="{C3380CC4-5D6E-409C-BE32-E72D297353CC}">
                <c16:uniqueId val="{00000303-450E-4EB1-A63A-E97654685C78}"/>
              </c:ext>
            </c:extLst>
          </c:dPt>
          <c:dPt>
            <c:idx val="14"/>
            <c:invertIfNegative val="0"/>
            <c:bubble3D val="0"/>
            <c:spPr>
              <a:solidFill>
                <a:srgbClr val="92D050"/>
              </a:solidFill>
              <a:ln w="3175" cmpd="sng">
                <a:noFill/>
                <a:prstDash val="solid"/>
              </a:ln>
            </c:spPr>
            <c:extLst>
              <c:ext xmlns:c16="http://schemas.microsoft.com/office/drawing/2014/chart" uri="{C3380CC4-5D6E-409C-BE32-E72D297353CC}">
                <c16:uniqueId val="{00000305-450E-4EB1-A63A-E97654685C78}"/>
              </c:ext>
            </c:extLst>
          </c:dPt>
          <c:dPt>
            <c:idx val="15"/>
            <c:invertIfNegative val="0"/>
            <c:bubble3D val="0"/>
            <c:spPr>
              <a:solidFill>
                <a:srgbClr val="92D050"/>
              </a:solidFill>
              <a:ln w="3175" cmpd="sng">
                <a:noFill/>
                <a:prstDash val="solid"/>
              </a:ln>
            </c:spPr>
            <c:extLst>
              <c:ext xmlns:c16="http://schemas.microsoft.com/office/drawing/2014/chart" uri="{C3380CC4-5D6E-409C-BE32-E72D297353CC}">
                <c16:uniqueId val="{00000307-450E-4EB1-A63A-E97654685C78}"/>
              </c:ext>
            </c:extLst>
          </c:dPt>
          <c:dPt>
            <c:idx val="16"/>
            <c:invertIfNegative val="0"/>
            <c:bubble3D val="0"/>
            <c:spPr>
              <a:solidFill>
                <a:srgbClr val="92D050"/>
              </a:solidFill>
              <a:ln w="3175" cmpd="sng">
                <a:noFill/>
                <a:prstDash val="solid"/>
              </a:ln>
            </c:spPr>
            <c:extLst>
              <c:ext xmlns:c16="http://schemas.microsoft.com/office/drawing/2014/chart" uri="{C3380CC4-5D6E-409C-BE32-E72D297353CC}">
                <c16:uniqueId val="{00000309-450E-4EB1-A63A-E97654685C78}"/>
              </c:ext>
            </c:extLst>
          </c:dPt>
          <c:dPt>
            <c:idx val="17"/>
            <c:invertIfNegative val="0"/>
            <c:bubble3D val="0"/>
            <c:spPr>
              <a:solidFill>
                <a:srgbClr val="92D050"/>
              </a:solidFill>
              <a:ln w="3175" cmpd="sng">
                <a:noFill/>
                <a:prstDash val="solid"/>
              </a:ln>
            </c:spPr>
            <c:extLst>
              <c:ext xmlns:c16="http://schemas.microsoft.com/office/drawing/2014/chart" uri="{C3380CC4-5D6E-409C-BE32-E72D297353CC}">
                <c16:uniqueId val="{0000030B-450E-4EB1-A63A-E97654685C78}"/>
              </c:ext>
            </c:extLst>
          </c:dPt>
          <c:dPt>
            <c:idx val="18"/>
            <c:invertIfNegative val="0"/>
            <c:bubble3D val="0"/>
            <c:spPr>
              <a:solidFill>
                <a:srgbClr val="92D050"/>
              </a:solidFill>
              <a:ln w="3175" cmpd="sng">
                <a:noFill/>
                <a:prstDash val="solid"/>
              </a:ln>
            </c:spPr>
            <c:extLst>
              <c:ext xmlns:c16="http://schemas.microsoft.com/office/drawing/2014/chart" uri="{C3380CC4-5D6E-409C-BE32-E72D297353CC}">
                <c16:uniqueId val="{0000030D-450E-4EB1-A63A-E97654685C78}"/>
              </c:ext>
            </c:extLst>
          </c:dPt>
          <c:dPt>
            <c:idx val="19"/>
            <c:invertIfNegative val="0"/>
            <c:bubble3D val="0"/>
            <c:spPr>
              <a:solidFill>
                <a:srgbClr val="92D050"/>
              </a:solidFill>
              <a:ln w="3175" cmpd="sng">
                <a:noFill/>
                <a:prstDash val="solid"/>
              </a:ln>
            </c:spPr>
            <c:extLst>
              <c:ext xmlns:c16="http://schemas.microsoft.com/office/drawing/2014/chart" uri="{C3380CC4-5D6E-409C-BE32-E72D297353CC}">
                <c16:uniqueId val="{0000030F-450E-4EB1-A63A-E97654685C78}"/>
              </c:ext>
            </c:extLst>
          </c:dPt>
          <c:dPt>
            <c:idx val="20"/>
            <c:invertIfNegative val="0"/>
            <c:bubble3D val="0"/>
            <c:spPr>
              <a:solidFill>
                <a:srgbClr val="92D050"/>
              </a:solidFill>
              <a:ln w="3175" cmpd="sng">
                <a:noFill/>
                <a:prstDash val="solid"/>
              </a:ln>
            </c:spPr>
            <c:extLst>
              <c:ext xmlns:c16="http://schemas.microsoft.com/office/drawing/2014/chart" uri="{C3380CC4-5D6E-409C-BE32-E72D297353CC}">
                <c16:uniqueId val="{00000311-450E-4EB1-A63A-E97654685C78}"/>
              </c:ext>
            </c:extLst>
          </c:dPt>
          <c:dPt>
            <c:idx val="21"/>
            <c:invertIfNegative val="0"/>
            <c:bubble3D val="0"/>
            <c:spPr>
              <a:solidFill>
                <a:srgbClr val="92D050"/>
              </a:solidFill>
              <a:ln w="3175" cmpd="sng">
                <a:noFill/>
                <a:prstDash val="solid"/>
              </a:ln>
            </c:spPr>
            <c:extLst>
              <c:ext xmlns:c16="http://schemas.microsoft.com/office/drawing/2014/chart" uri="{C3380CC4-5D6E-409C-BE32-E72D297353CC}">
                <c16:uniqueId val="{00000313-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Data'!$C$14:$X$14</c:f>
              <c:numCache>
                <c:formatCode>#,##0_ ;\-#,##0\ </c:formatCode>
                <c:ptCount val="22"/>
                <c:pt idx="0">
                  <c:v>106.86276547</c:v>
                </c:pt>
                <c:pt idx="1">
                  <c:v>193.92910520000001</c:v>
                </c:pt>
                <c:pt idx="2">
                  <c:v>320.62583599999999</c:v>
                </c:pt>
                <c:pt idx="3">
                  <c:v>480.99993430000001</c:v>
                </c:pt>
                <c:pt idx="4">
                  <c:v>744.07786950000002</c:v>
                </c:pt>
                <c:pt idx="5">
                  <c:v>934.52699800000005</c:v>
                </c:pt>
                <c:pt idx="6">
                  <c:v>1193.8118276999999</c:v>
                </c:pt>
                <c:pt idx="7">
                  <c:v>1422.1414757</c:v>
                </c:pt>
                <c:pt idx="8">
                  <c:v>1695.0514885</c:v>
                </c:pt>
                <c:pt idx="9">
                  <c:v>1835.3370164</c:v>
                </c:pt>
                <c:pt idx="10">
                  <c:v>2086.0528054000001</c:v>
                </c:pt>
                <c:pt idx="11">
                  <c:v>2355.3132123999999</c:v>
                </c:pt>
                <c:pt idx="12">
                  <c:v>2407.5925788999998</c:v>
                </c:pt>
                <c:pt idx="13">
                  <c:v>2578.3040157999999</c:v>
                </c:pt>
                <c:pt idx="14">
                  <c:v>2761.6843911999999</c:v>
                </c:pt>
                <c:pt idx="15">
                  <c:v>2916.1085250000001</c:v>
                </c:pt>
                <c:pt idx="16">
                  <c:v>3080.9962082000002</c:v>
                </c:pt>
                <c:pt idx="17">
                  <c:v>3205.7109418999999</c:v>
                </c:pt>
                <c:pt idx="18">
                  <c:v>3342.0526519</c:v>
                </c:pt>
                <c:pt idx="19">
                  <c:v>3537.3517255000002</c:v>
                </c:pt>
                <c:pt idx="20">
                  <c:v>3571.9623357999999</c:v>
                </c:pt>
                <c:pt idx="21">
                  <c:v>3777.8619526000002</c:v>
                </c:pt>
              </c:numCache>
            </c:numRef>
          </c:val>
          <c:extLst>
            <c:ext xmlns:c16="http://schemas.microsoft.com/office/drawing/2014/chart" uri="{C3380CC4-5D6E-409C-BE32-E72D297353CC}">
              <c16:uniqueId val="{00000314-450E-4EB1-A63A-E97654685C78}"/>
            </c:ext>
          </c:extLst>
        </c:ser>
        <c:ser>
          <c:idx val="12"/>
          <c:order val="10"/>
          <c:tx>
            <c:strRef>
              <c:f>'NEMEnergyGenerated Data'!$B$15</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317-450E-4EB1-A63A-E97654685C78}"/>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319-450E-4EB1-A63A-E97654685C78}"/>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31B-450E-4EB1-A63A-E97654685C78}"/>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31D-450E-4EB1-A63A-E97654685C78}"/>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31F-450E-4EB1-A63A-E97654685C78}"/>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321-450E-4EB1-A63A-E97654685C78}"/>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323-450E-4EB1-A63A-E97654685C78}"/>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325-450E-4EB1-A63A-E97654685C78}"/>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327-450E-4EB1-A63A-E97654685C78}"/>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329-450E-4EB1-A63A-E97654685C78}"/>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32B-450E-4EB1-A63A-E97654685C78}"/>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32D-450E-4EB1-A63A-E97654685C78}"/>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32F-450E-4EB1-A63A-E97654685C78}"/>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331-450E-4EB1-A63A-E97654685C78}"/>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333-450E-4EB1-A63A-E97654685C78}"/>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335-450E-4EB1-A63A-E97654685C78}"/>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337-450E-4EB1-A63A-E97654685C78}"/>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339-450E-4EB1-A63A-E97654685C78}"/>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33B-450E-4EB1-A63A-E97654685C78}"/>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33D-450E-4EB1-A63A-E97654685C78}"/>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33F-450E-4EB1-A63A-E97654685C78}"/>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341-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Data'!$C$15:$X$15</c:f>
              <c:numCache>
                <c:formatCode>#,##0_ ;\-#,##0\ </c:formatCode>
                <c:ptCount val="22"/>
                <c:pt idx="0">
                  <c:v>9475</c:v>
                </c:pt>
                <c:pt idx="1">
                  <c:v>10796</c:v>
                </c:pt>
                <c:pt idx="2">
                  <c:v>12167</c:v>
                </c:pt>
                <c:pt idx="3">
                  <c:v>13376</c:v>
                </c:pt>
                <c:pt idx="4">
                  <c:v>14355</c:v>
                </c:pt>
                <c:pt idx="5">
                  <c:v>16163</c:v>
                </c:pt>
                <c:pt idx="6">
                  <c:v>17452</c:v>
                </c:pt>
                <c:pt idx="7">
                  <c:v>18649</c:v>
                </c:pt>
                <c:pt idx="8">
                  <c:v>19832</c:v>
                </c:pt>
                <c:pt idx="9">
                  <c:v>21164</c:v>
                </c:pt>
                <c:pt idx="10">
                  <c:v>22247</c:v>
                </c:pt>
                <c:pt idx="11">
                  <c:v>23373</c:v>
                </c:pt>
                <c:pt idx="12">
                  <c:v>24371</c:v>
                </c:pt>
                <c:pt idx="13">
                  <c:v>25416</c:v>
                </c:pt>
                <c:pt idx="14">
                  <c:v>26359</c:v>
                </c:pt>
                <c:pt idx="15">
                  <c:v>27143</c:v>
                </c:pt>
                <c:pt idx="16">
                  <c:v>27900</c:v>
                </c:pt>
                <c:pt idx="17">
                  <c:v>28674</c:v>
                </c:pt>
                <c:pt idx="18">
                  <c:v>29301</c:v>
                </c:pt>
                <c:pt idx="19">
                  <c:v>29864</c:v>
                </c:pt>
                <c:pt idx="20">
                  <c:v>30469</c:v>
                </c:pt>
                <c:pt idx="21">
                  <c:v>31010</c:v>
                </c:pt>
              </c:numCache>
            </c:numRef>
          </c:val>
          <c:extLst>
            <c:ext xmlns:c16="http://schemas.microsoft.com/office/drawing/2014/chart" uri="{C3380CC4-5D6E-409C-BE32-E72D297353CC}">
              <c16:uniqueId val="{00000342-450E-4EB1-A63A-E97654685C78}"/>
            </c:ext>
          </c:extLst>
        </c:ser>
        <c:ser>
          <c:idx val="10"/>
          <c:order val="11"/>
          <c:tx>
            <c:strRef>
              <c:f>'NEMEnergyGenerated Data'!$B$13</c:f>
              <c:strCache>
                <c:ptCount val="1"/>
                <c:pt idx="0">
                  <c:v>Utility storage load</c:v>
                </c:pt>
              </c:strCache>
            </c:strRef>
          </c:tx>
          <c:spPr>
            <a:solidFill>
              <a:srgbClr val="E1A8E9"/>
            </a:solidFill>
            <a:ln>
              <a:noFill/>
            </a:ln>
          </c:spPr>
          <c:invertIfNegative val="0"/>
          <c:dPt>
            <c:idx val="0"/>
            <c:invertIfNegative val="0"/>
            <c:bubble3D val="0"/>
            <c:spPr>
              <a:solidFill>
                <a:srgbClr val="E1A8E9"/>
              </a:solidFill>
              <a:ln w="3175" cmpd="sng">
                <a:noFill/>
                <a:prstDash val="solid"/>
              </a:ln>
            </c:spPr>
            <c:extLst>
              <c:ext xmlns:c16="http://schemas.microsoft.com/office/drawing/2014/chart" uri="{C3380CC4-5D6E-409C-BE32-E72D297353CC}">
                <c16:uniqueId val="{00000345-450E-4EB1-A63A-E97654685C78}"/>
              </c:ext>
            </c:extLst>
          </c:dPt>
          <c:dPt>
            <c:idx val="1"/>
            <c:invertIfNegative val="0"/>
            <c:bubble3D val="0"/>
            <c:spPr>
              <a:solidFill>
                <a:srgbClr val="E1A8E9"/>
              </a:solidFill>
              <a:ln w="3175" cmpd="sng">
                <a:noFill/>
                <a:prstDash val="solid"/>
              </a:ln>
            </c:spPr>
            <c:extLst>
              <c:ext xmlns:c16="http://schemas.microsoft.com/office/drawing/2014/chart" uri="{C3380CC4-5D6E-409C-BE32-E72D297353CC}">
                <c16:uniqueId val="{00000347-450E-4EB1-A63A-E97654685C78}"/>
              </c:ext>
            </c:extLst>
          </c:dPt>
          <c:dPt>
            <c:idx val="2"/>
            <c:invertIfNegative val="0"/>
            <c:bubble3D val="0"/>
            <c:spPr>
              <a:solidFill>
                <a:srgbClr val="E1A8E9"/>
              </a:solidFill>
              <a:ln w="3175" cmpd="sng">
                <a:noFill/>
                <a:prstDash val="solid"/>
              </a:ln>
            </c:spPr>
            <c:extLst>
              <c:ext xmlns:c16="http://schemas.microsoft.com/office/drawing/2014/chart" uri="{C3380CC4-5D6E-409C-BE32-E72D297353CC}">
                <c16:uniqueId val="{00000349-450E-4EB1-A63A-E97654685C78}"/>
              </c:ext>
            </c:extLst>
          </c:dPt>
          <c:dPt>
            <c:idx val="3"/>
            <c:invertIfNegative val="0"/>
            <c:bubble3D val="0"/>
            <c:spPr>
              <a:solidFill>
                <a:srgbClr val="E1A8E9"/>
              </a:solidFill>
              <a:ln w="3175" cmpd="sng">
                <a:noFill/>
                <a:prstDash val="solid"/>
              </a:ln>
            </c:spPr>
            <c:extLst>
              <c:ext xmlns:c16="http://schemas.microsoft.com/office/drawing/2014/chart" uri="{C3380CC4-5D6E-409C-BE32-E72D297353CC}">
                <c16:uniqueId val="{0000034B-450E-4EB1-A63A-E97654685C78}"/>
              </c:ext>
            </c:extLst>
          </c:dPt>
          <c:dPt>
            <c:idx val="4"/>
            <c:invertIfNegative val="0"/>
            <c:bubble3D val="0"/>
            <c:spPr>
              <a:solidFill>
                <a:srgbClr val="E1A8E9"/>
              </a:solidFill>
              <a:ln w="3175" cmpd="sng">
                <a:noFill/>
                <a:prstDash val="solid"/>
              </a:ln>
            </c:spPr>
            <c:extLst>
              <c:ext xmlns:c16="http://schemas.microsoft.com/office/drawing/2014/chart" uri="{C3380CC4-5D6E-409C-BE32-E72D297353CC}">
                <c16:uniqueId val="{0000034D-450E-4EB1-A63A-E97654685C78}"/>
              </c:ext>
            </c:extLst>
          </c:dPt>
          <c:dPt>
            <c:idx val="5"/>
            <c:invertIfNegative val="0"/>
            <c:bubble3D val="0"/>
            <c:spPr>
              <a:solidFill>
                <a:srgbClr val="E1A8E9"/>
              </a:solidFill>
              <a:ln w="3175" cmpd="sng">
                <a:noFill/>
                <a:prstDash val="solid"/>
              </a:ln>
            </c:spPr>
            <c:extLst>
              <c:ext xmlns:c16="http://schemas.microsoft.com/office/drawing/2014/chart" uri="{C3380CC4-5D6E-409C-BE32-E72D297353CC}">
                <c16:uniqueId val="{0000034F-450E-4EB1-A63A-E97654685C78}"/>
              </c:ext>
            </c:extLst>
          </c:dPt>
          <c:dPt>
            <c:idx val="6"/>
            <c:invertIfNegative val="0"/>
            <c:bubble3D val="0"/>
            <c:spPr>
              <a:solidFill>
                <a:srgbClr val="E1A8E9"/>
              </a:solidFill>
              <a:ln w="3175" cmpd="sng">
                <a:noFill/>
                <a:prstDash val="solid"/>
              </a:ln>
            </c:spPr>
            <c:extLst>
              <c:ext xmlns:c16="http://schemas.microsoft.com/office/drawing/2014/chart" uri="{C3380CC4-5D6E-409C-BE32-E72D297353CC}">
                <c16:uniqueId val="{00000351-450E-4EB1-A63A-E97654685C78}"/>
              </c:ext>
            </c:extLst>
          </c:dPt>
          <c:dPt>
            <c:idx val="7"/>
            <c:invertIfNegative val="0"/>
            <c:bubble3D val="0"/>
            <c:spPr>
              <a:solidFill>
                <a:srgbClr val="E1A8E9"/>
              </a:solidFill>
              <a:ln w="3175" cmpd="sng">
                <a:noFill/>
                <a:prstDash val="solid"/>
              </a:ln>
            </c:spPr>
            <c:extLst>
              <c:ext xmlns:c16="http://schemas.microsoft.com/office/drawing/2014/chart" uri="{C3380CC4-5D6E-409C-BE32-E72D297353CC}">
                <c16:uniqueId val="{00000353-450E-4EB1-A63A-E97654685C78}"/>
              </c:ext>
            </c:extLst>
          </c:dPt>
          <c:dPt>
            <c:idx val="8"/>
            <c:invertIfNegative val="0"/>
            <c:bubble3D val="0"/>
            <c:spPr>
              <a:solidFill>
                <a:srgbClr val="E1A8E9"/>
              </a:solidFill>
              <a:ln w="3175" cmpd="sng">
                <a:noFill/>
                <a:prstDash val="solid"/>
              </a:ln>
            </c:spPr>
            <c:extLst>
              <c:ext xmlns:c16="http://schemas.microsoft.com/office/drawing/2014/chart" uri="{C3380CC4-5D6E-409C-BE32-E72D297353CC}">
                <c16:uniqueId val="{00000355-450E-4EB1-A63A-E97654685C78}"/>
              </c:ext>
            </c:extLst>
          </c:dPt>
          <c:dPt>
            <c:idx val="9"/>
            <c:invertIfNegative val="0"/>
            <c:bubble3D val="0"/>
            <c:spPr>
              <a:solidFill>
                <a:srgbClr val="E1A8E9"/>
              </a:solidFill>
              <a:ln w="3175" cmpd="sng">
                <a:noFill/>
                <a:prstDash val="solid"/>
              </a:ln>
            </c:spPr>
            <c:extLst>
              <c:ext xmlns:c16="http://schemas.microsoft.com/office/drawing/2014/chart" uri="{C3380CC4-5D6E-409C-BE32-E72D297353CC}">
                <c16:uniqueId val="{00000357-450E-4EB1-A63A-E97654685C78}"/>
              </c:ext>
            </c:extLst>
          </c:dPt>
          <c:dPt>
            <c:idx val="10"/>
            <c:invertIfNegative val="0"/>
            <c:bubble3D val="0"/>
            <c:spPr>
              <a:solidFill>
                <a:srgbClr val="E1A8E9"/>
              </a:solidFill>
              <a:ln w="3175" cmpd="sng">
                <a:noFill/>
                <a:prstDash val="solid"/>
              </a:ln>
            </c:spPr>
            <c:extLst>
              <c:ext xmlns:c16="http://schemas.microsoft.com/office/drawing/2014/chart" uri="{C3380CC4-5D6E-409C-BE32-E72D297353CC}">
                <c16:uniqueId val="{00000359-450E-4EB1-A63A-E97654685C78}"/>
              </c:ext>
            </c:extLst>
          </c:dPt>
          <c:dPt>
            <c:idx val="11"/>
            <c:invertIfNegative val="0"/>
            <c:bubble3D val="0"/>
            <c:spPr>
              <a:solidFill>
                <a:srgbClr val="E1A8E9"/>
              </a:solidFill>
              <a:ln w="3175" cmpd="sng">
                <a:noFill/>
                <a:prstDash val="solid"/>
              </a:ln>
            </c:spPr>
            <c:extLst>
              <c:ext xmlns:c16="http://schemas.microsoft.com/office/drawing/2014/chart" uri="{C3380CC4-5D6E-409C-BE32-E72D297353CC}">
                <c16:uniqueId val="{0000035B-450E-4EB1-A63A-E97654685C78}"/>
              </c:ext>
            </c:extLst>
          </c:dPt>
          <c:dPt>
            <c:idx val="12"/>
            <c:invertIfNegative val="0"/>
            <c:bubble3D val="0"/>
            <c:spPr>
              <a:solidFill>
                <a:srgbClr val="E1A8E9"/>
              </a:solidFill>
              <a:ln w="3175" cmpd="sng">
                <a:noFill/>
                <a:prstDash val="solid"/>
              </a:ln>
            </c:spPr>
            <c:extLst>
              <c:ext xmlns:c16="http://schemas.microsoft.com/office/drawing/2014/chart" uri="{C3380CC4-5D6E-409C-BE32-E72D297353CC}">
                <c16:uniqueId val="{0000035D-450E-4EB1-A63A-E97654685C78}"/>
              </c:ext>
            </c:extLst>
          </c:dPt>
          <c:dPt>
            <c:idx val="13"/>
            <c:invertIfNegative val="0"/>
            <c:bubble3D val="0"/>
            <c:spPr>
              <a:solidFill>
                <a:srgbClr val="E1A8E9"/>
              </a:solidFill>
              <a:ln w="3175" cmpd="sng">
                <a:noFill/>
                <a:prstDash val="solid"/>
              </a:ln>
            </c:spPr>
            <c:extLst>
              <c:ext xmlns:c16="http://schemas.microsoft.com/office/drawing/2014/chart" uri="{C3380CC4-5D6E-409C-BE32-E72D297353CC}">
                <c16:uniqueId val="{0000035F-450E-4EB1-A63A-E97654685C78}"/>
              </c:ext>
            </c:extLst>
          </c:dPt>
          <c:dPt>
            <c:idx val="14"/>
            <c:invertIfNegative val="0"/>
            <c:bubble3D val="0"/>
            <c:spPr>
              <a:solidFill>
                <a:srgbClr val="E1A8E9"/>
              </a:solidFill>
              <a:ln w="3175" cmpd="sng">
                <a:noFill/>
                <a:prstDash val="solid"/>
              </a:ln>
            </c:spPr>
            <c:extLst>
              <c:ext xmlns:c16="http://schemas.microsoft.com/office/drawing/2014/chart" uri="{C3380CC4-5D6E-409C-BE32-E72D297353CC}">
                <c16:uniqueId val="{00000361-450E-4EB1-A63A-E97654685C78}"/>
              </c:ext>
            </c:extLst>
          </c:dPt>
          <c:dPt>
            <c:idx val="15"/>
            <c:invertIfNegative val="0"/>
            <c:bubble3D val="0"/>
            <c:spPr>
              <a:solidFill>
                <a:srgbClr val="E1A8E9"/>
              </a:solidFill>
              <a:ln w="3175" cmpd="sng">
                <a:noFill/>
                <a:prstDash val="solid"/>
              </a:ln>
            </c:spPr>
            <c:extLst>
              <c:ext xmlns:c16="http://schemas.microsoft.com/office/drawing/2014/chart" uri="{C3380CC4-5D6E-409C-BE32-E72D297353CC}">
                <c16:uniqueId val="{00000363-450E-4EB1-A63A-E97654685C78}"/>
              </c:ext>
            </c:extLst>
          </c:dPt>
          <c:dPt>
            <c:idx val="16"/>
            <c:invertIfNegative val="0"/>
            <c:bubble3D val="0"/>
            <c:spPr>
              <a:solidFill>
                <a:srgbClr val="E1A8E9"/>
              </a:solidFill>
              <a:ln w="3175" cmpd="sng">
                <a:noFill/>
                <a:prstDash val="solid"/>
              </a:ln>
            </c:spPr>
            <c:extLst>
              <c:ext xmlns:c16="http://schemas.microsoft.com/office/drawing/2014/chart" uri="{C3380CC4-5D6E-409C-BE32-E72D297353CC}">
                <c16:uniqueId val="{00000365-450E-4EB1-A63A-E97654685C78}"/>
              </c:ext>
            </c:extLst>
          </c:dPt>
          <c:dPt>
            <c:idx val="17"/>
            <c:invertIfNegative val="0"/>
            <c:bubble3D val="0"/>
            <c:spPr>
              <a:solidFill>
                <a:srgbClr val="E1A8E9"/>
              </a:solidFill>
              <a:ln w="3175" cmpd="sng">
                <a:noFill/>
                <a:prstDash val="solid"/>
              </a:ln>
            </c:spPr>
            <c:extLst>
              <c:ext xmlns:c16="http://schemas.microsoft.com/office/drawing/2014/chart" uri="{C3380CC4-5D6E-409C-BE32-E72D297353CC}">
                <c16:uniqueId val="{00000367-450E-4EB1-A63A-E97654685C78}"/>
              </c:ext>
            </c:extLst>
          </c:dPt>
          <c:dPt>
            <c:idx val="18"/>
            <c:invertIfNegative val="0"/>
            <c:bubble3D val="0"/>
            <c:spPr>
              <a:solidFill>
                <a:srgbClr val="E1A8E9"/>
              </a:solidFill>
              <a:ln w="3175" cmpd="sng">
                <a:noFill/>
                <a:prstDash val="solid"/>
              </a:ln>
            </c:spPr>
            <c:extLst>
              <c:ext xmlns:c16="http://schemas.microsoft.com/office/drawing/2014/chart" uri="{C3380CC4-5D6E-409C-BE32-E72D297353CC}">
                <c16:uniqueId val="{00000369-450E-4EB1-A63A-E97654685C78}"/>
              </c:ext>
            </c:extLst>
          </c:dPt>
          <c:dPt>
            <c:idx val="19"/>
            <c:invertIfNegative val="0"/>
            <c:bubble3D val="0"/>
            <c:spPr>
              <a:solidFill>
                <a:srgbClr val="E1A8E9"/>
              </a:solidFill>
              <a:ln w="3175" cmpd="sng">
                <a:noFill/>
                <a:prstDash val="solid"/>
              </a:ln>
            </c:spPr>
            <c:extLst>
              <c:ext xmlns:c16="http://schemas.microsoft.com/office/drawing/2014/chart" uri="{C3380CC4-5D6E-409C-BE32-E72D297353CC}">
                <c16:uniqueId val="{0000036B-450E-4EB1-A63A-E97654685C78}"/>
              </c:ext>
            </c:extLst>
          </c:dPt>
          <c:dPt>
            <c:idx val="20"/>
            <c:invertIfNegative val="0"/>
            <c:bubble3D val="0"/>
            <c:spPr>
              <a:solidFill>
                <a:srgbClr val="E1A8E9"/>
              </a:solidFill>
              <a:ln w="3175" cmpd="sng">
                <a:noFill/>
                <a:prstDash val="solid"/>
              </a:ln>
            </c:spPr>
            <c:extLst>
              <c:ext xmlns:c16="http://schemas.microsoft.com/office/drawing/2014/chart" uri="{C3380CC4-5D6E-409C-BE32-E72D297353CC}">
                <c16:uniqueId val="{0000036D-450E-4EB1-A63A-E97654685C78}"/>
              </c:ext>
            </c:extLst>
          </c:dPt>
          <c:dPt>
            <c:idx val="21"/>
            <c:invertIfNegative val="0"/>
            <c:bubble3D val="0"/>
            <c:spPr>
              <a:solidFill>
                <a:srgbClr val="E1A8E9"/>
              </a:solidFill>
              <a:ln w="3175" cmpd="sng">
                <a:noFill/>
                <a:prstDash val="solid"/>
              </a:ln>
            </c:spPr>
            <c:extLst>
              <c:ext xmlns:c16="http://schemas.microsoft.com/office/drawing/2014/chart" uri="{C3380CC4-5D6E-409C-BE32-E72D297353CC}">
                <c16:uniqueId val="{0000036F-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Data'!$C$13:$X$13</c:f>
              <c:numCache>
                <c:formatCode>#,##0_ ;\-#,##0\ </c:formatCode>
                <c:ptCount val="22"/>
                <c:pt idx="0">
                  <c:v>-1330</c:v>
                </c:pt>
                <c:pt idx="1">
                  <c:v>-76.25</c:v>
                </c:pt>
                <c:pt idx="2">
                  <c:v>-86.25</c:v>
                </c:pt>
                <c:pt idx="3">
                  <c:v>-130</c:v>
                </c:pt>
                <c:pt idx="4">
                  <c:v>-300</c:v>
                </c:pt>
                <c:pt idx="5">
                  <c:v>-247.5</c:v>
                </c:pt>
                <c:pt idx="6">
                  <c:v>-316.25</c:v>
                </c:pt>
                <c:pt idx="7">
                  <c:v>-561.25</c:v>
                </c:pt>
                <c:pt idx="8">
                  <c:v>-1035</c:v>
                </c:pt>
                <c:pt idx="9">
                  <c:v>-1021.25</c:v>
                </c:pt>
                <c:pt idx="10">
                  <c:v>-1305</c:v>
                </c:pt>
                <c:pt idx="11">
                  <c:v>-1586.25</c:v>
                </c:pt>
                <c:pt idx="12">
                  <c:v>-1505</c:v>
                </c:pt>
                <c:pt idx="13">
                  <c:v>-1541.25</c:v>
                </c:pt>
                <c:pt idx="14">
                  <c:v>-1501.25</c:v>
                </c:pt>
                <c:pt idx="15">
                  <c:v>-1578.75</c:v>
                </c:pt>
                <c:pt idx="16">
                  <c:v>-1771.25</c:v>
                </c:pt>
                <c:pt idx="17">
                  <c:v>-6070</c:v>
                </c:pt>
                <c:pt idx="18">
                  <c:v>-7941.25</c:v>
                </c:pt>
                <c:pt idx="19">
                  <c:v>-8120</c:v>
                </c:pt>
                <c:pt idx="20">
                  <c:v>-9115</c:v>
                </c:pt>
                <c:pt idx="21">
                  <c:v>-9170</c:v>
                </c:pt>
              </c:numCache>
            </c:numRef>
          </c:val>
          <c:extLst>
            <c:ext xmlns:c16="http://schemas.microsoft.com/office/drawing/2014/chart" uri="{C3380CC4-5D6E-409C-BE32-E72D297353CC}">
              <c16:uniqueId val="{00000370-450E-4EB1-A63A-E97654685C78}"/>
            </c:ext>
          </c:extLst>
        </c:ser>
        <c:ser>
          <c:idx val="7"/>
          <c:order val="12"/>
          <c:tx>
            <c:strRef>
              <c:f>'NEMEnergyGenerated Data'!$B$10</c:f>
              <c:strCache>
                <c:ptCount val="1"/>
                <c:pt idx="0">
                  <c:v>Distributed storage load</c:v>
                </c:pt>
              </c:strCache>
            </c:strRef>
          </c:tx>
          <c:spPr>
            <a:solidFill>
              <a:srgbClr val="89FF89"/>
            </a:solidFill>
            <a:ln>
              <a:noFill/>
            </a:ln>
            <a:effectLst/>
          </c:spPr>
          <c:invertIfNegative val="0"/>
          <c:dPt>
            <c:idx val="0"/>
            <c:invertIfNegative val="0"/>
            <c:bubble3D val="0"/>
            <c:extLst>
              <c:ext xmlns:c16="http://schemas.microsoft.com/office/drawing/2014/chart" uri="{C3380CC4-5D6E-409C-BE32-E72D297353CC}">
                <c16:uniqueId val="{00000372-450E-4EB1-A63A-E97654685C78}"/>
              </c:ext>
            </c:extLst>
          </c:dPt>
          <c:dPt>
            <c:idx val="1"/>
            <c:invertIfNegative val="0"/>
            <c:bubble3D val="0"/>
            <c:extLst>
              <c:ext xmlns:c16="http://schemas.microsoft.com/office/drawing/2014/chart" uri="{C3380CC4-5D6E-409C-BE32-E72D297353CC}">
                <c16:uniqueId val="{00000373-450E-4EB1-A63A-E97654685C78}"/>
              </c:ext>
            </c:extLst>
          </c:dPt>
          <c:dPt>
            <c:idx val="2"/>
            <c:invertIfNegative val="0"/>
            <c:bubble3D val="0"/>
            <c:extLst>
              <c:ext xmlns:c16="http://schemas.microsoft.com/office/drawing/2014/chart" uri="{C3380CC4-5D6E-409C-BE32-E72D297353CC}">
                <c16:uniqueId val="{00000374-450E-4EB1-A63A-E97654685C78}"/>
              </c:ext>
            </c:extLst>
          </c:dPt>
          <c:dPt>
            <c:idx val="3"/>
            <c:invertIfNegative val="0"/>
            <c:bubble3D val="0"/>
            <c:extLst>
              <c:ext xmlns:c16="http://schemas.microsoft.com/office/drawing/2014/chart" uri="{C3380CC4-5D6E-409C-BE32-E72D297353CC}">
                <c16:uniqueId val="{00000375-450E-4EB1-A63A-E97654685C78}"/>
              </c:ext>
            </c:extLst>
          </c:dPt>
          <c:dPt>
            <c:idx val="4"/>
            <c:invertIfNegative val="0"/>
            <c:bubble3D val="0"/>
            <c:extLst>
              <c:ext xmlns:c16="http://schemas.microsoft.com/office/drawing/2014/chart" uri="{C3380CC4-5D6E-409C-BE32-E72D297353CC}">
                <c16:uniqueId val="{00000376-450E-4EB1-A63A-E97654685C78}"/>
              </c:ext>
            </c:extLst>
          </c:dPt>
          <c:dPt>
            <c:idx val="5"/>
            <c:invertIfNegative val="0"/>
            <c:bubble3D val="0"/>
            <c:extLst>
              <c:ext xmlns:c16="http://schemas.microsoft.com/office/drawing/2014/chart" uri="{C3380CC4-5D6E-409C-BE32-E72D297353CC}">
                <c16:uniqueId val="{00000377-450E-4EB1-A63A-E97654685C78}"/>
              </c:ext>
            </c:extLst>
          </c:dPt>
          <c:dPt>
            <c:idx val="6"/>
            <c:invertIfNegative val="0"/>
            <c:bubble3D val="0"/>
            <c:extLst>
              <c:ext xmlns:c16="http://schemas.microsoft.com/office/drawing/2014/chart" uri="{C3380CC4-5D6E-409C-BE32-E72D297353CC}">
                <c16:uniqueId val="{00000378-450E-4EB1-A63A-E97654685C78}"/>
              </c:ext>
            </c:extLst>
          </c:dPt>
          <c:dPt>
            <c:idx val="7"/>
            <c:invertIfNegative val="0"/>
            <c:bubble3D val="0"/>
            <c:extLst>
              <c:ext xmlns:c16="http://schemas.microsoft.com/office/drawing/2014/chart" uri="{C3380CC4-5D6E-409C-BE32-E72D297353CC}">
                <c16:uniqueId val="{00000379-450E-4EB1-A63A-E97654685C78}"/>
              </c:ext>
            </c:extLst>
          </c:dPt>
          <c:dPt>
            <c:idx val="8"/>
            <c:invertIfNegative val="0"/>
            <c:bubble3D val="0"/>
            <c:extLst>
              <c:ext xmlns:c16="http://schemas.microsoft.com/office/drawing/2014/chart" uri="{C3380CC4-5D6E-409C-BE32-E72D297353CC}">
                <c16:uniqueId val="{0000037A-450E-4EB1-A63A-E97654685C78}"/>
              </c:ext>
            </c:extLst>
          </c:dPt>
          <c:dPt>
            <c:idx val="9"/>
            <c:invertIfNegative val="0"/>
            <c:bubble3D val="0"/>
            <c:extLst>
              <c:ext xmlns:c16="http://schemas.microsoft.com/office/drawing/2014/chart" uri="{C3380CC4-5D6E-409C-BE32-E72D297353CC}">
                <c16:uniqueId val="{0000037B-450E-4EB1-A63A-E97654685C78}"/>
              </c:ext>
            </c:extLst>
          </c:dPt>
          <c:dPt>
            <c:idx val="10"/>
            <c:invertIfNegative val="0"/>
            <c:bubble3D val="0"/>
            <c:extLst>
              <c:ext xmlns:c16="http://schemas.microsoft.com/office/drawing/2014/chart" uri="{C3380CC4-5D6E-409C-BE32-E72D297353CC}">
                <c16:uniqueId val="{0000037C-450E-4EB1-A63A-E97654685C78}"/>
              </c:ext>
            </c:extLst>
          </c:dPt>
          <c:dPt>
            <c:idx val="11"/>
            <c:invertIfNegative val="0"/>
            <c:bubble3D val="0"/>
            <c:extLst>
              <c:ext xmlns:c16="http://schemas.microsoft.com/office/drawing/2014/chart" uri="{C3380CC4-5D6E-409C-BE32-E72D297353CC}">
                <c16:uniqueId val="{0000037D-450E-4EB1-A63A-E97654685C78}"/>
              </c:ext>
            </c:extLst>
          </c:dPt>
          <c:dPt>
            <c:idx val="12"/>
            <c:invertIfNegative val="0"/>
            <c:bubble3D val="0"/>
            <c:extLst>
              <c:ext xmlns:c16="http://schemas.microsoft.com/office/drawing/2014/chart" uri="{C3380CC4-5D6E-409C-BE32-E72D297353CC}">
                <c16:uniqueId val="{0000037E-450E-4EB1-A63A-E97654685C78}"/>
              </c:ext>
            </c:extLst>
          </c:dPt>
          <c:dPt>
            <c:idx val="13"/>
            <c:invertIfNegative val="0"/>
            <c:bubble3D val="0"/>
            <c:extLst>
              <c:ext xmlns:c16="http://schemas.microsoft.com/office/drawing/2014/chart" uri="{C3380CC4-5D6E-409C-BE32-E72D297353CC}">
                <c16:uniqueId val="{0000037F-450E-4EB1-A63A-E97654685C78}"/>
              </c:ext>
            </c:extLst>
          </c:dPt>
          <c:dPt>
            <c:idx val="14"/>
            <c:invertIfNegative val="0"/>
            <c:bubble3D val="0"/>
            <c:extLst>
              <c:ext xmlns:c16="http://schemas.microsoft.com/office/drawing/2014/chart" uri="{C3380CC4-5D6E-409C-BE32-E72D297353CC}">
                <c16:uniqueId val="{00000380-450E-4EB1-A63A-E97654685C78}"/>
              </c:ext>
            </c:extLst>
          </c:dPt>
          <c:dPt>
            <c:idx val="15"/>
            <c:invertIfNegative val="0"/>
            <c:bubble3D val="0"/>
            <c:extLst>
              <c:ext xmlns:c16="http://schemas.microsoft.com/office/drawing/2014/chart" uri="{C3380CC4-5D6E-409C-BE32-E72D297353CC}">
                <c16:uniqueId val="{00000381-450E-4EB1-A63A-E97654685C78}"/>
              </c:ext>
            </c:extLst>
          </c:dPt>
          <c:dPt>
            <c:idx val="16"/>
            <c:invertIfNegative val="0"/>
            <c:bubble3D val="0"/>
            <c:extLst>
              <c:ext xmlns:c16="http://schemas.microsoft.com/office/drawing/2014/chart" uri="{C3380CC4-5D6E-409C-BE32-E72D297353CC}">
                <c16:uniqueId val="{00000382-450E-4EB1-A63A-E97654685C78}"/>
              </c:ext>
            </c:extLst>
          </c:dPt>
          <c:dPt>
            <c:idx val="17"/>
            <c:invertIfNegative val="0"/>
            <c:bubble3D val="0"/>
            <c:extLst>
              <c:ext xmlns:c16="http://schemas.microsoft.com/office/drawing/2014/chart" uri="{C3380CC4-5D6E-409C-BE32-E72D297353CC}">
                <c16:uniqueId val="{00000383-450E-4EB1-A63A-E97654685C78}"/>
              </c:ext>
            </c:extLst>
          </c:dPt>
          <c:dPt>
            <c:idx val="18"/>
            <c:invertIfNegative val="0"/>
            <c:bubble3D val="0"/>
            <c:extLst>
              <c:ext xmlns:c16="http://schemas.microsoft.com/office/drawing/2014/chart" uri="{C3380CC4-5D6E-409C-BE32-E72D297353CC}">
                <c16:uniqueId val="{00000384-450E-4EB1-A63A-E97654685C78}"/>
              </c:ext>
            </c:extLst>
          </c:dPt>
          <c:dPt>
            <c:idx val="19"/>
            <c:invertIfNegative val="0"/>
            <c:bubble3D val="0"/>
            <c:extLst>
              <c:ext xmlns:c16="http://schemas.microsoft.com/office/drawing/2014/chart" uri="{C3380CC4-5D6E-409C-BE32-E72D297353CC}">
                <c16:uniqueId val="{00000385-450E-4EB1-A63A-E97654685C78}"/>
              </c:ext>
            </c:extLst>
          </c:dPt>
          <c:dPt>
            <c:idx val="20"/>
            <c:invertIfNegative val="0"/>
            <c:bubble3D val="0"/>
            <c:extLst>
              <c:ext xmlns:c16="http://schemas.microsoft.com/office/drawing/2014/chart" uri="{C3380CC4-5D6E-409C-BE32-E72D297353CC}">
                <c16:uniqueId val="{00000386-450E-4EB1-A63A-E97654685C78}"/>
              </c:ext>
            </c:extLst>
          </c:dPt>
          <c:dPt>
            <c:idx val="21"/>
            <c:invertIfNegative val="0"/>
            <c:bubble3D val="0"/>
            <c:extLst>
              <c:ext xmlns:c16="http://schemas.microsoft.com/office/drawing/2014/chart" uri="{C3380CC4-5D6E-409C-BE32-E72D297353CC}">
                <c16:uniqueId val="{00000387-450E-4EB1-A63A-E97654685C78}"/>
              </c:ext>
            </c:extLst>
          </c:dPt>
          <c:dPt>
            <c:idx val="22"/>
            <c:invertIfNegative val="0"/>
            <c:bubble3D val="0"/>
            <c:extLst>
              <c:ext xmlns:c16="http://schemas.microsoft.com/office/drawing/2014/chart" uri="{C3380CC4-5D6E-409C-BE32-E72D297353CC}">
                <c16:uniqueId val="{00000388-450E-4EB1-A63A-E97654685C78}"/>
              </c:ext>
            </c:extLst>
          </c:dPt>
          <c:dPt>
            <c:idx val="23"/>
            <c:invertIfNegative val="0"/>
            <c:bubble3D val="0"/>
            <c:extLst>
              <c:ext xmlns:c16="http://schemas.microsoft.com/office/drawing/2014/chart" uri="{C3380CC4-5D6E-409C-BE32-E72D297353CC}">
                <c16:uniqueId val="{00000389-450E-4EB1-A63A-E97654685C78}"/>
              </c:ext>
            </c:extLst>
          </c:dPt>
          <c:dPt>
            <c:idx val="24"/>
            <c:invertIfNegative val="0"/>
            <c:bubble3D val="0"/>
            <c:extLst>
              <c:ext xmlns:c16="http://schemas.microsoft.com/office/drawing/2014/chart" uri="{C3380CC4-5D6E-409C-BE32-E72D297353CC}">
                <c16:uniqueId val="{0000038A-450E-4EB1-A63A-E97654685C78}"/>
              </c:ext>
            </c:extLst>
          </c:dPt>
          <c:cat>
            <c:strRef>
              <c:f>'NEMEnergyGenerated Data'!$C$2:$X$2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'NEMEnergyGenerated Data'!$C$10:$X$10</c:f>
              <c:numCache>
                <c:formatCode>#,##0_ ;\-#,##0\ </c:formatCode>
                <c:ptCount val="22"/>
                <c:pt idx="0">
                  <c:v>-118.73640607777777</c:v>
                </c:pt>
                <c:pt idx="1">
                  <c:v>-215.47678355555556</c:v>
                </c:pt>
                <c:pt idx="2">
                  <c:v>-356.25092888888889</c:v>
                </c:pt>
                <c:pt idx="3">
                  <c:v>-534.44437144444441</c:v>
                </c:pt>
                <c:pt idx="4">
                  <c:v>-826.75318833333336</c:v>
                </c:pt>
                <c:pt idx="5">
                  <c:v>-1038.3633311111112</c:v>
                </c:pt>
                <c:pt idx="6">
                  <c:v>-1326.4575863333332</c:v>
                </c:pt>
                <c:pt idx="7">
                  <c:v>-1580.1571952222221</c:v>
                </c:pt>
                <c:pt idx="8">
                  <c:v>-1883.3905427777777</c:v>
                </c:pt>
                <c:pt idx="9">
                  <c:v>-2039.2633515555556</c:v>
                </c:pt>
                <c:pt idx="10">
                  <c:v>-2317.8364504444444</c:v>
                </c:pt>
                <c:pt idx="11">
                  <c:v>-2617.0146804444444</c:v>
                </c:pt>
                <c:pt idx="12">
                  <c:v>-2675.102865444444</c:v>
                </c:pt>
                <c:pt idx="13">
                  <c:v>-2864.7822397777777</c:v>
                </c:pt>
                <c:pt idx="14">
                  <c:v>-3068.5382124444445</c:v>
                </c:pt>
                <c:pt idx="15">
                  <c:v>-3240.1205833333333</c:v>
                </c:pt>
                <c:pt idx="16">
                  <c:v>-3423.3291202222222</c:v>
                </c:pt>
                <c:pt idx="17">
                  <c:v>-3561.9010465555552</c:v>
                </c:pt>
                <c:pt idx="18">
                  <c:v>-3713.3918354444445</c:v>
                </c:pt>
                <c:pt idx="19">
                  <c:v>-3930.390806111111</c:v>
                </c:pt>
                <c:pt idx="20">
                  <c:v>-3968.8470397777774</c:v>
                </c:pt>
                <c:pt idx="21">
                  <c:v>-4197.6243917777783</c:v>
                </c:pt>
              </c:numCache>
            </c:numRef>
          </c:val>
          <c:extLst>
            <c:ext xmlns:c16="http://schemas.microsoft.com/office/drawing/2014/chart" uri="{C3380CC4-5D6E-409C-BE32-E72D297353CC}">
              <c16:uniqueId val="{0000038B-450E-4EB1-A63A-E97654685C78}"/>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8322709635219802"/>
              <c:y val="0.74525694399438258"/>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Energy Generated (GWh)</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6.4604715849622019E-2"/>
          <c:y val="0.80836030207477083"/>
          <c:w val="0.87297990120331437"/>
          <c:h val="0.15018997401582546"/>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3526772857308464"/>
          <c:y val="3.2648402413411041E-2"/>
          <c:w val="0.84059724936764346"/>
          <c:h val="0.62071273542431116"/>
        </c:manualLayout>
      </c:layout>
      <c:barChart>
        <c:barDir val="col"/>
        <c:grouping val="stacked"/>
        <c:varyColors val="0"/>
        <c:ser>
          <c:idx val="0"/>
          <c:order val="0"/>
          <c:tx>
            <c:strRef>
              <c:f>'NewAndRetiredCapacity Data'!$A$3</c:f>
              <c:strCache>
                <c:ptCount val="1"/>
                <c:pt idx="0">
                  <c:v>Black coal</c:v>
                </c:pt>
              </c:strCache>
            </c:strRef>
          </c:tx>
          <c:spPr>
            <a:solidFill>
              <a:srgbClr val="000000"/>
            </a:solidFill>
            <a:ln>
              <a:noFill/>
            </a:ln>
            <a:effectLst/>
          </c:spPr>
          <c:invertIfNegative val="0"/>
          <c:dPt>
            <c:idx val="0"/>
            <c:invertIfNegative val="0"/>
            <c:bubble3D val="0"/>
            <c:extLst>
              <c:ext xmlns:c16="http://schemas.microsoft.com/office/drawing/2014/chart" uri="{C3380CC4-5D6E-409C-BE32-E72D297353CC}">
                <c16:uniqueId val="{00000150-4391-4161-9A3A-61B157F79F18}"/>
              </c:ext>
            </c:extLst>
          </c:dPt>
          <c:dPt>
            <c:idx val="1"/>
            <c:invertIfNegative val="0"/>
            <c:bubble3D val="0"/>
            <c:extLst>
              <c:ext xmlns:c16="http://schemas.microsoft.com/office/drawing/2014/chart" uri="{C3380CC4-5D6E-409C-BE32-E72D297353CC}">
                <c16:uniqueId val="{00000151-4391-4161-9A3A-61B157F79F18}"/>
              </c:ext>
            </c:extLst>
          </c:dPt>
          <c:dPt>
            <c:idx val="2"/>
            <c:invertIfNegative val="0"/>
            <c:bubble3D val="0"/>
            <c:extLst>
              <c:ext xmlns:c16="http://schemas.microsoft.com/office/drawing/2014/chart" uri="{C3380CC4-5D6E-409C-BE32-E72D297353CC}">
                <c16:uniqueId val="{00000152-4391-4161-9A3A-61B157F79F18}"/>
              </c:ext>
            </c:extLst>
          </c:dPt>
          <c:dPt>
            <c:idx val="3"/>
            <c:invertIfNegative val="0"/>
            <c:bubble3D val="0"/>
            <c:extLst>
              <c:ext xmlns:c16="http://schemas.microsoft.com/office/drawing/2014/chart" uri="{C3380CC4-5D6E-409C-BE32-E72D297353CC}">
                <c16:uniqueId val="{00000153-4391-4161-9A3A-61B157F79F18}"/>
              </c:ext>
            </c:extLst>
          </c:dPt>
          <c:dPt>
            <c:idx val="4"/>
            <c:invertIfNegative val="0"/>
            <c:bubble3D val="0"/>
            <c:extLst>
              <c:ext xmlns:c16="http://schemas.microsoft.com/office/drawing/2014/chart" uri="{C3380CC4-5D6E-409C-BE32-E72D297353CC}">
                <c16:uniqueId val="{00000154-4391-4161-9A3A-61B157F79F18}"/>
              </c:ext>
            </c:extLst>
          </c:dPt>
          <c:dPt>
            <c:idx val="5"/>
            <c:invertIfNegative val="0"/>
            <c:bubble3D val="0"/>
            <c:extLst>
              <c:ext xmlns:c16="http://schemas.microsoft.com/office/drawing/2014/chart" uri="{C3380CC4-5D6E-409C-BE32-E72D297353CC}">
                <c16:uniqueId val="{00000155-4391-4161-9A3A-61B157F79F18}"/>
              </c:ext>
            </c:extLst>
          </c:dPt>
          <c:dPt>
            <c:idx val="6"/>
            <c:invertIfNegative val="0"/>
            <c:bubble3D val="0"/>
            <c:extLst>
              <c:ext xmlns:c16="http://schemas.microsoft.com/office/drawing/2014/chart" uri="{C3380CC4-5D6E-409C-BE32-E72D297353CC}">
                <c16:uniqueId val="{00000156-4391-4161-9A3A-61B157F79F18}"/>
              </c:ext>
            </c:extLst>
          </c:dPt>
          <c:dPt>
            <c:idx val="7"/>
            <c:invertIfNegative val="0"/>
            <c:bubble3D val="0"/>
            <c:extLst>
              <c:ext xmlns:c16="http://schemas.microsoft.com/office/drawing/2014/chart" uri="{C3380CC4-5D6E-409C-BE32-E72D297353CC}">
                <c16:uniqueId val="{00000157-4391-4161-9A3A-61B157F79F18}"/>
              </c:ext>
            </c:extLst>
          </c:dPt>
          <c:dPt>
            <c:idx val="8"/>
            <c:invertIfNegative val="0"/>
            <c:bubble3D val="0"/>
            <c:extLst>
              <c:ext xmlns:c16="http://schemas.microsoft.com/office/drawing/2014/chart" uri="{C3380CC4-5D6E-409C-BE32-E72D297353CC}">
                <c16:uniqueId val="{00000158-4391-4161-9A3A-61B157F79F18}"/>
              </c:ext>
            </c:extLst>
          </c:dPt>
          <c:dPt>
            <c:idx val="9"/>
            <c:invertIfNegative val="0"/>
            <c:bubble3D val="0"/>
            <c:extLst>
              <c:ext xmlns:c16="http://schemas.microsoft.com/office/drawing/2014/chart" uri="{C3380CC4-5D6E-409C-BE32-E72D297353CC}">
                <c16:uniqueId val="{00000159-4391-4161-9A3A-61B157F79F18}"/>
              </c:ext>
            </c:extLst>
          </c:dPt>
          <c:dPt>
            <c:idx val="10"/>
            <c:invertIfNegative val="0"/>
            <c:bubble3D val="0"/>
            <c:extLst>
              <c:ext xmlns:c16="http://schemas.microsoft.com/office/drawing/2014/chart" uri="{C3380CC4-5D6E-409C-BE32-E72D297353CC}">
                <c16:uniqueId val="{0000015A-4391-4161-9A3A-61B157F79F18}"/>
              </c:ext>
            </c:extLst>
          </c:dPt>
          <c:dPt>
            <c:idx val="11"/>
            <c:invertIfNegative val="0"/>
            <c:bubble3D val="0"/>
            <c:extLst>
              <c:ext xmlns:c16="http://schemas.microsoft.com/office/drawing/2014/chart" uri="{C3380CC4-5D6E-409C-BE32-E72D297353CC}">
                <c16:uniqueId val="{0000015B-4391-4161-9A3A-61B157F79F18}"/>
              </c:ext>
            </c:extLst>
          </c:dPt>
          <c:dPt>
            <c:idx val="12"/>
            <c:invertIfNegative val="0"/>
            <c:bubble3D val="0"/>
            <c:extLst>
              <c:ext xmlns:c16="http://schemas.microsoft.com/office/drawing/2014/chart" uri="{C3380CC4-5D6E-409C-BE32-E72D297353CC}">
                <c16:uniqueId val="{0000015C-4391-4161-9A3A-61B157F79F18}"/>
              </c:ext>
            </c:extLst>
          </c:dPt>
          <c:dPt>
            <c:idx val="13"/>
            <c:invertIfNegative val="0"/>
            <c:bubble3D val="0"/>
            <c:extLst>
              <c:ext xmlns:c16="http://schemas.microsoft.com/office/drawing/2014/chart" uri="{C3380CC4-5D6E-409C-BE32-E72D297353CC}">
                <c16:uniqueId val="{0000015D-4391-4161-9A3A-61B157F79F18}"/>
              </c:ext>
            </c:extLst>
          </c:dPt>
          <c:dPt>
            <c:idx val="14"/>
            <c:invertIfNegative val="0"/>
            <c:bubble3D val="0"/>
            <c:extLst>
              <c:ext xmlns:c16="http://schemas.microsoft.com/office/drawing/2014/chart" uri="{C3380CC4-5D6E-409C-BE32-E72D297353CC}">
                <c16:uniqueId val="{0000015E-4391-4161-9A3A-61B157F79F18}"/>
              </c:ext>
            </c:extLst>
          </c:dPt>
          <c:dPt>
            <c:idx val="15"/>
            <c:invertIfNegative val="0"/>
            <c:bubble3D val="0"/>
            <c:extLst>
              <c:ext xmlns:c16="http://schemas.microsoft.com/office/drawing/2014/chart" uri="{C3380CC4-5D6E-409C-BE32-E72D297353CC}">
                <c16:uniqueId val="{0000015F-4391-4161-9A3A-61B157F79F18}"/>
              </c:ext>
            </c:extLst>
          </c:dPt>
          <c:dPt>
            <c:idx val="16"/>
            <c:invertIfNegative val="0"/>
            <c:bubble3D val="0"/>
            <c:extLst>
              <c:ext xmlns:c16="http://schemas.microsoft.com/office/drawing/2014/chart" uri="{C3380CC4-5D6E-409C-BE32-E72D297353CC}">
                <c16:uniqueId val="{00000160-4391-4161-9A3A-61B157F79F18}"/>
              </c:ext>
            </c:extLst>
          </c:dPt>
          <c:dPt>
            <c:idx val="17"/>
            <c:invertIfNegative val="0"/>
            <c:bubble3D val="0"/>
            <c:extLst>
              <c:ext xmlns:c16="http://schemas.microsoft.com/office/drawing/2014/chart" uri="{C3380CC4-5D6E-409C-BE32-E72D297353CC}">
                <c16:uniqueId val="{00000161-4391-4161-9A3A-61B157F79F18}"/>
              </c:ext>
            </c:extLst>
          </c:dPt>
          <c:dPt>
            <c:idx val="18"/>
            <c:invertIfNegative val="0"/>
            <c:bubble3D val="0"/>
            <c:extLst>
              <c:ext xmlns:c16="http://schemas.microsoft.com/office/drawing/2014/chart" uri="{C3380CC4-5D6E-409C-BE32-E72D297353CC}">
                <c16:uniqueId val="{00000162-4391-4161-9A3A-61B157F79F18}"/>
              </c:ext>
            </c:extLst>
          </c:dPt>
          <c:dPt>
            <c:idx val="19"/>
            <c:invertIfNegative val="0"/>
            <c:bubble3D val="0"/>
            <c:extLst>
              <c:ext xmlns:c16="http://schemas.microsoft.com/office/drawing/2014/chart" uri="{C3380CC4-5D6E-409C-BE32-E72D297353CC}">
                <c16:uniqueId val="{00000163-4391-4161-9A3A-61B157F79F18}"/>
              </c:ext>
            </c:extLst>
          </c:dPt>
          <c:dPt>
            <c:idx val="20"/>
            <c:invertIfNegative val="0"/>
            <c:bubble3D val="0"/>
            <c:extLst>
              <c:ext xmlns:c16="http://schemas.microsoft.com/office/drawing/2014/chart" uri="{C3380CC4-5D6E-409C-BE32-E72D297353CC}">
                <c16:uniqueId val="{00000164-4391-4161-9A3A-61B157F79F18}"/>
              </c:ext>
            </c:extLst>
          </c:dPt>
          <c:dPt>
            <c:idx val="21"/>
            <c:invertIfNegative val="0"/>
            <c:bubble3D val="0"/>
            <c:extLst>
              <c:ext xmlns:c16="http://schemas.microsoft.com/office/drawing/2014/chart" uri="{C3380CC4-5D6E-409C-BE32-E72D297353CC}">
                <c16:uniqueId val="{00000165-4391-4161-9A3A-61B157F79F18}"/>
              </c:ext>
            </c:extLst>
          </c:dPt>
          <c:dPt>
            <c:idx val="22"/>
            <c:invertIfNegative val="0"/>
            <c:bubble3D val="0"/>
            <c:extLst>
              <c:ext xmlns:c16="http://schemas.microsoft.com/office/drawing/2014/chart" uri="{C3380CC4-5D6E-409C-BE32-E72D297353CC}">
                <c16:uniqueId val="{00000166-4391-4161-9A3A-61B157F79F18}"/>
              </c:ext>
            </c:extLst>
          </c:dPt>
          <c:dPt>
            <c:idx val="23"/>
            <c:invertIfNegative val="0"/>
            <c:bubble3D val="0"/>
            <c:extLst>
              <c:ext xmlns:c16="http://schemas.microsoft.com/office/drawing/2014/chart" uri="{C3380CC4-5D6E-409C-BE32-E72D297353CC}">
                <c16:uniqueId val="{00000167-4391-4161-9A3A-61B157F79F18}"/>
              </c:ext>
            </c:extLst>
          </c:dPt>
          <c:dPt>
            <c:idx val="24"/>
            <c:invertIfNegative val="0"/>
            <c:bubble3D val="0"/>
            <c:extLst>
              <c:ext xmlns:c16="http://schemas.microsoft.com/office/drawing/2014/chart" uri="{C3380CC4-5D6E-409C-BE32-E72D297353CC}">
                <c16:uniqueId val="{00000168-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Data'!$B$3:$W$3</c:f>
              <c:numCache>
                <c:formatCode>#,##0_ ;\-#,##0\ </c:formatCode>
                <c:ptCount val="22"/>
                <c:pt idx="0">
                  <c:v>0</c:v>
                </c:pt>
                <c:pt idx="1">
                  <c:v>0</c:v>
                </c:pt>
                <c:pt idx="2">
                  <c:v>0</c:v>
                </c:pt>
                <c:pt idx="3">
                  <c:v>0</c:v>
                </c:pt>
                <c:pt idx="4">
                  <c:v>-1800</c:v>
                </c:pt>
                <c:pt idx="5">
                  <c:v>-1800</c:v>
                </c:pt>
                <c:pt idx="6">
                  <c:v>-1800</c:v>
                </c:pt>
                <c:pt idx="7">
                  <c:v>-1800</c:v>
                </c:pt>
                <c:pt idx="8">
                  <c:v>-3260</c:v>
                </c:pt>
                <c:pt idx="9">
                  <c:v>-3260</c:v>
                </c:pt>
                <c:pt idx="10">
                  <c:v>-4580</c:v>
                </c:pt>
                <c:pt idx="11">
                  <c:v>-6260</c:v>
                </c:pt>
                <c:pt idx="12">
                  <c:v>-6260</c:v>
                </c:pt>
                <c:pt idx="13">
                  <c:v>-6260</c:v>
                </c:pt>
                <c:pt idx="14">
                  <c:v>-6260</c:v>
                </c:pt>
                <c:pt idx="15">
                  <c:v>-6260</c:v>
                </c:pt>
                <c:pt idx="16">
                  <c:v>-9140</c:v>
                </c:pt>
                <c:pt idx="17">
                  <c:v>-11780</c:v>
                </c:pt>
                <c:pt idx="18">
                  <c:v>-13180</c:v>
                </c:pt>
                <c:pt idx="19">
                  <c:v>-13180</c:v>
                </c:pt>
                <c:pt idx="20">
                  <c:v>-13880</c:v>
                </c:pt>
                <c:pt idx="21">
                  <c:v>-13880</c:v>
                </c:pt>
              </c:numCache>
            </c:numRef>
          </c:val>
          <c:extLst>
            <c:ext xmlns:c16="http://schemas.microsoft.com/office/drawing/2014/chart" uri="{C3380CC4-5D6E-409C-BE32-E72D297353CC}">
              <c16:uniqueId val="{00000169-4391-4161-9A3A-61B157F79F18}"/>
            </c:ext>
          </c:extLst>
        </c:ser>
        <c:ser>
          <c:idx val="1"/>
          <c:order val="1"/>
          <c:tx>
            <c:strRef>
              <c:f>'NewAndRetiredCapacity Data'!$A$4</c:f>
              <c:strCache>
                <c:ptCount val="1"/>
                <c:pt idx="0">
                  <c:v>Brown coal</c:v>
                </c:pt>
              </c:strCache>
            </c:strRef>
          </c:tx>
          <c:spPr>
            <a:solidFill>
              <a:srgbClr val="833807"/>
            </a:solidFill>
            <a:ln>
              <a:noFill/>
            </a:ln>
            <a:effectLst/>
          </c:spPr>
          <c:invertIfNegative val="0"/>
          <c:dPt>
            <c:idx val="0"/>
            <c:invertIfNegative val="0"/>
            <c:bubble3D val="0"/>
            <c:extLst>
              <c:ext xmlns:c16="http://schemas.microsoft.com/office/drawing/2014/chart" uri="{C3380CC4-5D6E-409C-BE32-E72D297353CC}">
                <c16:uniqueId val="{0000016B-4391-4161-9A3A-61B157F79F18}"/>
              </c:ext>
            </c:extLst>
          </c:dPt>
          <c:dPt>
            <c:idx val="1"/>
            <c:invertIfNegative val="0"/>
            <c:bubble3D val="0"/>
            <c:extLst>
              <c:ext xmlns:c16="http://schemas.microsoft.com/office/drawing/2014/chart" uri="{C3380CC4-5D6E-409C-BE32-E72D297353CC}">
                <c16:uniqueId val="{0000016C-4391-4161-9A3A-61B157F79F18}"/>
              </c:ext>
            </c:extLst>
          </c:dPt>
          <c:dPt>
            <c:idx val="2"/>
            <c:invertIfNegative val="0"/>
            <c:bubble3D val="0"/>
            <c:extLst>
              <c:ext xmlns:c16="http://schemas.microsoft.com/office/drawing/2014/chart" uri="{C3380CC4-5D6E-409C-BE32-E72D297353CC}">
                <c16:uniqueId val="{0000016D-4391-4161-9A3A-61B157F79F18}"/>
              </c:ext>
            </c:extLst>
          </c:dPt>
          <c:dPt>
            <c:idx val="3"/>
            <c:invertIfNegative val="0"/>
            <c:bubble3D val="0"/>
            <c:extLst>
              <c:ext xmlns:c16="http://schemas.microsoft.com/office/drawing/2014/chart" uri="{C3380CC4-5D6E-409C-BE32-E72D297353CC}">
                <c16:uniqueId val="{0000016E-4391-4161-9A3A-61B157F79F18}"/>
              </c:ext>
            </c:extLst>
          </c:dPt>
          <c:dPt>
            <c:idx val="4"/>
            <c:invertIfNegative val="0"/>
            <c:bubble3D val="0"/>
            <c:extLst>
              <c:ext xmlns:c16="http://schemas.microsoft.com/office/drawing/2014/chart" uri="{C3380CC4-5D6E-409C-BE32-E72D297353CC}">
                <c16:uniqueId val="{0000016F-4391-4161-9A3A-61B157F79F18}"/>
              </c:ext>
            </c:extLst>
          </c:dPt>
          <c:dPt>
            <c:idx val="5"/>
            <c:invertIfNegative val="0"/>
            <c:bubble3D val="0"/>
            <c:extLst>
              <c:ext xmlns:c16="http://schemas.microsoft.com/office/drawing/2014/chart" uri="{C3380CC4-5D6E-409C-BE32-E72D297353CC}">
                <c16:uniqueId val="{00000170-4391-4161-9A3A-61B157F79F18}"/>
              </c:ext>
            </c:extLst>
          </c:dPt>
          <c:dPt>
            <c:idx val="6"/>
            <c:invertIfNegative val="0"/>
            <c:bubble3D val="0"/>
            <c:extLst>
              <c:ext xmlns:c16="http://schemas.microsoft.com/office/drawing/2014/chart" uri="{C3380CC4-5D6E-409C-BE32-E72D297353CC}">
                <c16:uniqueId val="{00000171-4391-4161-9A3A-61B157F79F18}"/>
              </c:ext>
            </c:extLst>
          </c:dPt>
          <c:dPt>
            <c:idx val="7"/>
            <c:invertIfNegative val="0"/>
            <c:bubble3D val="0"/>
            <c:extLst>
              <c:ext xmlns:c16="http://schemas.microsoft.com/office/drawing/2014/chart" uri="{C3380CC4-5D6E-409C-BE32-E72D297353CC}">
                <c16:uniqueId val="{00000172-4391-4161-9A3A-61B157F79F18}"/>
              </c:ext>
            </c:extLst>
          </c:dPt>
          <c:dPt>
            <c:idx val="8"/>
            <c:invertIfNegative val="0"/>
            <c:bubble3D val="0"/>
            <c:extLst>
              <c:ext xmlns:c16="http://schemas.microsoft.com/office/drawing/2014/chart" uri="{C3380CC4-5D6E-409C-BE32-E72D297353CC}">
                <c16:uniqueId val="{00000173-4391-4161-9A3A-61B157F79F18}"/>
              </c:ext>
            </c:extLst>
          </c:dPt>
          <c:dPt>
            <c:idx val="9"/>
            <c:invertIfNegative val="0"/>
            <c:bubble3D val="0"/>
            <c:extLst>
              <c:ext xmlns:c16="http://schemas.microsoft.com/office/drawing/2014/chart" uri="{C3380CC4-5D6E-409C-BE32-E72D297353CC}">
                <c16:uniqueId val="{00000174-4391-4161-9A3A-61B157F79F18}"/>
              </c:ext>
            </c:extLst>
          </c:dPt>
          <c:dPt>
            <c:idx val="10"/>
            <c:invertIfNegative val="0"/>
            <c:bubble3D val="0"/>
            <c:extLst>
              <c:ext xmlns:c16="http://schemas.microsoft.com/office/drawing/2014/chart" uri="{C3380CC4-5D6E-409C-BE32-E72D297353CC}">
                <c16:uniqueId val="{00000175-4391-4161-9A3A-61B157F79F18}"/>
              </c:ext>
            </c:extLst>
          </c:dPt>
          <c:dPt>
            <c:idx val="11"/>
            <c:invertIfNegative val="0"/>
            <c:bubble3D val="0"/>
            <c:extLst>
              <c:ext xmlns:c16="http://schemas.microsoft.com/office/drawing/2014/chart" uri="{C3380CC4-5D6E-409C-BE32-E72D297353CC}">
                <c16:uniqueId val="{00000176-4391-4161-9A3A-61B157F79F18}"/>
              </c:ext>
            </c:extLst>
          </c:dPt>
          <c:dPt>
            <c:idx val="12"/>
            <c:invertIfNegative val="0"/>
            <c:bubble3D val="0"/>
            <c:extLst>
              <c:ext xmlns:c16="http://schemas.microsoft.com/office/drawing/2014/chart" uri="{C3380CC4-5D6E-409C-BE32-E72D297353CC}">
                <c16:uniqueId val="{00000177-4391-4161-9A3A-61B157F79F18}"/>
              </c:ext>
            </c:extLst>
          </c:dPt>
          <c:dPt>
            <c:idx val="13"/>
            <c:invertIfNegative val="0"/>
            <c:bubble3D val="0"/>
            <c:extLst>
              <c:ext xmlns:c16="http://schemas.microsoft.com/office/drawing/2014/chart" uri="{C3380CC4-5D6E-409C-BE32-E72D297353CC}">
                <c16:uniqueId val="{00000178-4391-4161-9A3A-61B157F79F18}"/>
              </c:ext>
            </c:extLst>
          </c:dPt>
          <c:dPt>
            <c:idx val="14"/>
            <c:invertIfNegative val="0"/>
            <c:bubble3D val="0"/>
            <c:extLst>
              <c:ext xmlns:c16="http://schemas.microsoft.com/office/drawing/2014/chart" uri="{C3380CC4-5D6E-409C-BE32-E72D297353CC}">
                <c16:uniqueId val="{00000179-4391-4161-9A3A-61B157F79F18}"/>
              </c:ext>
            </c:extLst>
          </c:dPt>
          <c:dPt>
            <c:idx val="15"/>
            <c:invertIfNegative val="0"/>
            <c:bubble3D val="0"/>
            <c:extLst>
              <c:ext xmlns:c16="http://schemas.microsoft.com/office/drawing/2014/chart" uri="{C3380CC4-5D6E-409C-BE32-E72D297353CC}">
                <c16:uniqueId val="{0000017A-4391-4161-9A3A-61B157F79F18}"/>
              </c:ext>
            </c:extLst>
          </c:dPt>
          <c:dPt>
            <c:idx val="16"/>
            <c:invertIfNegative val="0"/>
            <c:bubble3D val="0"/>
            <c:extLst>
              <c:ext xmlns:c16="http://schemas.microsoft.com/office/drawing/2014/chart" uri="{C3380CC4-5D6E-409C-BE32-E72D297353CC}">
                <c16:uniqueId val="{0000017B-4391-4161-9A3A-61B157F79F18}"/>
              </c:ext>
            </c:extLst>
          </c:dPt>
          <c:dPt>
            <c:idx val="17"/>
            <c:invertIfNegative val="0"/>
            <c:bubble3D val="0"/>
            <c:extLst>
              <c:ext xmlns:c16="http://schemas.microsoft.com/office/drawing/2014/chart" uri="{C3380CC4-5D6E-409C-BE32-E72D297353CC}">
                <c16:uniqueId val="{0000017C-4391-4161-9A3A-61B157F79F18}"/>
              </c:ext>
            </c:extLst>
          </c:dPt>
          <c:dPt>
            <c:idx val="18"/>
            <c:invertIfNegative val="0"/>
            <c:bubble3D val="0"/>
            <c:extLst>
              <c:ext xmlns:c16="http://schemas.microsoft.com/office/drawing/2014/chart" uri="{C3380CC4-5D6E-409C-BE32-E72D297353CC}">
                <c16:uniqueId val="{0000017D-4391-4161-9A3A-61B157F79F18}"/>
              </c:ext>
            </c:extLst>
          </c:dPt>
          <c:dPt>
            <c:idx val="19"/>
            <c:invertIfNegative val="0"/>
            <c:bubble3D val="0"/>
            <c:extLst>
              <c:ext xmlns:c16="http://schemas.microsoft.com/office/drawing/2014/chart" uri="{C3380CC4-5D6E-409C-BE32-E72D297353CC}">
                <c16:uniqueId val="{0000017E-4391-4161-9A3A-61B157F79F18}"/>
              </c:ext>
            </c:extLst>
          </c:dPt>
          <c:dPt>
            <c:idx val="20"/>
            <c:invertIfNegative val="0"/>
            <c:bubble3D val="0"/>
            <c:extLst>
              <c:ext xmlns:c16="http://schemas.microsoft.com/office/drawing/2014/chart" uri="{C3380CC4-5D6E-409C-BE32-E72D297353CC}">
                <c16:uniqueId val="{0000017F-4391-4161-9A3A-61B157F79F18}"/>
              </c:ext>
            </c:extLst>
          </c:dPt>
          <c:dPt>
            <c:idx val="21"/>
            <c:invertIfNegative val="0"/>
            <c:bubble3D val="0"/>
            <c:extLst>
              <c:ext xmlns:c16="http://schemas.microsoft.com/office/drawing/2014/chart" uri="{C3380CC4-5D6E-409C-BE32-E72D297353CC}">
                <c16:uniqueId val="{00000180-4391-4161-9A3A-61B157F79F18}"/>
              </c:ext>
            </c:extLst>
          </c:dPt>
          <c:dPt>
            <c:idx val="22"/>
            <c:invertIfNegative val="0"/>
            <c:bubble3D val="0"/>
            <c:extLst>
              <c:ext xmlns:c16="http://schemas.microsoft.com/office/drawing/2014/chart" uri="{C3380CC4-5D6E-409C-BE32-E72D297353CC}">
                <c16:uniqueId val="{00000181-4391-4161-9A3A-61B157F79F18}"/>
              </c:ext>
            </c:extLst>
          </c:dPt>
          <c:dPt>
            <c:idx val="23"/>
            <c:invertIfNegative val="0"/>
            <c:bubble3D val="0"/>
            <c:extLst>
              <c:ext xmlns:c16="http://schemas.microsoft.com/office/drawing/2014/chart" uri="{C3380CC4-5D6E-409C-BE32-E72D297353CC}">
                <c16:uniqueId val="{00000182-4391-4161-9A3A-61B157F79F18}"/>
              </c:ext>
            </c:extLst>
          </c:dPt>
          <c:dPt>
            <c:idx val="24"/>
            <c:invertIfNegative val="0"/>
            <c:bubble3D val="0"/>
            <c:extLst>
              <c:ext xmlns:c16="http://schemas.microsoft.com/office/drawing/2014/chart" uri="{C3380CC4-5D6E-409C-BE32-E72D297353CC}">
                <c16:uniqueId val="{00000183-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Data'!$B$4:$W$4</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-1528</c:v>
                </c:pt>
                <c:pt idx="15">
                  <c:v>-1528</c:v>
                </c:pt>
                <c:pt idx="16">
                  <c:v>-1528</c:v>
                </c:pt>
                <c:pt idx="17">
                  <c:v>-1528</c:v>
                </c:pt>
                <c:pt idx="18">
                  <c:v>-1528</c:v>
                </c:pt>
                <c:pt idx="19">
                  <c:v>-1528</c:v>
                </c:pt>
                <c:pt idx="20">
                  <c:v>-1528</c:v>
                </c:pt>
                <c:pt idx="21">
                  <c:v>-1528</c:v>
                </c:pt>
              </c:numCache>
            </c:numRef>
          </c:val>
          <c:extLst>
            <c:ext xmlns:c16="http://schemas.microsoft.com/office/drawing/2014/chart" uri="{C3380CC4-5D6E-409C-BE32-E72D297353CC}">
              <c16:uniqueId val="{00000184-4391-4161-9A3A-61B157F79F18}"/>
            </c:ext>
          </c:extLst>
        </c:ser>
        <c:ser>
          <c:idx val="2"/>
          <c:order val="2"/>
          <c:tx>
            <c:strRef>
              <c:f>'NewAndRetiredCapacity Data'!$A$5</c:f>
              <c:strCache>
                <c:ptCount val="1"/>
                <c:pt idx="0">
                  <c:v>Hydro</c:v>
                </c:pt>
              </c:strCache>
            </c:strRef>
          </c:tx>
          <c:spPr>
            <a:solidFill>
              <a:srgbClr val="268BAA"/>
            </a:solidFill>
            <a:ln>
              <a:noFill/>
            </a:ln>
            <a:effectLst/>
          </c:spPr>
          <c:invertIfNegative val="0"/>
          <c:dPt>
            <c:idx val="0"/>
            <c:invertIfNegative val="0"/>
            <c:bubble3D val="0"/>
            <c:extLst>
              <c:ext xmlns:c16="http://schemas.microsoft.com/office/drawing/2014/chart" uri="{C3380CC4-5D6E-409C-BE32-E72D297353CC}">
                <c16:uniqueId val="{00000186-4391-4161-9A3A-61B157F79F18}"/>
              </c:ext>
            </c:extLst>
          </c:dPt>
          <c:dPt>
            <c:idx val="1"/>
            <c:invertIfNegative val="0"/>
            <c:bubble3D val="0"/>
            <c:extLst>
              <c:ext xmlns:c16="http://schemas.microsoft.com/office/drawing/2014/chart" uri="{C3380CC4-5D6E-409C-BE32-E72D297353CC}">
                <c16:uniqueId val="{00000187-4391-4161-9A3A-61B157F79F18}"/>
              </c:ext>
            </c:extLst>
          </c:dPt>
          <c:dPt>
            <c:idx val="2"/>
            <c:invertIfNegative val="0"/>
            <c:bubble3D val="0"/>
            <c:extLst>
              <c:ext xmlns:c16="http://schemas.microsoft.com/office/drawing/2014/chart" uri="{C3380CC4-5D6E-409C-BE32-E72D297353CC}">
                <c16:uniqueId val="{00000188-4391-4161-9A3A-61B157F79F18}"/>
              </c:ext>
            </c:extLst>
          </c:dPt>
          <c:dPt>
            <c:idx val="3"/>
            <c:invertIfNegative val="0"/>
            <c:bubble3D val="0"/>
            <c:extLst>
              <c:ext xmlns:c16="http://schemas.microsoft.com/office/drawing/2014/chart" uri="{C3380CC4-5D6E-409C-BE32-E72D297353CC}">
                <c16:uniqueId val="{00000189-4391-4161-9A3A-61B157F79F18}"/>
              </c:ext>
            </c:extLst>
          </c:dPt>
          <c:dPt>
            <c:idx val="4"/>
            <c:invertIfNegative val="0"/>
            <c:bubble3D val="0"/>
            <c:extLst>
              <c:ext xmlns:c16="http://schemas.microsoft.com/office/drawing/2014/chart" uri="{C3380CC4-5D6E-409C-BE32-E72D297353CC}">
                <c16:uniqueId val="{0000018A-4391-4161-9A3A-61B157F79F18}"/>
              </c:ext>
            </c:extLst>
          </c:dPt>
          <c:dPt>
            <c:idx val="5"/>
            <c:invertIfNegative val="0"/>
            <c:bubble3D val="0"/>
            <c:extLst>
              <c:ext xmlns:c16="http://schemas.microsoft.com/office/drawing/2014/chart" uri="{C3380CC4-5D6E-409C-BE32-E72D297353CC}">
                <c16:uniqueId val="{0000018B-4391-4161-9A3A-61B157F79F18}"/>
              </c:ext>
            </c:extLst>
          </c:dPt>
          <c:dPt>
            <c:idx val="6"/>
            <c:invertIfNegative val="0"/>
            <c:bubble3D val="0"/>
            <c:extLst>
              <c:ext xmlns:c16="http://schemas.microsoft.com/office/drawing/2014/chart" uri="{C3380CC4-5D6E-409C-BE32-E72D297353CC}">
                <c16:uniqueId val="{0000018C-4391-4161-9A3A-61B157F79F18}"/>
              </c:ext>
            </c:extLst>
          </c:dPt>
          <c:dPt>
            <c:idx val="7"/>
            <c:invertIfNegative val="0"/>
            <c:bubble3D val="0"/>
            <c:extLst>
              <c:ext xmlns:c16="http://schemas.microsoft.com/office/drawing/2014/chart" uri="{C3380CC4-5D6E-409C-BE32-E72D297353CC}">
                <c16:uniqueId val="{0000018D-4391-4161-9A3A-61B157F79F18}"/>
              </c:ext>
            </c:extLst>
          </c:dPt>
          <c:dPt>
            <c:idx val="8"/>
            <c:invertIfNegative val="0"/>
            <c:bubble3D val="0"/>
            <c:extLst>
              <c:ext xmlns:c16="http://schemas.microsoft.com/office/drawing/2014/chart" uri="{C3380CC4-5D6E-409C-BE32-E72D297353CC}">
                <c16:uniqueId val="{0000018E-4391-4161-9A3A-61B157F79F18}"/>
              </c:ext>
            </c:extLst>
          </c:dPt>
          <c:dPt>
            <c:idx val="9"/>
            <c:invertIfNegative val="0"/>
            <c:bubble3D val="0"/>
            <c:extLst>
              <c:ext xmlns:c16="http://schemas.microsoft.com/office/drawing/2014/chart" uri="{C3380CC4-5D6E-409C-BE32-E72D297353CC}">
                <c16:uniqueId val="{0000018F-4391-4161-9A3A-61B157F79F18}"/>
              </c:ext>
            </c:extLst>
          </c:dPt>
          <c:dPt>
            <c:idx val="10"/>
            <c:invertIfNegative val="0"/>
            <c:bubble3D val="0"/>
            <c:extLst>
              <c:ext xmlns:c16="http://schemas.microsoft.com/office/drawing/2014/chart" uri="{C3380CC4-5D6E-409C-BE32-E72D297353CC}">
                <c16:uniqueId val="{00000190-4391-4161-9A3A-61B157F79F18}"/>
              </c:ext>
            </c:extLst>
          </c:dPt>
          <c:dPt>
            <c:idx val="11"/>
            <c:invertIfNegative val="0"/>
            <c:bubble3D val="0"/>
            <c:extLst>
              <c:ext xmlns:c16="http://schemas.microsoft.com/office/drawing/2014/chart" uri="{C3380CC4-5D6E-409C-BE32-E72D297353CC}">
                <c16:uniqueId val="{00000191-4391-4161-9A3A-61B157F79F18}"/>
              </c:ext>
            </c:extLst>
          </c:dPt>
          <c:dPt>
            <c:idx val="12"/>
            <c:invertIfNegative val="0"/>
            <c:bubble3D val="0"/>
            <c:extLst>
              <c:ext xmlns:c16="http://schemas.microsoft.com/office/drawing/2014/chart" uri="{C3380CC4-5D6E-409C-BE32-E72D297353CC}">
                <c16:uniqueId val="{00000192-4391-4161-9A3A-61B157F79F18}"/>
              </c:ext>
            </c:extLst>
          </c:dPt>
          <c:dPt>
            <c:idx val="13"/>
            <c:invertIfNegative val="0"/>
            <c:bubble3D val="0"/>
            <c:extLst>
              <c:ext xmlns:c16="http://schemas.microsoft.com/office/drawing/2014/chart" uri="{C3380CC4-5D6E-409C-BE32-E72D297353CC}">
                <c16:uniqueId val="{00000193-4391-4161-9A3A-61B157F79F18}"/>
              </c:ext>
            </c:extLst>
          </c:dPt>
          <c:dPt>
            <c:idx val="14"/>
            <c:invertIfNegative val="0"/>
            <c:bubble3D val="0"/>
            <c:extLst>
              <c:ext xmlns:c16="http://schemas.microsoft.com/office/drawing/2014/chart" uri="{C3380CC4-5D6E-409C-BE32-E72D297353CC}">
                <c16:uniqueId val="{00000194-4391-4161-9A3A-61B157F79F18}"/>
              </c:ext>
            </c:extLst>
          </c:dPt>
          <c:dPt>
            <c:idx val="15"/>
            <c:invertIfNegative val="0"/>
            <c:bubble3D val="0"/>
            <c:extLst>
              <c:ext xmlns:c16="http://schemas.microsoft.com/office/drawing/2014/chart" uri="{C3380CC4-5D6E-409C-BE32-E72D297353CC}">
                <c16:uniqueId val="{00000195-4391-4161-9A3A-61B157F79F18}"/>
              </c:ext>
            </c:extLst>
          </c:dPt>
          <c:dPt>
            <c:idx val="16"/>
            <c:invertIfNegative val="0"/>
            <c:bubble3D val="0"/>
            <c:extLst>
              <c:ext xmlns:c16="http://schemas.microsoft.com/office/drawing/2014/chart" uri="{C3380CC4-5D6E-409C-BE32-E72D297353CC}">
                <c16:uniqueId val="{00000196-4391-4161-9A3A-61B157F79F18}"/>
              </c:ext>
            </c:extLst>
          </c:dPt>
          <c:dPt>
            <c:idx val="17"/>
            <c:invertIfNegative val="0"/>
            <c:bubble3D val="0"/>
            <c:extLst>
              <c:ext xmlns:c16="http://schemas.microsoft.com/office/drawing/2014/chart" uri="{C3380CC4-5D6E-409C-BE32-E72D297353CC}">
                <c16:uniqueId val="{00000197-4391-4161-9A3A-61B157F79F18}"/>
              </c:ext>
            </c:extLst>
          </c:dPt>
          <c:dPt>
            <c:idx val="18"/>
            <c:invertIfNegative val="0"/>
            <c:bubble3D val="0"/>
            <c:extLst>
              <c:ext xmlns:c16="http://schemas.microsoft.com/office/drawing/2014/chart" uri="{C3380CC4-5D6E-409C-BE32-E72D297353CC}">
                <c16:uniqueId val="{00000198-4391-4161-9A3A-61B157F79F18}"/>
              </c:ext>
            </c:extLst>
          </c:dPt>
          <c:dPt>
            <c:idx val="19"/>
            <c:invertIfNegative val="0"/>
            <c:bubble3D val="0"/>
            <c:extLst>
              <c:ext xmlns:c16="http://schemas.microsoft.com/office/drawing/2014/chart" uri="{C3380CC4-5D6E-409C-BE32-E72D297353CC}">
                <c16:uniqueId val="{00000199-4391-4161-9A3A-61B157F79F18}"/>
              </c:ext>
            </c:extLst>
          </c:dPt>
          <c:dPt>
            <c:idx val="20"/>
            <c:invertIfNegative val="0"/>
            <c:bubble3D val="0"/>
            <c:extLst>
              <c:ext xmlns:c16="http://schemas.microsoft.com/office/drawing/2014/chart" uri="{C3380CC4-5D6E-409C-BE32-E72D297353CC}">
                <c16:uniqueId val="{0000019A-4391-4161-9A3A-61B157F79F18}"/>
              </c:ext>
            </c:extLst>
          </c:dPt>
          <c:dPt>
            <c:idx val="21"/>
            <c:invertIfNegative val="0"/>
            <c:bubble3D val="0"/>
            <c:extLst>
              <c:ext xmlns:c16="http://schemas.microsoft.com/office/drawing/2014/chart" uri="{C3380CC4-5D6E-409C-BE32-E72D297353CC}">
                <c16:uniqueId val="{0000019B-4391-4161-9A3A-61B157F79F18}"/>
              </c:ext>
            </c:extLst>
          </c:dPt>
          <c:dPt>
            <c:idx val="22"/>
            <c:invertIfNegative val="0"/>
            <c:bubble3D val="0"/>
            <c:extLst>
              <c:ext xmlns:c16="http://schemas.microsoft.com/office/drawing/2014/chart" uri="{C3380CC4-5D6E-409C-BE32-E72D297353CC}">
                <c16:uniqueId val="{0000019C-4391-4161-9A3A-61B157F79F18}"/>
              </c:ext>
            </c:extLst>
          </c:dPt>
          <c:dPt>
            <c:idx val="23"/>
            <c:invertIfNegative val="0"/>
            <c:bubble3D val="0"/>
            <c:extLst>
              <c:ext xmlns:c16="http://schemas.microsoft.com/office/drawing/2014/chart" uri="{C3380CC4-5D6E-409C-BE32-E72D297353CC}">
                <c16:uniqueId val="{0000019D-4391-4161-9A3A-61B157F79F18}"/>
              </c:ext>
            </c:extLst>
          </c:dPt>
          <c:dPt>
            <c:idx val="24"/>
            <c:invertIfNegative val="0"/>
            <c:bubble3D val="0"/>
            <c:extLst>
              <c:ext xmlns:c16="http://schemas.microsoft.com/office/drawing/2014/chart" uri="{C3380CC4-5D6E-409C-BE32-E72D297353CC}">
                <c16:uniqueId val="{0000019E-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Data'!$B$5:$W$5</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19F-4391-4161-9A3A-61B157F79F18}"/>
            </c:ext>
          </c:extLst>
        </c:ser>
        <c:ser>
          <c:idx val="3"/>
          <c:order val="3"/>
          <c:tx>
            <c:strRef>
              <c:f>'NewAndRetiredCapacity Data'!$A$6</c:f>
              <c:strCache>
                <c:ptCount val="1"/>
                <c:pt idx="0">
                  <c:v>CCGT</c:v>
                </c:pt>
              </c:strCache>
            </c:strRef>
          </c:tx>
          <c:spPr>
            <a:solidFill>
              <a:srgbClr val="A6A6A6"/>
            </a:solidFill>
            <a:ln>
              <a:noFill/>
            </a:ln>
            <a:effectLst/>
          </c:spPr>
          <c:invertIfNegative val="0"/>
          <c:dPt>
            <c:idx val="0"/>
            <c:invertIfNegative val="0"/>
            <c:bubble3D val="0"/>
            <c:extLst>
              <c:ext xmlns:c16="http://schemas.microsoft.com/office/drawing/2014/chart" uri="{C3380CC4-5D6E-409C-BE32-E72D297353CC}">
                <c16:uniqueId val="{000001A1-4391-4161-9A3A-61B157F79F18}"/>
              </c:ext>
            </c:extLst>
          </c:dPt>
          <c:dPt>
            <c:idx val="1"/>
            <c:invertIfNegative val="0"/>
            <c:bubble3D val="0"/>
            <c:extLst>
              <c:ext xmlns:c16="http://schemas.microsoft.com/office/drawing/2014/chart" uri="{C3380CC4-5D6E-409C-BE32-E72D297353CC}">
                <c16:uniqueId val="{000001A2-4391-4161-9A3A-61B157F79F18}"/>
              </c:ext>
            </c:extLst>
          </c:dPt>
          <c:dPt>
            <c:idx val="2"/>
            <c:invertIfNegative val="0"/>
            <c:bubble3D val="0"/>
            <c:extLst>
              <c:ext xmlns:c16="http://schemas.microsoft.com/office/drawing/2014/chart" uri="{C3380CC4-5D6E-409C-BE32-E72D297353CC}">
                <c16:uniqueId val="{000001A3-4391-4161-9A3A-61B157F79F18}"/>
              </c:ext>
            </c:extLst>
          </c:dPt>
          <c:dPt>
            <c:idx val="3"/>
            <c:invertIfNegative val="0"/>
            <c:bubble3D val="0"/>
            <c:extLst>
              <c:ext xmlns:c16="http://schemas.microsoft.com/office/drawing/2014/chart" uri="{C3380CC4-5D6E-409C-BE32-E72D297353CC}">
                <c16:uniqueId val="{000001A4-4391-4161-9A3A-61B157F79F18}"/>
              </c:ext>
            </c:extLst>
          </c:dPt>
          <c:dPt>
            <c:idx val="4"/>
            <c:invertIfNegative val="0"/>
            <c:bubble3D val="0"/>
            <c:extLst>
              <c:ext xmlns:c16="http://schemas.microsoft.com/office/drawing/2014/chart" uri="{C3380CC4-5D6E-409C-BE32-E72D297353CC}">
                <c16:uniqueId val="{000001A5-4391-4161-9A3A-61B157F79F18}"/>
              </c:ext>
            </c:extLst>
          </c:dPt>
          <c:dPt>
            <c:idx val="5"/>
            <c:invertIfNegative val="0"/>
            <c:bubble3D val="0"/>
            <c:extLst>
              <c:ext xmlns:c16="http://schemas.microsoft.com/office/drawing/2014/chart" uri="{C3380CC4-5D6E-409C-BE32-E72D297353CC}">
                <c16:uniqueId val="{000001A6-4391-4161-9A3A-61B157F79F18}"/>
              </c:ext>
            </c:extLst>
          </c:dPt>
          <c:dPt>
            <c:idx val="6"/>
            <c:invertIfNegative val="0"/>
            <c:bubble3D val="0"/>
            <c:extLst>
              <c:ext xmlns:c16="http://schemas.microsoft.com/office/drawing/2014/chart" uri="{C3380CC4-5D6E-409C-BE32-E72D297353CC}">
                <c16:uniqueId val="{000001A7-4391-4161-9A3A-61B157F79F18}"/>
              </c:ext>
            </c:extLst>
          </c:dPt>
          <c:dPt>
            <c:idx val="7"/>
            <c:invertIfNegative val="0"/>
            <c:bubble3D val="0"/>
            <c:extLst>
              <c:ext xmlns:c16="http://schemas.microsoft.com/office/drawing/2014/chart" uri="{C3380CC4-5D6E-409C-BE32-E72D297353CC}">
                <c16:uniqueId val="{000001A8-4391-4161-9A3A-61B157F79F18}"/>
              </c:ext>
            </c:extLst>
          </c:dPt>
          <c:dPt>
            <c:idx val="8"/>
            <c:invertIfNegative val="0"/>
            <c:bubble3D val="0"/>
            <c:extLst>
              <c:ext xmlns:c16="http://schemas.microsoft.com/office/drawing/2014/chart" uri="{C3380CC4-5D6E-409C-BE32-E72D297353CC}">
                <c16:uniqueId val="{000001A9-4391-4161-9A3A-61B157F79F18}"/>
              </c:ext>
            </c:extLst>
          </c:dPt>
          <c:dPt>
            <c:idx val="9"/>
            <c:invertIfNegative val="0"/>
            <c:bubble3D val="0"/>
            <c:extLst>
              <c:ext xmlns:c16="http://schemas.microsoft.com/office/drawing/2014/chart" uri="{C3380CC4-5D6E-409C-BE32-E72D297353CC}">
                <c16:uniqueId val="{000001AA-4391-4161-9A3A-61B157F79F18}"/>
              </c:ext>
            </c:extLst>
          </c:dPt>
          <c:dPt>
            <c:idx val="10"/>
            <c:invertIfNegative val="0"/>
            <c:bubble3D val="0"/>
            <c:extLst>
              <c:ext xmlns:c16="http://schemas.microsoft.com/office/drawing/2014/chart" uri="{C3380CC4-5D6E-409C-BE32-E72D297353CC}">
                <c16:uniqueId val="{000001AB-4391-4161-9A3A-61B157F79F18}"/>
              </c:ext>
            </c:extLst>
          </c:dPt>
          <c:dPt>
            <c:idx val="11"/>
            <c:invertIfNegative val="0"/>
            <c:bubble3D val="0"/>
            <c:extLst>
              <c:ext xmlns:c16="http://schemas.microsoft.com/office/drawing/2014/chart" uri="{C3380CC4-5D6E-409C-BE32-E72D297353CC}">
                <c16:uniqueId val="{000001AC-4391-4161-9A3A-61B157F79F18}"/>
              </c:ext>
            </c:extLst>
          </c:dPt>
          <c:dPt>
            <c:idx val="12"/>
            <c:invertIfNegative val="0"/>
            <c:bubble3D val="0"/>
            <c:extLst>
              <c:ext xmlns:c16="http://schemas.microsoft.com/office/drawing/2014/chart" uri="{C3380CC4-5D6E-409C-BE32-E72D297353CC}">
                <c16:uniqueId val="{000001AD-4391-4161-9A3A-61B157F79F18}"/>
              </c:ext>
            </c:extLst>
          </c:dPt>
          <c:dPt>
            <c:idx val="13"/>
            <c:invertIfNegative val="0"/>
            <c:bubble3D val="0"/>
            <c:extLst>
              <c:ext xmlns:c16="http://schemas.microsoft.com/office/drawing/2014/chart" uri="{C3380CC4-5D6E-409C-BE32-E72D297353CC}">
                <c16:uniqueId val="{000001AE-4391-4161-9A3A-61B157F79F18}"/>
              </c:ext>
            </c:extLst>
          </c:dPt>
          <c:dPt>
            <c:idx val="14"/>
            <c:invertIfNegative val="0"/>
            <c:bubble3D val="0"/>
            <c:extLst>
              <c:ext xmlns:c16="http://schemas.microsoft.com/office/drawing/2014/chart" uri="{C3380CC4-5D6E-409C-BE32-E72D297353CC}">
                <c16:uniqueId val="{000001AF-4391-4161-9A3A-61B157F79F18}"/>
              </c:ext>
            </c:extLst>
          </c:dPt>
          <c:dPt>
            <c:idx val="15"/>
            <c:invertIfNegative val="0"/>
            <c:bubble3D val="0"/>
            <c:extLst>
              <c:ext xmlns:c16="http://schemas.microsoft.com/office/drawing/2014/chart" uri="{C3380CC4-5D6E-409C-BE32-E72D297353CC}">
                <c16:uniqueId val="{000001B0-4391-4161-9A3A-61B157F79F18}"/>
              </c:ext>
            </c:extLst>
          </c:dPt>
          <c:dPt>
            <c:idx val="16"/>
            <c:invertIfNegative val="0"/>
            <c:bubble3D val="0"/>
            <c:extLst>
              <c:ext xmlns:c16="http://schemas.microsoft.com/office/drawing/2014/chart" uri="{C3380CC4-5D6E-409C-BE32-E72D297353CC}">
                <c16:uniqueId val="{000001B1-4391-4161-9A3A-61B157F79F18}"/>
              </c:ext>
            </c:extLst>
          </c:dPt>
          <c:dPt>
            <c:idx val="17"/>
            <c:invertIfNegative val="0"/>
            <c:bubble3D val="0"/>
            <c:extLst>
              <c:ext xmlns:c16="http://schemas.microsoft.com/office/drawing/2014/chart" uri="{C3380CC4-5D6E-409C-BE32-E72D297353CC}">
                <c16:uniqueId val="{000001B2-4391-4161-9A3A-61B157F79F18}"/>
              </c:ext>
            </c:extLst>
          </c:dPt>
          <c:dPt>
            <c:idx val="18"/>
            <c:invertIfNegative val="0"/>
            <c:bubble3D val="0"/>
            <c:extLst>
              <c:ext xmlns:c16="http://schemas.microsoft.com/office/drawing/2014/chart" uri="{C3380CC4-5D6E-409C-BE32-E72D297353CC}">
                <c16:uniqueId val="{000001B3-4391-4161-9A3A-61B157F79F18}"/>
              </c:ext>
            </c:extLst>
          </c:dPt>
          <c:dPt>
            <c:idx val="19"/>
            <c:invertIfNegative val="0"/>
            <c:bubble3D val="0"/>
            <c:extLst>
              <c:ext xmlns:c16="http://schemas.microsoft.com/office/drawing/2014/chart" uri="{C3380CC4-5D6E-409C-BE32-E72D297353CC}">
                <c16:uniqueId val="{000001B4-4391-4161-9A3A-61B157F79F18}"/>
              </c:ext>
            </c:extLst>
          </c:dPt>
          <c:dPt>
            <c:idx val="20"/>
            <c:invertIfNegative val="0"/>
            <c:bubble3D val="0"/>
            <c:extLst>
              <c:ext xmlns:c16="http://schemas.microsoft.com/office/drawing/2014/chart" uri="{C3380CC4-5D6E-409C-BE32-E72D297353CC}">
                <c16:uniqueId val="{000001B5-4391-4161-9A3A-61B157F79F18}"/>
              </c:ext>
            </c:extLst>
          </c:dPt>
          <c:dPt>
            <c:idx val="21"/>
            <c:invertIfNegative val="0"/>
            <c:bubble3D val="0"/>
            <c:extLst>
              <c:ext xmlns:c16="http://schemas.microsoft.com/office/drawing/2014/chart" uri="{C3380CC4-5D6E-409C-BE32-E72D297353CC}">
                <c16:uniqueId val="{000001B6-4391-4161-9A3A-61B157F79F18}"/>
              </c:ext>
            </c:extLst>
          </c:dPt>
          <c:dPt>
            <c:idx val="22"/>
            <c:invertIfNegative val="0"/>
            <c:bubble3D val="0"/>
            <c:extLst>
              <c:ext xmlns:c16="http://schemas.microsoft.com/office/drawing/2014/chart" uri="{C3380CC4-5D6E-409C-BE32-E72D297353CC}">
                <c16:uniqueId val="{000001B7-4391-4161-9A3A-61B157F79F18}"/>
              </c:ext>
            </c:extLst>
          </c:dPt>
          <c:dPt>
            <c:idx val="23"/>
            <c:invertIfNegative val="0"/>
            <c:bubble3D val="0"/>
            <c:extLst>
              <c:ext xmlns:c16="http://schemas.microsoft.com/office/drawing/2014/chart" uri="{C3380CC4-5D6E-409C-BE32-E72D297353CC}">
                <c16:uniqueId val="{000001B8-4391-4161-9A3A-61B157F79F18}"/>
              </c:ext>
            </c:extLst>
          </c:dPt>
          <c:dPt>
            <c:idx val="24"/>
            <c:invertIfNegative val="0"/>
            <c:bubble3D val="0"/>
            <c:extLst>
              <c:ext xmlns:c16="http://schemas.microsoft.com/office/drawing/2014/chart" uri="{C3380CC4-5D6E-409C-BE32-E72D297353CC}">
                <c16:uniqueId val="{000001B9-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Data'!$B$6:$W$6</c:f>
              <c:numCache>
                <c:formatCode>#,##0_ ;\-#,##0\ </c:formatCode>
                <c:ptCount val="22"/>
                <c:pt idx="0">
                  <c:v>0</c:v>
                </c:pt>
                <c:pt idx="1">
                  <c:v>0</c:v>
                </c:pt>
                <c:pt idx="2">
                  <c:v>0</c:v>
                </c:pt>
                <c:pt idx="3">
                  <c:v>0</c:v>
                </c:pt>
                <c:pt idx="4">
                  <c:v>0</c:v>
                </c:pt>
                <c:pt idx="5">
                  <c:v>0</c:v>
                </c:pt>
                <c:pt idx="6">
                  <c:v>-1462</c:v>
                </c:pt>
                <c:pt idx="7">
                  <c:v>-1462</c:v>
                </c:pt>
                <c:pt idx="8">
                  <c:v>-1462</c:v>
                </c:pt>
                <c:pt idx="9">
                  <c:v>-1462</c:v>
                </c:pt>
                <c:pt idx="10">
                  <c:v>-1462</c:v>
                </c:pt>
                <c:pt idx="11">
                  <c:v>-1462</c:v>
                </c:pt>
                <c:pt idx="12">
                  <c:v>-1462</c:v>
                </c:pt>
                <c:pt idx="13">
                  <c:v>-1972</c:v>
                </c:pt>
                <c:pt idx="14">
                  <c:v>-1972</c:v>
                </c:pt>
                <c:pt idx="15">
                  <c:v>-1972</c:v>
                </c:pt>
                <c:pt idx="16">
                  <c:v>-1972</c:v>
                </c:pt>
                <c:pt idx="17">
                  <c:v>-1972</c:v>
                </c:pt>
                <c:pt idx="18">
                  <c:v>-1972</c:v>
                </c:pt>
                <c:pt idx="19">
                  <c:v>-1972</c:v>
                </c:pt>
                <c:pt idx="20">
                  <c:v>-1972</c:v>
                </c:pt>
                <c:pt idx="21">
                  <c:v>-1972</c:v>
                </c:pt>
              </c:numCache>
            </c:numRef>
          </c:val>
          <c:extLst>
            <c:ext xmlns:c16="http://schemas.microsoft.com/office/drawing/2014/chart" uri="{C3380CC4-5D6E-409C-BE32-E72D297353CC}">
              <c16:uniqueId val="{000001BA-4391-4161-9A3A-61B157F79F18}"/>
            </c:ext>
          </c:extLst>
        </c:ser>
        <c:ser>
          <c:idx val="4"/>
          <c:order val="4"/>
          <c:tx>
            <c:strRef>
              <c:f>'NewAndRetiredCapacity Data'!$A$7</c:f>
              <c:strCache>
                <c:ptCount val="1"/>
                <c:pt idx="0">
                  <c:v>Peaking gas + liquids</c:v>
                </c:pt>
              </c:strCache>
            </c:strRef>
          </c:tx>
          <c:spPr>
            <a:solidFill>
              <a:srgbClr val="C41230"/>
            </a:solidFill>
            <a:ln>
              <a:noFill/>
            </a:ln>
            <a:effectLst/>
          </c:spPr>
          <c:invertIfNegative val="0"/>
          <c:dPt>
            <c:idx val="0"/>
            <c:invertIfNegative val="0"/>
            <c:bubble3D val="0"/>
            <c:extLst>
              <c:ext xmlns:c16="http://schemas.microsoft.com/office/drawing/2014/chart" uri="{C3380CC4-5D6E-409C-BE32-E72D297353CC}">
                <c16:uniqueId val="{000001BC-4391-4161-9A3A-61B157F79F18}"/>
              </c:ext>
            </c:extLst>
          </c:dPt>
          <c:dPt>
            <c:idx val="1"/>
            <c:invertIfNegative val="0"/>
            <c:bubble3D val="0"/>
            <c:extLst>
              <c:ext xmlns:c16="http://schemas.microsoft.com/office/drawing/2014/chart" uri="{C3380CC4-5D6E-409C-BE32-E72D297353CC}">
                <c16:uniqueId val="{000001BD-4391-4161-9A3A-61B157F79F18}"/>
              </c:ext>
            </c:extLst>
          </c:dPt>
          <c:dPt>
            <c:idx val="2"/>
            <c:invertIfNegative val="0"/>
            <c:bubble3D val="0"/>
            <c:extLst>
              <c:ext xmlns:c16="http://schemas.microsoft.com/office/drawing/2014/chart" uri="{C3380CC4-5D6E-409C-BE32-E72D297353CC}">
                <c16:uniqueId val="{000001BE-4391-4161-9A3A-61B157F79F18}"/>
              </c:ext>
            </c:extLst>
          </c:dPt>
          <c:dPt>
            <c:idx val="3"/>
            <c:invertIfNegative val="0"/>
            <c:bubble3D val="0"/>
            <c:extLst>
              <c:ext xmlns:c16="http://schemas.microsoft.com/office/drawing/2014/chart" uri="{C3380CC4-5D6E-409C-BE32-E72D297353CC}">
                <c16:uniqueId val="{000001BF-4391-4161-9A3A-61B157F79F18}"/>
              </c:ext>
            </c:extLst>
          </c:dPt>
          <c:dPt>
            <c:idx val="4"/>
            <c:invertIfNegative val="0"/>
            <c:bubble3D val="0"/>
            <c:extLst>
              <c:ext xmlns:c16="http://schemas.microsoft.com/office/drawing/2014/chart" uri="{C3380CC4-5D6E-409C-BE32-E72D297353CC}">
                <c16:uniqueId val="{000001C0-4391-4161-9A3A-61B157F79F18}"/>
              </c:ext>
            </c:extLst>
          </c:dPt>
          <c:dPt>
            <c:idx val="5"/>
            <c:invertIfNegative val="0"/>
            <c:bubble3D val="0"/>
            <c:extLst>
              <c:ext xmlns:c16="http://schemas.microsoft.com/office/drawing/2014/chart" uri="{C3380CC4-5D6E-409C-BE32-E72D297353CC}">
                <c16:uniqueId val="{000001C1-4391-4161-9A3A-61B157F79F18}"/>
              </c:ext>
            </c:extLst>
          </c:dPt>
          <c:dPt>
            <c:idx val="6"/>
            <c:invertIfNegative val="0"/>
            <c:bubble3D val="0"/>
            <c:extLst>
              <c:ext xmlns:c16="http://schemas.microsoft.com/office/drawing/2014/chart" uri="{C3380CC4-5D6E-409C-BE32-E72D297353CC}">
                <c16:uniqueId val="{000001C2-4391-4161-9A3A-61B157F79F18}"/>
              </c:ext>
            </c:extLst>
          </c:dPt>
          <c:dPt>
            <c:idx val="7"/>
            <c:invertIfNegative val="0"/>
            <c:bubble3D val="0"/>
            <c:extLst>
              <c:ext xmlns:c16="http://schemas.microsoft.com/office/drawing/2014/chart" uri="{C3380CC4-5D6E-409C-BE32-E72D297353CC}">
                <c16:uniqueId val="{000001C3-4391-4161-9A3A-61B157F79F18}"/>
              </c:ext>
            </c:extLst>
          </c:dPt>
          <c:dPt>
            <c:idx val="8"/>
            <c:invertIfNegative val="0"/>
            <c:bubble3D val="0"/>
            <c:extLst>
              <c:ext xmlns:c16="http://schemas.microsoft.com/office/drawing/2014/chart" uri="{C3380CC4-5D6E-409C-BE32-E72D297353CC}">
                <c16:uniqueId val="{000001C4-4391-4161-9A3A-61B157F79F18}"/>
              </c:ext>
            </c:extLst>
          </c:dPt>
          <c:dPt>
            <c:idx val="9"/>
            <c:invertIfNegative val="0"/>
            <c:bubble3D val="0"/>
            <c:extLst>
              <c:ext xmlns:c16="http://schemas.microsoft.com/office/drawing/2014/chart" uri="{C3380CC4-5D6E-409C-BE32-E72D297353CC}">
                <c16:uniqueId val="{000001C5-4391-4161-9A3A-61B157F79F18}"/>
              </c:ext>
            </c:extLst>
          </c:dPt>
          <c:dPt>
            <c:idx val="10"/>
            <c:invertIfNegative val="0"/>
            <c:bubble3D val="0"/>
            <c:extLst>
              <c:ext xmlns:c16="http://schemas.microsoft.com/office/drawing/2014/chart" uri="{C3380CC4-5D6E-409C-BE32-E72D297353CC}">
                <c16:uniqueId val="{000001C6-4391-4161-9A3A-61B157F79F18}"/>
              </c:ext>
            </c:extLst>
          </c:dPt>
          <c:dPt>
            <c:idx val="11"/>
            <c:invertIfNegative val="0"/>
            <c:bubble3D val="0"/>
            <c:extLst>
              <c:ext xmlns:c16="http://schemas.microsoft.com/office/drawing/2014/chart" uri="{C3380CC4-5D6E-409C-BE32-E72D297353CC}">
                <c16:uniqueId val="{000001C7-4391-4161-9A3A-61B157F79F18}"/>
              </c:ext>
            </c:extLst>
          </c:dPt>
          <c:dPt>
            <c:idx val="12"/>
            <c:invertIfNegative val="0"/>
            <c:bubble3D val="0"/>
            <c:extLst>
              <c:ext xmlns:c16="http://schemas.microsoft.com/office/drawing/2014/chart" uri="{C3380CC4-5D6E-409C-BE32-E72D297353CC}">
                <c16:uniqueId val="{000001C8-4391-4161-9A3A-61B157F79F18}"/>
              </c:ext>
            </c:extLst>
          </c:dPt>
          <c:dPt>
            <c:idx val="13"/>
            <c:invertIfNegative val="0"/>
            <c:bubble3D val="0"/>
            <c:extLst>
              <c:ext xmlns:c16="http://schemas.microsoft.com/office/drawing/2014/chart" uri="{C3380CC4-5D6E-409C-BE32-E72D297353CC}">
                <c16:uniqueId val="{000001C9-4391-4161-9A3A-61B157F79F18}"/>
              </c:ext>
            </c:extLst>
          </c:dPt>
          <c:dPt>
            <c:idx val="14"/>
            <c:invertIfNegative val="0"/>
            <c:bubble3D val="0"/>
            <c:extLst>
              <c:ext xmlns:c16="http://schemas.microsoft.com/office/drawing/2014/chart" uri="{C3380CC4-5D6E-409C-BE32-E72D297353CC}">
                <c16:uniqueId val="{000001CA-4391-4161-9A3A-61B157F79F18}"/>
              </c:ext>
            </c:extLst>
          </c:dPt>
          <c:dPt>
            <c:idx val="15"/>
            <c:invertIfNegative val="0"/>
            <c:bubble3D val="0"/>
            <c:extLst>
              <c:ext xmlns:c16="http://schemas.microsoft.com/office/drawing/2014/chart" uri="{C3380CC4-5D6E-409C-BE32-E72D297353CC}">
                <c16:uniqueId val="{000001CB-4391-4161-9A3A-61B157F79F18}"/>
              </c:ext>
            </c:extLst>
          </c:dPt>
          <c:dPt>
            <c:idx val="16"/>
            <c:invertIfNegative val="0"/>
            <c:bubble3D val="0"/>
            <c:extLst>
              <c:ext xmlns:c16="http://schemas.microsoft.com/office/drawing/2014/chart" uri="{C3380CC4-5D6E-409C-BE32-E72D297353CC}">
                <c16:uniqueId val="{000001CC-4391-4161-9A3A-61B157F79F18}"/>
              </c:ext>
            </c:extLst>
          </c:dPt>
          <c:dPt>
            <c:idx val="17"/>
            <c:invertIfNegative val="0"/>
            <c:bubble3D val="0"/>
            <c:extLst>
              <c:ext xmlns:c16="http://schemas.microsoft.com/office/drawing/2014/chart" uri="{C3380CC4-5D6E-409C-BE32-E72D297353CC}">
                <c16:uniqueId val="{000001CD-4391-4161-9A3A-61B157F79F18}"/>
              </c:ext>
            </c:extLst>
          </c:dPt>
          <c:dPt>
            <c:idx val="18"/>
            <c:invertIfNegative val="0"/>
            <c:bubble3D val="0"/>
            <c:extLst>
              <c:ext xmlns:c16="http://schemas.microsoft.com/office/drawing/2014/chart" uri="{C3380CC4-5D6E-409C-BE32-E72D297353CC}">
                <c16:uniqueId val="{000001CE-4391-4161-9A3A-61B157F79F18}"/>
              </c:ext>
            </c:extLst>
          </c:dPt>
          <c:dPt>
            <c:idx val="19"/>
            <c:invertIfNegative val="0"/>
            <c:bubble3D val="0"/>
            <c:extLst>
              <c:ext xmlns:c16="http://schemas.microsoft.com/office/drawing/2014/chart" uri="{C3380CC4-5D6E-409C-BE32-E72D297353CC}">
                <c16:uniqueId val="{000001CF-4391-4161-9A3A-61B157F79F18}"/>
              </c:ext>
            </c:extLst>
          </c:dPt>
          <c:dPt>
            <c:idx val="20"/>
            <c:invertIfNegative val="0"/>
            <c:bubble3D val="0"/>
            <c:extLst>
              <c:ext xmlns:c16="http://schemas.microsoft.com/office/drawing/2014/chart" uri="{C3380CC4-5D6E-409C-BE32-E72D297353CC}">
                <c16:uniqueId val="{000001D0-4391-4161-9A3A-61B157F79F18}"/>
              </c:ext>
            </c:extLst>
          </c:dPt>
          <c:dPt>
            <c:idx val="21"/>
            <c:invertIfNegative val="0"/>
            <c:bubble3D val="0"/>
            <c:extLst>
              <c:ext xmlns:c16="http://schemas.microsoft.com/office/drawing/2014/chart" uri="{C3380CC4-5D6E-409C-BE32-E72D297353CC}">
                <c16:uniqueId val="{000001D1-4391-4161-9A3A-61B157F79F18}"/>
              </c:ext>
            </c:extLst>
          </c:dPt>
          <c:dPt>
            <c:idx val="22"/>
            <c:invertIfNegative val="0"/>
            <c:bubble3D val="0"/>
            <c:extLst>
              <c:ext xmlns:c16="http://schemas.microsoft.com/office/drawing/2014/chart" uri="{C3380CC4-5D6E-409C-BE32-E72D297353CC}">
                <c16:uniqueId val="{000001D2-4391-4161-9A3A-61B157F79F18}"/>
              </c:ext>
            </c:extLst>
          </c:dPt>
          <c:dPt>
            <c:idx val="23"/>
            <c:invertIfNegative val="0"/>
            <c:bubble3D val="0"/>
            <c:extLst>
              <c:ext xmlns:c16="http://schemas.microsoft.com/office/drawing/2014/chart" uri="{C3380CC4-5D6E-409C-BE32-E72D297353CC}">
                <c16:uniqueId val="{000001D3-4391-4161-9A3A-61B157F79F18}"/>
              </c:ext>
            </c:extLst>
          </c:dPt>
          <c:dPt>
            <c:idx val="24"/>
            <c:invertIfNegative val="0"/>
            <c:bubble3D val="0"/>
            <c:extLst>
              <c:ext xmlns:c16="http://schemas.microsoft.com/office/drawing/2014/chart" uri="{C3380CC4-5D6E-409C-BE32-E72D297353CC}">
                <c16:uniqueId val="{000001D4-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Data'!$B$7:$W$7</c:f>
              <c:numCache>
                <c:formatCode>#,##0_ ;\-#,##0\ </c:formatCode>
                <c:ptCount val="22"/>
                <c:pt idx="0">
                  <c:v>0</c:v>
                </c:pt>
                <c:pt idx="1">
                  <c:v>-24</c:v>
                </c:pt>
                <c:pt idx="2">
                  <c:v>-24</c:v>
                </c:pt>
                <c:pt idx="3">
                  <c:v>-298</c:v>
                </c:pt>
                <c:pt idx="4">
                  <c:v>-298</c:v>
                </c:pt>
                <c:pt idx="5">
                  <c:v>-298</c:v>
                </c:pt>
                <c:pt idx="6">
                  <c:v>-298</c:v>
                </c:pt>
                <c:pt idx="7">
                  <c:v>-298</c:v>
                </c:pt>
                <c:pt idx="8">
                  <c:v>-298</c:v>
                </c:pt>
                <c:pt idx="9">
                  <c:v>-298</c:v>
                </c:pt>
                <c:pt idx="10">
                  <c:v>-298</c:v>
                </c:pt>
                <c:pt idx="11">
                  <c:v>-298</c:v>
                </c:pt>
                <c:pt idx="12">
                  <c:v>-298</c:v>
                </c:pt>
                <c:pt idx="13">
                  <c:v>-298</c:v>
                </c:pt>
                <c:pt idx="14">
                  <c:v>-298</c:v>
                </c:pt>
                <c:pt idx="15">
                  <c:v>-298</c:v>
                </c:pt>
                <c:pt idx="16">
                  <c:v>-298</c:v>
                </c:pt>
                <c:pt idx="17">
                  <c:v>-298</c:v>
                </c:pt>
                <c:pt idx="18">
                  <c:v>-298</c:v>
                </c:pt>
                <c:pt idx="19">
                  <c:v>-298</c:v>
                </c:pt>
                <c:pt idx="20">
                  <c:v>-298</c:v>
                </c:pt>
                <c:pt idx="21">
                  <c:v>-298</c:v>
                </c:pt>
              </c:numCache>
            </c:numRef>
          </c:val>
          <c:extLst>
            <c:ext xmlns:c16="http://schemas.microsoft.com/office/drawing/2014/chart" uri="{C3380CC4-5D6E-409C-BE32-E72D297353CC}">
              <c16:uniqueId val="{000001D5-4391-4161-9A3A-61B157F79F18}"/>
            </c:ext>
          </c:extLst>
        </c:ser>
        <c:ser>
          <c:idx val="8"/>
          <c:order val="5"/>
          <c:tx>
            <c:strRef>
              <c:f>'NewAndRetiredCapacity Data'!$A$8</c:f>
              <c:strCache>
                <c:ptCount val="1"/>
                <c:pt idx="0">
                  <c:v>Wind</c:v>
                </c:pt>
              </c:strCache>
            </c:strRef>
          </c:tx>
          <c:spPr>
            <a:solidFill>
              <a:srgbClr val="339933"/>
            </a:solidFill>
            <a:ln>
              <a:noFill/>
            </a:ln>
            <a:effectLst/>
          </c:spPr>
          <c:invertIfNegative val="0"/>
          <c:dPt>
            <c:idx val="0"/>
            <c:invertIfNegative val="0"/>
            <c:bubble3D val="0"/>
            <c:extLst>
              <c:ext xmlns:c16="http://schemas.microsoft.com/office/drawing/2014/chart" uri="{C3380CC4-5D6E-409C-BE32-E72D297353CC}">
                <c16:uniqueId val="{000001D7-4391-4161-9A3A-61B157F79F18}"/>
              </c:ext>
            </c:extLst>
          </c:dPt>
          <c:dPt>
            <c:idx val="1"/>
            <c:invertIfNegative val="0"/>
            <c:bubble3D val="0"/>
            <c:extLst>
              <c:ext xmlns:c16="http://schemas.microsoft.com/office/drawing/2014/chart" uri="{C3380CC4-5D6E-409C-BE32-E72D297353CC}">
                <c16:uniqueId val="{000001D8-4391-4161-9A3A-61B157F79F18}"/>
              </c:ext>
            </c:extLst>
          </c:dPt>
          <c:dPt>
            <c:idx val="2"/>
            <c:invertIfNegative val="0"/>
            <c:bubble3D val="0"/>
            <c:extLst>
              <c:ext xmlns:c16="http://schemas.microsoft.com/office/drawing/2014/chart" uri="{C3380CC4-5D6E-409C-BE32-E72D297353CC}">
                <c16:uniqueId val="{000001D9-4391-4161-9A3A-61B157F79F18}"/>
              </c:ext>
            </c:extLst>
          </c:dPt>
          <c:dPt>
            <c:idx val="3"/>
            <c:invertIfNegative val="0"/>
            <c:bubble3D val="0"/>
            <c:extLst>
              <c:ext xmlns:c16="http://schemas.microsoft.com/office/drawing/2014/chart" uri="{C3380CC4-5D6E-409C-BE32-E72D297353CC}">
                <c16:uniqueId val="{000001DA-4391-4161-9A3A-61B157F79F18}"/>
              </c:ext>
            </c:extLst>
          </c:dPt>
          <c:dPt>
            <c:idx val="4"/>
            <c:invertIfNegative val="0"/>
            <c:bubble3D val="0"/>
            <c:extLst>
              <c:ext xmlns:c16="http://schemas.microsoft.com/office/drawing/2014/chart" uri="{C3380CC4-5D6E-409C-BE32-E72D297353CC}">
                <c16:uniqueId val="{000001DB-4391-4161-9A3A-61B157F79F18}"/>
              </c:ext>
            </c:extLst>
          </c:dPt>
          <c:dPt>
            <c:idx val="5"/>
            <c:invertIfNegative val="0"/>
            <c:bubble3D val="0"/>
            <c:extLst>
              <c:ext xmlns:c16="http://schemas.microsoft.com/office/drawing/2014/chart" uri="{C3380CC4-5D6E-409C-BE32-E72D297353CC}">
                <c16:uniqueId val="{000001DC-4391-4161-9A3A-61B157F79F18}"/>
              </c:ext>
            </c:extLst>
          </c:dPt>
          <c:dPt>
            <c:idx val="6"/>
            <c:invertIfNegative val="0"/>
            <c:bubble3D val="0"/>
            <c:extLst>
              <c:ext xmlns:c16="http://schemas.microsoft.com/office/drawing/2014/chart" uri="{C3380CC4-5D6E-409C-BE32-E72D297353CC}">
                <c16:uniqueId val="{000001DD-4391-4161-9A3A-61B157F79F18}"/>
              </c:ext>
            </c:extLst>
          </c:dPt>
          <c:dPt>
            <c:idx val="7"/>
            <c:invertIfNegative val="0"/>
            <c:bubble3D val="0"/>
            <c:extLst>
              <c:ext xmlns:c16="http://schemas.microsoft.com/office/drawing/2014/chart" uri="{C3380CC4-5D6E-409C-BE32-E72D297353CC}">
                <c16:uniqueId val="{000001DE-4391-4161-9A3A-61B157F79F18}"/>
              </c:ext>
            </c:extLst>
          </c:dPt>
          <c:dPt>
            <c:idx val="8"/>
            <c:invertIfNegative val="0"/>
            <c:bubble3D val="0"/>
            <c:extLst>
              <c:ext xmlns:c16="http://schemas.microsoft.com/office/drawing/2014/chart" uri="{C3380CC4-5D6E-409C-BE32-E72D297353CC}">
                <c16:uniqueId val="{000001DF-4391-4161-9A3A-61B157F79F18}"/>
              </c:ext>
            </c:extLst>
          </c:dPt>
          <c:dPt>
            <c:idx val="9"/>
            <c:invertIfNegative val="0"/>
            <c:bubble3D val="0"/>
            <c:extLst>
              <c:ext xmlns:c16="http://schemas.microsoft.com/office/drawing/2014/chart" uri="{C3380CC4-5D6E-409C-BE32-E72D297353CC}">
                <c16:uniqueId val="{000001E0-4391-4161-9A3A-61B157F79F18}"/>
              </c:ext>
            </c:extLst>
          </c:dPt>
          <c:dPt>
            <c:idx val="10"/>
            <c:invertIfNegative val="0"/>
            <c:bubble3D val="0"/>
            <c:extLst>
              <c:ext xmlns:c16="http://schemas.microsoft.com/office/drawing/2014/chart" uri="{C3380CC4-5D6E-409C-BE32-E72D297353CC}">
                <c16:uniqueId val="{000001E1-4391-4161-9A3A-61B157F79F18}"/>
              </c:ext>
            </c:extLst>
          </c:dPt>
          <c:dPt>
            <c:idx val="11"/>
            <c:invertIfNegative val="0"/>
            <c:bubble3D val="0"/>
            <c:extLst>
              <c:ext xmlns:c16="http://schemas.microsoft.com/office/drawing/2014/chart" uri="{C3380CC4-5D6E-409C-BE32-E72D297353CC}">
                <c16:uniqueId val="{000001E2-4391-4161-9A3A-61B157F79F18}"/>
              </c:ext>
            </c:extLst>
          </c:dPt>
          <c:dPt>
            <c:idx val="12"/>
            <c:invertIfNegative val="0"/>
            <c:bubble3D val="0"/>
            <c:extLst>
              <c:ext xmlns:c16="http://schemas.microsoft.com/office/drawing/2014/chart" uri="{C3380CC4-5D6E-409C-BE32-E72D297353CC}">
                <c16:uniqueId val="{000001E3-4391-4161-9A3A-61B157F79F18}"/>
              </c:ext>
            </c:extLst>
          </c:dPt>
          <c:dPt>
            <c:idx val="13"/>
            <c:invertIfNegative val="0"/>
            <c:bubble3D val="0"/>
            <c:extLst>
              <c:ext xmlns:c16="http://schemas.microsoft.com/office/drawing/2014/chart" uri="{C3380CC4-5D6E-409C-BE32-E72D297353CC}">
                <c16:uniqueId val="{000001E4-4391-4161-9A3A-61B157F79F18}"/>
              </c:ext>
            </c:extLst>
          </c:dPt>
          <c:dPt>
            <c:idx val="14"/>
            <c:invertIfNegative val="0"/>
            <c:bubble3D val="0"/>
            <c:extLst>
              <c:ext xmlns:c16="http://schemas.microsoft.com/office/drawing/2014/chart" uri="{C3380CC4-5D6E-409C-BE32-E72D297353CC}">
                <c16:uniqueId val="{000001E5-4391-4161-9A3A-61B157F79F18}"/>
              </c:ext>
            </c:extLst>
          </c:dPt>
          <c:dPt>
            <c:idx val="15"/>
            <c:invertIfNegative val="0"/>
            <c:bubble3D val="0"/>
            <c:extLst>
              <c:ext xmlns:c16="http://schemas.microsoft.com/office/drawing/2014/chart" uri="{C3380CC4-5D6E-409C-BE32-E72D297353CC}">
                <c16:uniqueId val="{000001E6-4391-4161-9A3A-61B157F79F18}"/>
              </c:ext>
            </c:extLst>
          </c:dPt>
          <c:dPt>
            <c:idx val="16"/>
            <c:invertIfNegative val="0"/>
            <c:bubble3D val="0"/>
            <c:extLst>
              <c:ext xmlns:c16="http://schemas.microsoft.com/office/drawing/2014/chart" uri="{C3380CC4-5D6E-409C-BE32-E72D297353CC}">
                <c16:uniqueId val="{000001E7-4391-4161-9A3A-61B157F79F18}"/>
              </c:ext>
            </c:extLst>
          </c:dPt>
          <c:dPt>
            <c:idx val="17"/>
            <c:invertIfNegative val="0"/>
            <c:bubble3D val="0"/>
            <c:extLst>
              <c:ext xmlns:c16="http://schemas.microsoft.com/office/drawing/2014/chart" uri="{C3380CC4-5D6E-409C-BE32-E72D297353CC}">
                <c16:uniqueId val="{000001E8-4391-4161-9A3A-61B157F79F18}"/>
              </c:ext>
            </c:extLst>
          </c:dPt>
          <c:dPt>
            <c:idx val="18"/>
            <c:invertIfNegative val="0"/>
            <c:bubble3D val="0"/>
            <c:extLst>
              <c:ext xmlns:c16="http://schemas.microsoft.com/office/drawing/2014/chart" uri="{C3380CC4-5D6E-409C-BE32-E72D297353CC}">
                <c16:uniqueId val="{000001E9-4391-4161-9A3A-61B157F79F18}"/>
              </c:ext>
            </c:extLst>
          </c:dPt>
          <c:dPt>
            <c:idx val="19"/>
            <c:invertIfNegative val="0"/>
            <c:bubble3D val="0"/>
            <c:extLst>
              <c:ext xmlns:c16="http://schemas.microsoft.com/office/drawing/2014/chart" uri="{C3380CC4-5D6E-409C-BE32-E72D297353CC}">
                <c16:uniqueId val="{000001EA-4391-4161-9A3A-61B157F79F18}"/>
              </c:ext>
            </c:extLst>
          </c:dPt>
          <c:dPt>
            <c:idx val="20"/>
            <c:invertIfNegative val="0"/>
            <c:bubble3D val="0"/>
            <c:extLst>
              <c:ext xmlns:c16="http://schemas.microsoft.com/office/drawing/2014/chart" uri="{C3380CC4-5D6E-409C-BE32-E72D297353CC}">
                <c16:uniqueId val="{000001EB-4391-4161-9A3A-61B157F79F18}"/>
              </c:ext>
            </c:extLst>
          </c:dPt>
          <c:dPt>
            <c:idx val="21"/>
            <c:invertIfNegative val="0"/>
            <c:bubble3D val="0"/>
            <c:extLst>
              <c:ext xmlns:c16="http://schemas.microsoft.com/office/drawing/2014/chart" uri="{C3380CC4-5D6E-409C-BE32-E72D297353CC}">
                <c16:uniqueId val="{000001EC-4391-4161-9A3A-61B157F79F18}"/>
              </c:ext>
            </c:extLst>
          </c:dPt>
          <c:dPt>
            <c:idx val="22"/>
            <c:invertIfNegative val="0"/>
            <c:bubble3D val="0"/>
            <c:extLst>
              <c:ext xmlns:c16="http://schemas.microsoft.com/office/drawing/2014/chart" uri="{C3380CC4-5D6E-409C-BE32-E72D297353CC}">
                <c16:uniqueId val="{000001ED-4391-4161-9A3A-61B157F79F18}"/>
              </c:ext>
            </c:extLst>
          </c:dPt>
          <c:dPt>
            <c:idx val="23"/>
            <c:invertIfNegative val="0"/>
            <c:bubble3D val="0"/>
            <c:extLst>
              <c:ext xmlns:c16="http://schemas.microsoft.com/office/drawing/2014/chart" uri="{C3380CC4-5D6E-409C-BE32-E72D297353CC}">
                <c16:uniqueId val="{000001EE-4391-4161-9A3A-61B157F79F18}"/>
              </c:ext>
            </c:extLst>
          </c:dPt>
          <c:dPt>
            <c:idx val="24"/>
            <c:invertIfNegative val="0"/>
            <c:bubble3D val="0"/>
            <c:extLst>
              <c:ext xmlns:c16="http://schemas.microsoft.com/office/drawing/2014/chart" uri="{C3380CC4-5D6E-409C-BE32-E72D297353CC}">
                <c16:uniqueId val="{000001EF-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Data'!$B$8:$W$8</c:f>
              <c:numCache>
                <c:formatCode>#,##0_ ;\-#,##0\ </c:formatCode>
                <c:ptCount val="22"/>
                <c:pt idx="0">
                  <c:v>0</c:v>
                </c:pt>
                <c:pt idx="1">
                  <c:v>1894</c:v>
                </c:pt>
                <c:pt idx="2">
                  <c:v>2294</c:v>
                </c:pt>
                <c:pt idx="3">
                  <c:v>2694</c:v>
                </c:pt>
                <c:pt idx="4">
                  <c:v>3094</c:v>
                </c:pt>
                <c:pt idx="5">
                  <c:v>3987</c:v>
                </c:pt>
                <c:pt idx="6">
                  <c:v>4387</c:v>
                </c:pt>
                <c:pt idx="7">
                  <c:v>4387</c:v>
                </c:pt>
                <c:pt idx="8">
                  <c:v>4387</c:v>
                </c:pt>
                <c:pt idx="9">
                  <c:v>4416</c:v>
                </c:pt>
                <c:pt idx="10">
                  <c:v>4555</c:v>
                </c:pt>
                <c:pt idx="11">
                  <c:v>4852</c:v>
                </c:pt>
                <c:pt idx="12">
                  <c:v>4852</c:v>
                </c:pt>
                <c:pt idx="13">
                  <c:v>4852</c:v>
                </c:pt>
                <c:pt idx="14">
                  <c:v>4852</c:v>
                </c:pt>
                <c:pt idx="15">
                  <c:v>4852</c:v>
                </c:pt>
                <c:pt idx="16">
                  <c:v>4852</c:v>
                </c:pt>
                <c:pt idx="17">
                  <c:v>4939</c:v>
                </c:pt>
                <c:pt idx="18">
                  <c:v>5591</c:v>
                </c:pt>
                <c:pt idx="19">
                  <c:v>5591</c:v>
                </c:pt>
                <c:pt idx="20">
                  <c:v>5832</c:v>
                </c:pt>
                <c:pt idx="21">
                  <c:v>5832</c:v>
                </c:pt>
              </c:numCache>
            </c:numRef>
          </c:val>
          <c:extLst>
            <c:ext xmlns:c16="http://schemas.microsoft.com/office/drawing/2014/chart" uri="{C3380CC4-5D6E-409C-BE32-E72D297353CC}">
              <c16:uniqueId val="{000001F0-4391-4161-9A3A-61B157F79F18}"/>
            </c:ext>
          </c:extLst>
        </c:ser>
        <c:ser>
          <c:idx val="5"/>
          <c:order val="6"/>
          <c:tx>
            <c:strRef>
              <c:f>'NewAndRetiredCapacity Data'!$A$11</c:f>
              <c:strCache>
                <c:ptCount val="1"/>
                <c:pt idx="0">
                  <c:v>Biomass</c:v>
                </c:pt>
              </c:strCache>
            </c:strRef>
          </c:tx>
          <c:spPr>
            <a:solidFill>
              <a:srgbClr val="B3E0EE"/>
            </a:solidFill>
            <a:ln>
              <a:noFill/>
            </a:ln>
            <a:effectLst/>
          </c:spPr>
          <c:invertIfNegative val="0"/>
          <c:dPt>
            <c:idx val="0"/>
            <c:invertIfNegative val="0"/>
            <c:bubble3D val="0"/>
            <c:extLst>
              <c:ext xmlns:c16="http://schemas.microsoft.com/office/drawing/2014/chart" uri="{C3380CC4-5D6E-409C-BE32-E72D297353CC}">
                <c16:uniqueId val="{000001F2-4391-4161-9A3A-61B157F79F18}"/>
              </c:ext>
            </c:extLst>
          </c:dPt>
          <c:dPt>
            <c:idx val="1"/>
            <c:invertIfNegative val="0"/>
            <c:bubble3D val="0"/>
            <c:extLst>
              <c:ext xmlns:c16="http://schemas.microsoft.com/office/drawing/2014/chart" uri="{C3380CC4-5D6E-409C-BE32-E72D297353CC}">
                <c16:uniqueId val="{000001F3-4391-4161-9A3A-61B157F79F18}"/>
              </c:ext>
            </c:extLst>
          </c:dPt>
          <c:dPt>
            <c:idx val="2"/>
            <c:invertIfNegative val="0"/>
            <c:bubble3D val="0"/>
            <c:extLst>
              <c:ext xmlns:c16="http://schemas.microsoft.com/office/drawing/2014/chart" uri="{C3380CC4-5D6E-409C-BE32-E72D297353CC}">
                <c16:uniqueId val="{000001F4-4391-4161-9A3A-61B157F79F18}"/>
              </c:ext>
            </c:extLst>
          </c:dPt>
          <c:dPt>
            <c:idx val="3"/>
            <c:invertIfNegative val="0"/>
            <c:bubble3D val="0"/>
            <c:extLst>
              <c:ext xmlns:c16="http://schemas.microsoft.com/office/drawing/2014/chart" uri="{C3380CC4-5D6E-409C-BE32-E72D297353CC}">
                <c16:uniqueId val="{000001F5-4391-4161-9A3A-61B157F79F18}"/>
              </c:ext>
            </c:extLst>
          </c:dPt>
          <c:dPt>
            <c:idx val="4"/>
            <c:invertIfNegative val="0"/>
            <c:bubble3D val="0"/>
            <c:extLst>
              <c:ext xmlns:c16="http://schemas.microsoft.com/office/drawing/2014/chart" uri="{C3380CC4-5D6E-409C-BE32-E72D297353CC}">
                <c16:uniqueId val="{000001F6-4391-4161-9A3A-61B157F79F18}"/>
              </c:ext>
            </c:extLst>
          </c:dPt>
          <c:dPt>
            <c:idx val="5"/>
            <c:invertIfNegative val="0"/>
            <c:bubble3D val="0"/>
            <c:extLst>
              <c:ext xmlns:c16="http://schemas.microsoft.com/office/drawing/2014/chart" uri="{C3380CC4-5D6E-409C-BE32-E72D297353CC}">
                <c16:uniqueId val="{000001F7-4391-4161-9A3A-61B157F79F18}"/>
              </c:ext>
            </c:extLst>
          </c:dPt>
          <c:dPt>
            <c:idx val="6"/>
            <c:invertIfNegative val="0"/>
            <c:bubble3D val="0"/>
            <c:extLst>
              <c:ext xmlns:c16="http://schemas.microsoft.com/office/drawing/2014/chart" uri="{C3380CC4-5D6E-409C-BE32-E72D297353CC}">
                <c16:uniqueId val="{000001F8-4391-4161-9A3A-61B157F79F18}"/>
              </c:ext>
            </c:extLst>
          </c:dPt>
          <c:dPt>
            <c:idx val="7"/>
            <c:invertIfNegative val="0"/>
            <c:bubble3D val="0"/>
            <c:extLst>
              <c:ext xmlns:c16="http://schemas.microsoft.com/office/drawing/2014/chart" uri="{C3380CC4-5D6E-409C-BE32-E72D297353CC}">
                <c16:uniqueId val="{000001F9-4391-4161-9A3A-61B157F79F18}"/>
              </c:ext>
            </c:extLst>
          </c:dPt>
          <c:dPt>
            <c:idx val="8"/>
            <c:invertIfNegative val="0"/>
            <c:bubble3D val="0"/>
            <c:extLst>
              <c:ext xmlns:c16="http://schemas.microsoft.com/office/drawing/2014/chart" uri="{C3380CC4-5D6E-409C-BE32-E72D297353CC}">
                <c16:uniqueId val="{000001FA-4391-4161-9A3A-61B157F79F18}"/>
              </c:ext>
            </c:extLst>
          </c:dPt>
          <c:dPt>
            <c:idx val="9"/>
            <c:invertIfNegative val="0"/>
            <c:bubble3D val="0"/>
            <c:extLst>
              <c:ext xmlns:c16="http://schemas.microsoft.com/office/drawing/2014/chart" uri="{C3380CC4-5D6E-409C-BE32-E72D297353CC}">
                <c16:uniqueId val="{000001FB-4391-4161-9A3A-61B157F79F18}"/>
              </c:ext>
            </c:extLst>
          </c:dPt>
          <c:dPt>
            <c:idx val="10"/>
            <c:invertIfNegative val="0"/>
            <c:bubble3D val="0"/>
            <c:extLst>
              <c:ext xmlns:c16="http://schemas.microsoft.com/office/drawing/2014/chart" uri="{C3380CC4-5D6E-409C-BE32-E72D297353CC}">
                <c16:uniqueId val="{000001FC-4391-4161-9A3A-61B157F79F18}"/>
              </c:ext>
            </c:extLst>
          </c:dPt>
          <c:dPt>
            <c:idx val="11"/>
            <c:invertIfNegative val="0"/>
            <c:bubble3D val="0"/>
            <c:extLst>
              <c:ext xmlns:c16="http://schemas.microsoft.com/office/drawing/2014/chart" uri="{C3380CC4-5D6E-409C-BE32-E72D297353CC}">
                <c16:uniqueId val="{000001FD-4391-4161-9A3A-61B157F79F18}"/>
              </c:ext>
            </c:extLst>
          </c:dPt>
          <c:dPt>
            <c:idx val="12"/>
            <c:invertIfNegative val="0"/>
            <c:bubble3D val="0"/>
            <c:extLst>
              <c:ext xmlns:c16="http://schemas.microsoft.com/office/drawing/2014/chart" uri="{C3380CC4-5D6E-409C-BE32-E72D297353CC}">
                <c16:uniqueId val="{000001FE-4391-4161-9A3A-61B157F79F18}"/>
              </c:ext>
            </c:extLst>
          </c:dPt>
          <c:dPt>
            <c:idx val="13"/>
            <c:invertIfNegative val="0"/>
            <c:bubble3D val="0"/>
            <c:extLst>
              <c:ext xmlns:c16="http://schemas.microsoft.com/office/drawing/2014/chart" uri="{C3380CC4-5D6E-409C-BE32-E72D297353CC}">
                <c16:uniqueId val="{000001FF-4391-4161-9A3A-61B157F79F18}"/>
              </c:ext>
            </c:extLst>
          </c:dPt>
          <c:dPt>
            <c:idx val="14"/>
            <c:invertIfNegative val="0"/>
            <c:bubble3D val="0"/>
            <c:extLst>
              <c:ext xmlns:c16="http://schemas.microsoft.com/office/drawing/2014/chart" uri="{C3380CC4-5D6E-409C-BE32-E72D297353CC}">
                <c16:uniqueId val="{00000200-4391-4161-9A3A-61B157F79F18}"/>
              </c:ext>
            </c:extLst>
          </c:dPt>
          <c:dPt>
            <c:idx val="15"/>
            <c:invertIfNegative val="0"/>
            <c:bubble3D val="0"/>
            <c:extLst>
              <c:ext xmlns:c16="http://schemas.microsoft.com/office/drawing/2014/chart" uri="{C3380CC4-5D6E-409C-BE32-E72D297353CC}">
                <c16:uniqueId val="{00000201-4391-4161-9A3A-61B157F79F18}"/>
              </c:ext>
            </c:extLst>
          </c:dPt>
          <c:dPt>
            <c:idx val="16"/>
            <c:invertIfNegative val="0"/>
            <c:bubble3D val="0"/>
            <c:extLst>
              <c:ext xmlns:c16="http://schemas.microsoft.com/office/drawing/2014/chart" uri="{C3380CC4-5D6E-409C-BE32-E72D297353CC}">
                <c16:uniqueId val="{00000202-4391-4161-9A3A-61B157F79F18}"/>
              </c:ext>
            </c:extLst>
          </c:dPt>
          <c:dPt>
            <c:idx val="17"/>
            <c:invertIfNegative val="0"/>
            <c:bubble3D val="0"/>
            <c:extLst>
              <c:ext xmlns:c16="http://schemas.microsoft.com/office/drawing/2014/chart" uri="{C3380CC4-5D6E-409C-BE32-E72D297353CC}">
                <c16:uniqueId val="{00000203-4391-4161-9A3A-61B157F79F18}"/>
              </c:ext>
            </c:extLst>
          </c:dPt>
          <c:dPt>
            <c:idx val="18"/>
            <c:invertIfNegative val="0"/>
            <c:bubble3D val="0"/>
            <c:extLst>
              <c:ext xmlns:c16="http://schemas.microsoft.com/office/drawing/2014/chart" uri="{C3380CC4-5D6E-409C-BE32-E72D297353CC}">
                <c16:uniqueId val="{00000204-4391-4161-9A3A-61B157F79F18}"/>
              </c:ext>
            </c:extLst>
          </c:dPt>
          <c:dPt>
            <c:idx val="19"/>
            <c:invertIfNegative val="0"/>
            <c:bubble3D val="0"/>
            <c:extLst>
              <c:ext xmlns:c16="http://schemas.microsoft.com/office/drawing/2014/chart" uri="{C3380CC4-5D6E-409C-BE32-E72D297353CC}">
                <c16:uniqueId val="{00000205-4391-4161-9A3A-61B157F79F18}"/>
              </c:ext>
            </c:extLst>
          </c:dPt>
          <c:dPt>
            <c:idx val="20"/>
            <c:invertIfNegative val="0"/>
            <c:bubble3D val="0"/>
            <c:extLst>
              <c:ext xmlns:c16="http://schemas.microsoft.com/office/drawing/2014/chart" uri="{C3380CC4-5D6E-409C-BE32-E72D297353CC}">
                <c16:uniqueId val="{00000206-4391-4161-9A3A-61B157F79F18}"/>
              </c:ext>
            </c:extLst>
          </c:dPt>
          <c:dPt>
            <c:idx val="21"/>
            <c:invertIfNegative val="0"/>
            <c:bubble3D val="0"/>
            <c:extLst>
              <c:ext xmlns:c16="http://schemas.microsoft.com/office/drawing/2014/chart" uri="{C3380CC4-5D6E-409C-BE32-E72D297353CC}">
                <c16:uniqueId val="{00000207-4391-4161-9A3A-61B157F79F18}"/>
              </c:ext>
            </c:extLst>
          </c:dPt>
          <c:dPt>
            <c:idx val="22"/>
            <c:invertIfNegative val="0"/>
            <c:bubble3D val="0"/>
            <c:extLst>
              <c:ext xmlns:c16="http://schemas.microsoft.com/office/drawing/2014/chart" uri="{C3380CC4-5D6E-409C-BE32-E72D297353CC}">
                <c16:uniqueId val="{00000208-4391-4161-9A3A-61B157F79F18}"/>
              </c:ext>
            </c:extLst>
          </c:dPt>
          <c:dPt>
            <c:idx val="23"/>
            <c:invertIfNegative val="0"/>
            <c:bubble3D val="0"/>
            <c:extLst>
              <c:ext xmlns:c16="http://schemas.microsoft.com/office/drawing/2014/chart" uri="{C3380CC4-5D6E-409C-BE32-E72D297353CC}">
                <c16:uniqueId val="{00000209-4391-4161-9A3A-61B157F79F18}"/>
              </c:ext>
            </c:extLst>
          </c:dPt>
          <c:dPt>
            <c:idx val="24"/>
            <c:invertIfNegative val="0"/>
            <c:bubble3D val="0"/>
            <c:extLst>
              <c:ext xmlns:c16="http://schemas.microsoft.com/office/drawing/2014/chart" uri="{C3380CC4-5D6E-409C-BE32-E72D297353CC}">
                <c16:uniqueId val="{0000020A-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Data'!$B$11:$W$11</c:f>
              <c:numCache>
                <c:formatCode>#,##0_ ;\-#,##0\ </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126</c:v>
                </c:pt>
                <c:pt idx="18">
                  <c:v>126</c:v>
                </c:pt>
                <c:pt idx="19">
                  <c:v>126</c:v>
                </c:pt>
                <c:pt idx="20">
                  <c:v>126</c:v>
                </c:pt>
                <c:pt idx="21">
                  <c:v>126</c:v>
                </c:pt>
              </c:numCache>
            </c:numRef>
          </c:val>
          <c:extLst>
            <c:ext xmlns:c16="http://schemas.microsoft.com/office/drawing/2014/chart" uri="{C3380CC4-5D6E-409C-BE32-E72D297353CC}">
              <c16:uniqueId val="{0000020B-4391-4161-9A3A-61B157F79F18}"/>
            </c:ext>
          </c:extLst>
        </c:ser>
        <c:ser>
          <c:idx val="11"/>
          <c:order val="7"/>
          <c:tx>
            <c:strRef>
              <c:f>'NewAndRetiredCapacity Data'!$A$9</c:f>
              <c:strCache>
                <c:ptCount val="1"/>
                <c:pt idx="0">
                  <c:v>Utility Solar</c:v>
                </c:pt>
              </c:strCache>
            </c:strRef>
          </c:tx>
          <c:spPr>
            <a:solidFill>
              <a:srgbClr val="FFC222"/>
            </a:solidFill>
            <a:ln>
              <a:noFill/>
            </a:ln>
          </c:spPr>
          <c:invertIfNegative val="0"/>
          <c:dPt>
            <c:idx val="0"/>
            <c:invertIfNegative val="0"/>
            <c:bubble3D val="0"/>
            <c:spPr>
              <a:solidFill>
                <a:srgbClr val="FFC222"/>
              </a:solidFill>
              <a:ln w="3175" cmpd="sng">
                <a:noFill/>
                <a:prstDash val="solid"/>
              </a:ln>
            </c:spPr>
            <c:extLst>
              <c:ext xmlns:c16="http://schemas.microsoft.com/office/drawing/2014/chart" uri="{C3380CC4-5D6E-409C-BE32-E72D297353CC}">
                <c16:uniqueId val="{0000020E-4391-4161-9A3A-61B157F79F18}"/>
              </c:ext>
            </c:extLst>
          </c:dPt>
          <c:dPt>
            <c:idx val="1"/>
            <c:invertIfNegative val="0"/>
            <c:bubble3D val="0"/>
            <c:spPr>
              <a:solidFill>
                <a:srgbClr val="FFC222"/>
              </a:solidFill>
              <a:ln w="3175" cmpd="sng">
                <a:noFill/>
                <a:prstDash val="solid"/>
              </a:ln>
            </c:spPr>
            <c:extLst>
              <c:ext xmlns:c16="http://schemas.microsoft.com/office/drawing/2014/chart" uri="{C3380CC4-5D6E-409C-BE32-E72D297353CC}">
                <c16:uniqueId val="{00000210-4391-4161-9A3A-61B157F79F18}"/>
              </c:ext>
            </c:extLst>
          </c:dPt>
          <c:dPt>
            <c:idx val="2"/>
            <c:invertIfNegative val="0"/>
            <c:bubble3D val="0"/>
            <c:spPr>
              <a:solidFill>
                <a:srgbClr val="FFC222"/>
              </a:solidFill>
              <a:ln w="3175" cmpd="sng">
                <a:noFill/>
                <a:prstDash val="solid"/>
              </a:ln>
            </c:spPr>
            <c:extLst>
              <c:ext xmlns:c16="http://schemas.microsoft.com/office/drawing/2014/chart" uri="{C3380CC4-5D6E-409C-BE32-E72D297353CC}">
                <c16:uniqueId val="{00000212-4391-4161-9A3A-61B157F79F18}"/>
              </c:ext>
            </c:extLst>
          </c:dPt>
          <c:dPt>
            <c:idx val="3"/>
            <c:invertIfNegative val="0"/>
            <c:bubble3D val="0"/>
            <c:spPr>
              <a:solidFill>
                <a:srgbClr val="FFC222"/>
              </a:solidFill>
              <a:ln w="3175" cmpd="sng">
                <a:noFill/>
                <a:prstDash val="solid"/>
              </a:ln>
            </c:spPr>
            <c:extLst>
              <c:ext xmlns:c16="http://schemas.microsoft.com/office/drawing/2014/chart" uri="{C3380CC4-5D6E-409C-BE32-E72D297353CC}">
                <c16:uniqueId val="{00000214-4391-4161-9A3A-61B157F79F18}"/>
              </c:ext>
            </c:extLst>
          </c:dPt>
          <c:dPt>
            <c:idx val="4"/>
            <c:invertIfNegative val="0"/>
            <c:bubble3D val="0"/>
            <c:spPr>
              <a:solidFill>
                <a:srgbClr val="FFC222"/>
              </a:solidFill>
              <a:ln w="3175" cmpd="sng">
                <a:noFill/>
                <a:prstDash val="solid"/>
              </a:ln>
            </c:spPr>
            <c:extLst>
              <c:ext xmlns:c16="http://schemas.microsoft.com/office/drawing/2014/chart" uri="{C3380CC4-5D6E-409C-BE32-E72D297353CC}">
                <c16:uniqueId val="{00000216-4391-4161-9A3A-61B157F79F18}"/>
              </c:ext>
            </c:extLst>
          </c:dPt>
          <c:dPt>
            <c:idx val="5"/>
            <c:invertIfNegative val="0"/>
            <c:bubble3D val="0"/>
            <c:spPr>
              <a:solidFill>
                <a:srgbClr val="FFC222"/>
              </a:solidFill>
              <a:ln w="3175" cmpd="sng">
                <a:noFill/>
                <a:prstDash val="solid"/>
              </a:ln>
            </c:spPr>
            <c:extLst>
              <c:ext xmlns:c16="http://schemas.microsoft.com/office/drawing/2014/chart" uri="{C3380CC4-5D6E-409C-BE32-E72D297353CC}">
                <c16:uniqueId val="{00000218-4391-4161-9A3A-61B157F79F18}"/>
              </c:ext>
            </c:extLst>
          </c:dPt>
          <c:dPt>
            <c:idx val="6"/>
            <c:invertIfNegative val="0"/>
            <c:bubble3D val="0"/>
            <c:spPr>
              <a:solidFill>
                <a:srgbClr val="FFC222"/>
              </a:solidFill>
              <a:ln w="3175" cmpd="sng">
                <a:noFill/>
                <a:prstDash val="solid"/>
              </a:ln>
            </c:spPr>
            <c:extLst>
              <c:ext xmlns:c16="http://schemas.microsoft.com/office/drawing/2014/chart" uri="{C3380CC4-5D6E-409C-BE32-E72D297353CC}">
                <c16:uniqueId val="{0000021A-4391-4161-9A3A-61B157F79F18}"/>
              </c:ext>
            </c:extLst>
          </c:dPt>
          <c:dPt>
            <c:idx val="7"/>
            <c:invertIfNegative val="0"/>
            <c:bubble3D val="0"/>
            <c:spPr>
              <a:solidFill>
                <a:srgbClr val="FFC222"/>
              </a:solidFill>
              <a:ln w="3175" cmpd="sng">
                <a:noFill/>
                <a:prstDash val="solid"/>
              </a:ln>
            </c:spPr>
            <c:extLst>
              <c:ext xmlns:c16="http://schemas.microsoft.com/office/drawing/2014/chart" uri="{C3380CC4-5D6E-409C-BE32-E72D297353CC}">
                <c16:uniqueId val="{0000021C-4391-4161-9A3A-61B157F79F18}"/>
              </c:ext>
            </c:extLst>
          </c:dPt>
          <c:dPt>
            <c:idx val="8"/>
            <c:invertIfNegative val="0"/>
            <c:bubble3D val="0"/>
            <c:spPr>
              <a:solidFill>
                <a:srgbClr val="FFC222"/>
              </a:solidFill>
              <a:ln w="3175" cmpd="sng">
                <a:noFill/>
                <a:prstDash val="solid"/>
              </a:ln>
            </c:spPr>
            <c:extLst>
              <c:ext xmlns:c16="http://schemas.microsoft.com/office/drawing/2014/chart" uri="{C3380CC4-5D6E-409C-BE32-E72D297353CC}">
                <c16:uniqueId val="{0000021E-4391-4161-9A3A-61B157F79F18}"/>
              </c:ext>
            </c:extLst>
          </c:dPt>
          <c:dPt>
            <c:idx val="9"/>
            <c:invertIfNegative val="0"/>
            <c:bubble3D val="0"/>
            <c:spPr>
              <a:solidFill>
                <a:srgbClr val="FFC222"/>
              </a:solidFill>
              <a:ln w="3175" cmpd="sng">
                <a:noFill/>
                <a:prstDash val="solid"/>
              </a:ln>
            </c:spPr>
            <c:extLst>
              <c:ext xmlns:c16="http://schemas.microsoft.com/office/drawing/2014/chart" uri="{C3380CC4-5D6E-409C-BE32-E72D297353CC}">
                <c16:uniqueId val="{00000220-4391-4161-9A3A-61B157F79F18}"/>
              </c:ext>
            </c:extLst>
          </c:dPt>
          <c:dPt>
            <c:idx val="10"/>
            <c:invertIfNegative val="0"/>
            <c:bubble3D val="0"/>
            <c:spPr>
              <a:solidFill>
                <a:srgbClr val="FFC222"/>
              </a:solidFill>
              <a:ln w="3175" cmpd="sng">
                <a:noFill/>
                <a:prstDash val="solid"/>
              </a:ln>
            </c:spPr>
            <c:extLst>
              <c:ext xmlns:c16="http://schemas.microsoft.com/office/drawing/2014/chart" uri="{C3380CC4-5D6E-409C-BE32-E72D297353CC}">
                <c16:uniqueId val="{00000222-4391-4161-9A3A-61B157F79F18}"/>
              </c:ext>
            </c:extLst>
          </c:dPt>
          <c:dPt>
            <c:idx val="11"/>
            <c:invertIfNegative val="0"/>
            <c:bubble3D val="0"/>
            <c:spPr>
              <a:solidFill>
                <a:srgbClr val="FFC222"/>
              </a:solidFill>
              <a:ln w="3175" cmpd="sng">
                <a:noFill/>
                <a:prstDash val="solid"/>
              </a:ln>
            </c:spPr>
            <c:extLst>
              <c:ext xmlns:c16="http://schemas.microsoft.com/office/drawing/2014/chart" uri="{C3380CC4-5D6E-409C-BE32-E72D297353CC}">
                <c16:uniqueId val="{00000224-4391-4161-9A3A-61B157F79F18}"/>
              </c:ext>
            </c:extLst>
          </c:dPt>
          <c:dPt>
            <c:idx val="12"/>
            <c:invertIfNegative val="0"/>
            <c:bubble3D val="0"/>
            <c:spPr>
              <a:solidFill>
                <a:srgbClr val="FFC222"/>
              </a:solidFill>
              <a:ln w="3175" cmpd="sng">
                <a:noFill/>
                <a:prstDash val="solid"/>
              </a:ln>
            </c:spPr>
            <c:extLst>
              <c:ext xmlns:c16="http://schemas.microsoft.com/office/drawing/2014/chart" uri="{C3380CC4-5D6E-409C-BE32-E72D297353CC}">
                <c16:uniqueId val="{00000226-4391-4161-9A3A-61B157F79F18}"/>
              </c:ext>
            </c:extLst>
          </c:dPt>
          <c:dPt>
            <c:idx val="13"/>
            <c:invertIfNegative val="0"/>
            <c:bubble3D val="0"/>
            <c:spPr>
              <a:solidFill>
                <a:srgbClr val="FFC222"/>
              </a:solidFill>
              <a:ln w="3175" cmpd="sng">
                <a:noFill/>
                <a:prstDash val="solid"/>
              </a:ln>
            </c:spPr>
            <c:extLst>
              <c:ext xmlns:c16="http://schemas.microsoft.com/office/drawing/2014/chart" uri="{C3380CC4-5D6E-409C-BE32-E72D297353CC}">
                <c16:uniqueId val="{00000228-4391-4161-9A3A-61B157F79F18}"/>
              </c:ext>
            </c:extLst>
          </c:dPt>
          <c:dPt>
            <c:idx val="14"/>
            <c:invertIfNegative val="0"/>
            <c:bubble3D val="0"/>
            <c:spPr>
              <a:solidFill>
                <a:srgbClr val="FFC222"/>
              </a:solidFill>
              <a:ln w="3175" cmpd="sng">
                <a:noFill/>
                <a:prstDash val="solid"/>
              </a:ln>
            </c:spPr>
            <c:extLst>
              <c:ext xmlns:c16="http://schemas.microsoft.com/office/drawing/2014/chart" uri="{C3380CC4-5D6E-409C-BE32-E72D297353CC}">
                <c16:uniqueId val="{0000022A-4391-4161-9A3A-61B157F79F18}"/>
              </c:ext>
            </c:extLst>
          </c:dPt>
          <c:dPt>
            <c:idx val="15"/>
            <c:invertIfNegative val="0"/>
            <c:bubble3D val="0"/>
            <c:spPr>
              <a:solidFill>
                <a:srgbClr val="FFC222"/>
              </a:solidFill>
              <a:ln w="3175" cmpd="sng">
                <a:noFill/>
                <a:prstDash val="solid"/>
              </a:ln>
            </c:spPr>
            <c:extLst>
              <c:ext xmlns:c16="http://schemas.microsoft.com/office/drawing/2014/chart" uri="{C3380CC4-5D6E-409C-BE32-E72D297353CC}">
                <c16:uniqueId val="{0000022C-4391-4161-9A3A-61B157F79F18}"/>
              </c:ext>
            </c:extLst>
          </c:dPt>
          <c:dPt>
            <c:idx val="16"/>
            <c:invertIfNegative val="0"/>
            <c:bubble3D val="0"/>
            <c:spPr>
              <a:solidFill>
                <a:srgbClr val="FFC222"/>
              </a:solidFill>
              <a:ln w="3175" cmpd="sng">
                <a:noFill/>
                <a:prstDash val="solid"/>
              </a:ln>
            </c:spPr>
            <c:extLst>
              <c:ext xmlns:c16="http://schemas.microsoft.com/office/drawing/2014/chart" uri="{C3380CC4-5D6E-409C-BE32-E72D297353CC}">
                <c16:uniqueId val="{0000022E-4391-4161-9A3A-61B157F79F18}"/>
              </c:ext>
            </c:extLst>
          </c:dPt>
          <c:dPt>
            <c:idx val="17"/>
            <c:invertIfNegative val="0"/>
            <c:bubble3D val="0"/>
            <c:spPr>
              <a:solidFill>
                <a:srgbClr val="FFC222"/>
              </a:solidFill>
              <a:ln w="3175" cmpd="sng">
                <a:noFill/>
                <a:prstDash val="solid"/>
              </a:ln>
            </c:spPr>
            <c:extLst>
              <c:ext xmlns:c16="http://schemas.microsoft.com/office/drawing/2014/chart" uri="{C3380CC4-5D6E-409C-BE32-E72D297353CC}">
                <c16:uniqueId val="{00000230-4391-4161-9A3A-61B157F79F18}"/>
              </c:ext>
            </c:extLst>
          </c:dPt>
          <c:dPt>
            <c:idx val="18"/>
            <c:invertIfNegative val="0"/>
            <c:bubble3D val="0"/>
            <c:spPr>
              <a:solidFill>
                <a:srgbClr val="FFC222"/>
              </a:solidFill>
              <a:ln w="3175" cmpd="sng">
                <a:noFill/>
                <a:prstDash val="solid"/>
              </a:ln>
            </c:spPr>
            <c:extLst>
              <c:ext xmlns:c16="http://schemas.microsoft.com/office/drawing/2014/chart" uri="{C3380CC4-5D6E-409C-BE32-E72D297353CC}">
                <c16:uniqueId val="{00000232-4391-4161-9A3A-61B157F79F18}"/>
              </c:ext>
            </c:extLst>
          </c:dPt>
          <c:dPt>
            <c:idx val="19"/>
            <c:invertIfNegative val="0"/>
            <c:bubble3D val="0"/>
            <c:spPr>
              <a:solidFill>
                <a:srgbClr val="FFC222"/>
              </a:solidFill>
              <a:ln w="3175" cmpd="sng">
                <a:noFill/>
                <a:prstDash val="solid"/>
              </a:ln>
            </c:spPr>
            <c:extLst>
              <c:ext xmlns:c16="http://schemas.microsoft.com/office/drawing/2014/chart" uri="{C3380CC4-5D6E-409C-BE32-E72D297353CC}">
                <c16:uniqueId val="{00000234-4391-4161-9A3A-61B157F79F18}"/>
              </c:ext>
            </c:extLst>
          </c:dPt>
          <c:dPt>
            <c:idx val="20"/>
            <c:invertIfNegative val="0"/>
            <c:bubble3D val="0"/>
            <c:spPr>
              <a:solidFill>
                <a:srgbClr val="FFC222"/>
              </a:solidFill>
              <a:ln w="3175" cmpd="sng">
                <a:noFill/>
                <a:prstDash val="solid"/>
              </a:ln>
            </c:spPr>
            <c:extLst>
              <c:ext xmlns:c16="http://schemas.microsoft.com/office/drawing/2014/chart" uri="{C3380CC4-5D6E-409C-BE32-E72D297353CC}">
                <c16:uniqueId val="{00000236-4391-4161-9A3A-61B157F79F18}"/>
              </c:ext>
            </c:extLst>
          </c:dPt>
          <c:dPt>
            <c:idx val="21"/>
            <c:invertIfNegative val="0"/>
            <c:bubble3D val="0"/>
            <c:spPr>
              <a:solidFill>
                <a:srgbClr val="FFC222"/>
              </a:solidFill>
              <a:ln w="3175" cmpd="sng">
                <a:noFill/>
                <a:prstDash val="solid"/>
              </a:ln>
            </c:spPr>
            <c:extLst>
              <c:ext xmlns:c16="http://schemas.microsoft.com/office/drawing/2014/chart" uri="{C3380CC4-5D6E-409C-BE32-E72D297353CC}">
                <c16:uniqueId val="{00000238-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Data'!$B$9:$W$9</c:f>
              <c:numCache>
                <c:formatCode>#,##0_ ;\-#,##0\ </c:formatCode>
                <c:ptCount val="22"/>
                <c:pt idx="0">
                  <c:v>0</c:v>
                </c:pt>
                <c:pt idx="1">
                  <c:v>200</c:v>
                </c:pt>
                <c:pt idx="2">
                  <c:v>200</c:v>
                </c:pt>
                <c:pt idx="3">
                  <c:v>296</c:v>
                </c:pt>
                <c:pt idx="4">
                  <c:v>456</c:v>
                </c:pt>
                <c:pt idx="5">
                  <c:v>1040</c:v>
                </c:pt>
                <c:pt idx="6">
                  <c:v>1200</c:v>
                </c:pt>
                <c:pt idx="7">
                  <c:v>1778</c:v>
                </c:pt>
                <c:pt idx="8">
                  <c:v>2515</c:v>
                </c:pt>
                <c:pt idx="9">
                  <c:v>3131</c:v>
                </c:pt>
                <c:pt idx="10">
                  <c:v>3637</c:v>
                </c:pt>
                <c:pt idx="11">
                  <c:v>3914</c:v>
                </c:pt>
                <c:pt idx="12">
                  <c:v>3914</c:v>
                </c:pt>
                <c:pt idx="13">
                  <c:v>3914</c:v>
                </c:pt>
                <c:pt idx="14">
                  <c:v>3914</c:v>
                </c:pt>
                <c:pt idx="15">
                  <c:v>3914</c:v>
                </c:pt>
                <c:pt idx="16">
                  <c:v>3914</c:v>
                </c:pt>
                <c:pt idx="17">
                  <c:v>5012</c:v>
                </c:pt>
                <c:pt idx="18">
                  <c:v>5212</c:v>
                </c:pt>
                <c:pt idx="19">
                  <c:v>5212</c:v>
                </c:pt>
                <c:pt idx="20">
                  <c:v>5212</c:v>
                </c:pt>
                <c:pt idx="21">
                  <c:v>5212</c:v>
                </c:pt>
              </c:numCache>
            </c:numRef>
          </c:val>
          <c:extLst>
            <c:ext xmlns:c16="http://schemas.microsoft.com/office/drawing/2014/chart" uri="{C3380CC4-5D6E-409C-BE32-E72D297353CC}">
              <c16:uniqueId val="{00000239-4391-4161-9A3A-61B157F79F18}"/>
            </c:ext>
          </c:extLst>
        </c:ser>
        <c:ser>
          <c:idx val="9"/>
          <c:order val="8"/>
          <c:tx>
            <c:strRef>
              <c:f>'NewAndRetiredCapacity Data'!$A$10</c:f>
              <c:strCache>
                <c:ptCount val="1"/>
                <c:pt idx="0">
                  <c:v>Utility storage</c:v>
                </c:pt>
              </c:strCache>
            </c:strRef>
          </c:tx>
          <c:spPr>
            <a:solidFill>
              <a:srgbClr val="842593"/>
            </a:solidFill>
            <a:ln>
              <a:noFill/>
            </a:ln>
            <a:effectLst/>
          </c:spPr>
          <c:invertIfNegative val="0"/>
          <c:dPt>
            <c:idx val="0"/>
            <c:invertIfNegative val="0"/>
            <c:bubble3D val="0"/>
            <c:extLst>
              <c:ext xmlns:c16="http://schemas.microsoft.com/office/drawing/2014/chart" uri="{C3380CC4-5D6E-409C-BE32-E72D297353CC}">
                <c16:uniqueId val="{0000023B-4391-4161-9A3A-61B157F79F18}"/>
              </c:ext>
            </c:extLst>
          </c:dPt>
          <c:dPt>
            <c:idx val="1"/>
            <c:invertIfNegative val="0"/>
            <c:bubble3D val="0"/>
            <c:extLst>
              <c:ext xmlns:c16="http://schemas.microsoft.com/office/drawing/2014/chart" uri="{C3380CC4-5D6E-409C-BE32-E72D297353CC}">
                <c16:uniqueId val="{0000023C-4391-4161-9A3A-61B157F79F18}"/>
              </c:ext>
            </c:extLst>
          </c:dPt>
          <c:dPt>
            <c:idx val="2"/>
            <c:invertIfNegative val="0"/>
            <c:bubble3D val="0"/>
            <c:extLst>
              <c:ext xmlns:c16="http://schemas.microsoft.com/office/drawing/2014/chart" uri="{C3380CC4-5D6E-409C-BE32-E72D297353CC}">
                <c16:uniqueId val="{0000023D-4391-4161-9A3A-61B157F79F18}"/>
              </c:ext>
            </c:extLst>
          </c:dPt>
          <c:dPt>
            <c:idx val="3"/>
            <c:invertIfNegative val="0"/>
            <c:bubble3D val="0"/>
            <c:extLst>
              <c:ext xmlns:c16="http://schemas.microsoft.com/office/drawing/2014/chart" uri="{C3380CC4-5D6E-409C-BE32-E72D297353CC}">
                <c16:uniqueId val="{0000023E-4391-4161-9A3A-61B157F79F18}"/>
              </c:ext>
            </c:extLst>
          </c:dPt>
          <c:dPt>
            <c:idx val="4"/>
            <c:invertIfNegative val="0"/>
            <c:bubble3D val="0"/>
            <c:extLst>
              <c:ext xmlns:c16="http://schemas.microsoft.com/office/drawing/2014/chart" uri="{C3380CC4-5D6E-409C-BE32-E72D297353CC}">
                <c16:uniqueId val="{0000023F-4391-4161-9A3A-61B157F79F18}"/>
              </c:ext>
            </c:extLst>
          </c:dPt>
          <c:dPt>
            <c:idx val="5"/>
            <c:invertIfNegative val="0"/>
            <c:bubble3D val="0"/>
            <c:extLst>
              <c:ext xmlns:c16="http://schemas.microsoft.com/office/drawing/2014/chart" uri="{C3380CC4-5D6E-409C-BE32-E72D297353CC}">
                <c16:uniqueId val="{00000240-4391-4161-9A3A-61B157F79F18}"/>
              </c:ext>
            </c:extLst>
          </c:dPt>
          <c:dPt>
            <c:idx val="6"/>
            <c:invertIfNegative val="0"/>
            <c:bubble3D val="0"/>
            <c:extLst>
              <c:ext xmlns:c16="http://schemas.microsoft.com/office/drawing/2014/chart" uri="{C3380CC4-5D6E-409C-BE32-E72D297353CC}">
                <c16:uniqueId val="{00000241-4391-4161-9A3A-61B157F79F18}"/>
              </c:ext>
            </c:extLst>
          </c:dPt>
          <c:dPt>
            <c:idx val="7"/>
            <c:invertIfNegative val="0"/>
            <c:bubble3D val="0"/>
            <c:extLst>
              <c:ext xmlns:c16="http://schemas.microsoft.com/office/drawing/2014/chart" uri="{C3380CC4-5D6E-409C-BE32-E72D297353CC}">
                <c16:uniqueId val="{00000242-4391-4161-9A3A-61B157F79F18}"/>
              </c:ext>
            </c:extLst>
          </c:dPt>
          <c:dPt>
            <c:idx val="8"/>
            <c:invertIfNegative val="0"/>
            <c:bubble3D val="0"/>
            <c:extLst>
              <c:ext xmlns:c16="http://schemas.microsoft.com/office/drawing/2014/chart" uri="{C3380CC4-5D6E-409C-BE32-E72D297353CC}">
                <c16:uniqueId val="{00000243-4391-4161-9A3A-61B157F79F18}"/>
              </c:ext>
            </c:extLst>
          </c:dPt>
          <c:dPt>
            <c:idx val="9"/>
            <c:invertIfNegative val="0"/>
            <c:bubble3D val="0"/>
            <c:extLst>
              <c:ext xmlns:c16="http://schemas.microsoft.com/office/drawing/2014/chart" uri="{C3380CC4-5D6E-409C-BE32-E72D297353CC}">
                <c16:uniqueId val="{00000244-4391-4161-9A3A-61B157F79F18}"/>
              </c:ext>
            </c:extLst>
          </c:dPt>
          <c:dPt>
            <c:idx val="10"/>
            <c:invertIfNegative val="0"/>
            <c:bubble3D val="0"/>
            <c:extLst>
              <c:ext xmlns:c16="http://schemas.microsoft.com/office/drawing/2014/chart" uri="{C3380CC4-5D6E-409C-BE32-E72D297353CC}">
                <c16:uniqueId val="{00000245-4391-4161-9A3A-61B157F79F18}"/>
              </c:ext>
            </c:extLst>
          </c:dPt>
          <c:dPt>
            <c:idx val="11"/>
            <c:invertIfNegative val="0"/>
            <c:bubble3D val="0"/>
            <c:extLst>
              <c:ext xmlns:c16="http://schemas.microsoft.com/office/drawing/2014/chart" uri="{C3380CC4-5D6E-409C-BE32-E72D297353CC}">
                <c16:uniqueId val="{00000246-4391-4161-9A3A-61B157F79F18}"/>
              </c:ext>
            </c:extLst>
          </c:dPt>
          <c:dPt>
            <c:idx val="12"/>
            <c:invertIfNegative val="0"/>
            <c:bubble3D val="0"/>
            <c:extLst>
              <c:ext xmlns:c16="http://schemas.microsoft.com/office/drawing/2014/chart" uri="{C3380CC4-5D6E-409C-BE32-E72D297353CC}">
                <c16:uniqueId val="{00000247-4391-4161-9A3A-61B157F79F18}"/>
              </c:ext>
            </c:extLst>
          </c:dPt>
          <c:dPt>
            <c:idx val="13"/>
            <c:invertIfNegative val="0"/>
            <c:bubble3D val="0"/>
            <c:extLst>
              <c:ext xmlns:c16="http://schemas.microsoft.com/office/drawing/2014/chart" uri="{C3380CC4-5D6E-409C-BE32-E72D297353CC}">
                <c16:uniqueId val="{00000248-4391-4161-9A3A-61B157F79F18}"/>
              </c:ext>
            </c:extLst>
          </c:dPt>
          <c:dPt>
            <c:idx val="14"/>
            <c:invertIfNegative val="0"/>
            <c:bubble3D val="0"/>
            <c:extLst>
              <c:ext xmlns:c16="http://schemas.microsoft.com/office/drawing/2014/chart" uri="{C3380CC4-5D6E-409C-BE32-E72D297353CC}">
                <c16:uniqueId val="{00000249-4391-4161-9A3A-61B157F79F18}"/>
              </c:ext>
            </c:extLst>
          </c:dPt>
          <c:dPt>
            <c:idx val="15"/>
            <c:invertIfNegative val="0"/>
            <c:bubble3D val="0"/>
            <c:extLst>
              <c:ext xmlns:c16="http://schemas.microsoft.com/office/drawing/2014/chart" uri="{C3380CC4-5D6E-409C-BE32-E72D297353CC}">
                <c16:uniqueId val="{0000024A-4391-4161-9A3A-61B157F79F18}"/>
              </c:ext>
            </c:extLst>
          </c:dPt>
          <c:dPt>
            <c:idx val="16"/>
            <c:invertIfNegative val="0"/>
            <c:bubble3D val="0"/>
            <c:extLst>
              <c:ext xmlns:c16="http://schemas.microsoft.com/office/drawing/2014/chart" uri="{C3380CC4-5D6E-409C-BE32-E72D297353CC}">
                <c16:uniqueId val="{0000024B-4391-4161-9A3A-61B157F79F18}"/>
              </c:ext>
            </c:extLst>
          </c:dPt>
          <c:dPt>
            <c:idx val="17"/>
            <c:invertIfNegative val="0"/>
            <c:bubble3D val="0"/>
            <c:extLst>
              <c:ext xmlns:c16="http://schemas.microsoft.com/office/drawing/2014/chart" uri="{C3380CC4-5D6E-409C-BE32-E72D297353CC}">
                <c16:uniqueId val="{0000024C-4391-4161-9A3A-61B157F79F18}"/>
              </c:ext>
            </c:extLst>
          </c:dPt>
          <c:dPt>
            <c:idx val="18"/>
            <c:invertIfNegative val="0"/>
            <c:bubble3D val="0"/>
            <c:extLst>
              <c:ext xmlns:c16="http://schemas.microsoft.com/office/drawing/2014/chart" uri="{C3380CC4-5D6E-409C-BE32-E72D297353CC}">
                <c16:uniqueId val="{0000024D-4391-4161-9A3A-61B157F79F18}"/>
              </c:ext>
            </c:extLst>
          </c:dPt>
          <c:dPt>
            <c:idx val="19"/>
            <c:invertIfNegative val="0"/>
            <c:bubble3D val="0"/>
            <c:extLst>
              <c:ext xmlns:c16="http://schemas.microsoft.com/office/drawing/2014/chart" uri="{C3380CC4-5D6E-409C-BE32-E72D297353CC}">
                <c16:uniqueId val="{0000024E-4391-4161-9A3A-61B157F79F18}"/>
              </c:ext>
            </c:extLst>
          </c:dPt>
          <c:dPt>
            <c:idx val="20"/>
            <c:invertIfNegative val="0"/>
            <c:bubble3D val="0"/>
            <c:extLst>
              <c:ext xmlns:c16="http://schemas.microsoft.com/office/drawing/2014/chart" uri="{C3380CC4-5D6E-409C-BE32-E72D297353CC}">
                <c16:uniqueId val="{0000024F-4391-4161-9A3A-61B157F79F18}"/>
              </c:ext>
            </c:extLst>
          </c:dPt>
          <c:dPt>
            <c:idx val="21"/>
            <c:invertIfNegative val="0"/>
            <c:bubble3D val="0"/>
            <c:extLst>
              <c:ext xmlns:c16="http://schemas.microsoft.com/office/drawing/2014/chart" uri="{C3380CC4-5D6E-409C-BE32-E72D297353CC}">
                <c16:uniqueId val="{00000250-4391-4161-9A3A-61B157F79F18}"/>
              </c:ext>
            </c:extLst>
          </c:dPt>
          <c:dPt>
            <c:idx val="22"/>
            <c:invertIfNegative val="0"/>
            <c:bubble3D val="0"/>
            <c:extLst>
              <c:ext xmlns:c16="http://schemas.microsoft.com/office/drawing/2014/chart" uri="{C3380CC4-5D6E-409C-BE32-E72D297353CC}">
                <c16:uniqueId val="{00000251-4391-4161-9A3A-61B157F79F18}"/>
              </c:ext>
            </c:extLst>
          </c:dPt>
          <c:dPt>
            <c:idx val="23"/>
            <c:invertIfNegative val="0"/>
            <c:bubble3D val="0"/>
            <c:extLst>
              <c:ext xmlns:c16="http://schemas.microsoft.com/office/drawing/2014/chart" uri="{C3380CC4-5D6E-409C-BE32-E72D297353CC}">
                <c16:uniqueId val="{00000252-4391-4161-9A3A-61B157F79F18}"/>
              </c:ext>
            </c:extLst>
          </c:dPt>
          <c:dPt>
            <c:idx val="24"/>
            <c:invertIfNegative val="0"/>
            <c:bubble3D val="0"/>
            <c:extLst>
              <c:ext xmlns:c16="http://schemas.microsoft.com/office/drawing/2014/chart" uri="{C3380CC4-5D6E-409C-BE32-E72D297353CC}">
                <c16:uniqueId val="{00000253-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Data'!$B$10:$W$10</c:f>
              <c:numCache>
                <c:formatCode>#,##0_ ;\-#,##0\ </c:formatCode>
                <c:ptCount val="22"/>
                <c:pt idx="0">
                  <c:v>0</c:v>
                </c:pt>
                <c:pt idx="1">
                  <c:v>20</c:v>
                </c:pt>
                <c:pt idx="2">
                  <c:v>120</c:v>
                </c:pt>
                <c:pt idx="3">
                  <c:v>120</c:v>
                </c:pt>
                <c:pt idx="4">
                  <c:v>120</c:v>
                </c:pt>
                <c:pt idx="5">
                  <c:v>120</c:v>
                </c:pt>
                <c:pt idx="6">
                  <c:v>120</c:v>
                </c:pt>
                <c:pt idx="7">
                  <c:v>120</c:v>
                </c:pt>
                <c:pt idx="8">
                  <c:v>120</c:v>
                </c:pt>
                <c:pt idx="9">
                  <c:v>120</c:v>
                </c:pt>
                <c:pt idx="10">
                  <c:v>120</c:v>
                </c:pt>
                <c:pt idx="11">
                  <c:v>120</c:v>
                </c:pt>
                <c:pt idx="12">
                  <c:v>120</c:v>
                </c:pt>
                <c:pt idx="13">
                  <c:v>120</c:v>
                </c:pt>
                <c:pt idx="14">
                  <c:v>120</c:v>
                </c:pt>
                <c:pt idx="15">
                  <c:v>120</c:v>
                </c:pt>
                <c:pt idx="16">
                  <c:v>120</c:v>
                </c:pt>
                <c:pt idx="17">
                  <c:v>2155</c:v>
                </c:pt>
                <c:pt idx="18">
                  <c:v>2817</c:v>
                </c:pt>
                <c:pt idx="19">
                  <c:v>2817</c:v>
                </c:pt>
                <c:pt idx="20">
                  <c:v>3215</c:v>
                </c:pt>
                <c:pt idx="21">
                  <c:v>3215</c:v>
                </c:pt>
              </c:numCache>
            </c:numRef>
          </c:val>
          <c:extLst>
            <c:ext xmlns:c16="http://schemas.microsoft.com/office/drawing/2014/chart" uri="{C3380CC4-5D6E-409C-BE32-E72D297353CC}">
              <c16:uniqueId val="{00000254-4391-4161-9A3A-61B157F79F18}"/>
            </c:ext>
          </c:extLst>
        </c:ser>
        <c:ser>
          <c:idx val="6"/>
          <c:order val="9"/>
          <c:tx>
            <c:strRef>
              <c:f>'NewAndRetiredCapacity Data'!$A$12</c:f>
              <c:strCache>
                <c:ptCount val="1"/>
                <c:pt idx="0">
                  <c:v>Distributed storage</c:v>
                </c:pt>
              </c:strCache>
            </c:strRef>
          </c:tx>
          <c:spPr>
            <a:solidFill>
              <a:srgbClr val="92D050"/>
            </a:solidFill>
            <a:ln>
              <a:noFill/>
            </a:ln>
            <a:effectLst/>
          </c:spPr>
          <c:invertIfNegative val="0"/>
          <c:dPt>
            <c:idx val="0"/>
            <c:invertIfNegative val="0"/>
            <c:bubble3D val="0"/>
            <c:extLst>
              <c:ext xmlns:c16="http://schemas.microsoft.com/office/drawing/2014/chart" uri="{C3380CC4-5D6E-409C-BE32-E72D297353CC}">
                <c16:uniqueId val="{00000256-4391-4161-9A3A-61B157F79F18}"/>
              </c:ext>
            </c:extLst>
          </c:dPt>
          <c:dPt>
            <c:idx val="1"/>
            <c:invertIfNegative val="0"/>
            <c:bubble3D val="0"/>
            <c:extLst>
              <c:ext xmlns:c16="http://schemas.microsoft.com/office/drawing/2014/chart" uri="{C3380CC4-5D6E-409C-BE32-E72D297353CC}">
                <c16:uniqueId val="{00000257-4391-4161-9A3A-61B157F79F18}"/>
              </c:ext>
            </c:extLst>
          </c:dPt>
          <c:dPt>
            <c:idx val="2"/>
            <c:invertIfNegative val="0"/>
            <c:bubble3D val="0"/>
            <c:extLst>
              <c:ext xmlns:c16="http://schemas.microsoft.com/office/drawing/2014/chart" uri="{C3380CC4-5D6E-409C-BE32-E72D297353CC}">
                <c16:uniqueId val="{00000258-4391-4161-9A3A-61B157F79F18}"/>
              </c:ext>
            </c:extLst>
          </c:dPt>
          <c:dPt>
            <c:idx val="3"/>
            <c:invertIfNegative val="0"/>
            <c:bubble3D val="0"/>
            <c:extLst>
              <c:ext xmlns:c16="http://schemas.microsoft.com/office/drawing/2014/chart" uri="{C3380CC4-5D6E-409C-BE32-E72D297353CC}">
                <c16:uniqueId val="{00000259-4391-4161-9A3A-61B157F79F18}"/>
              </c:ext>
            </c:extLst>
          </c:dPt>
          <c:dPt>
            <c:idx val="4"/>
            <c:invertIfNegative val="0"/>
            <c:bubble3D val="0"/>
            <c:extLst>
              <c:ext xmlns:c16="http://schemas.microsoft.com/office/drawing/2014/chart" uri="{C3380CC4-5D6E-409C-BE32-E72D297353CC}">
                <c16:uniqueId val="{0000025A-4391-4161-9A3A-61B157F79F18}"/>
              </c:ext>
            </c:extLst>
          </c:dPt>
          <c:dPt>
            <c:idx val="5"/>
            <c:invertIfNegative val="0"/>
            <c:bubble3D val="0"/>
            <c:extLst>
              <c:ext xmlns:c16="http://schemas.microsoft.com/office/drawing/2014/chart" uri="{C3380CC4-5D6E-409C-BE32-E72D297353CC}">
                <c16:uniqueId val="{0000025B-4391-4161-9A3A-61B157F79F18}"/>
              </c:ext>
            </c:extLst>
          </c:dPt>
          <c:dPt>
            <c:idx val="6"/>
            <c:invertIfNegative val="0"/>
            <c:bubble3D val="0"/>
            <c:extLst>
              <c:ext xmlns:c16="http://schemas.microsoft.com/office/drawing/2014/chart" uri="{C3380CC4-5D6E-409C-BE32-E72D297353CC}">
                <c16:uniqueId val="{0000025C-4391-4161-9A3A-61B157F79F18}"/>
              </c:ext>
            </c:extLst>
          </c:dPt>
          <c:dPt>
            <c:idx val="7"/>
            <c:invertIfNegative val="0"/>
            <c:bubble3D val="0"/>
            <c:extLst>
              <c:ext xmlns:c16="http://schemas.microsoft.com/office/drawing/2014/chart" uri="{C3380CC4-5D6E-409C-BE32-E72D297353CC}">
                <c16:uniqueId val="{0000025D-4391-4161-9A3A-61B157F79F18}"/>
              </c:ext>
            </c:extLst>
          </c:dPt>
          <c:dPt>
            <c:idx val="8"/>
            <c:invertIfNegative val="0"/>
            <c:bubble3D val="0"/>
            <c:extLst>
              <c:ext xmlns:c16="http://schemas.microsoft.com/office/drawing/2014/chart" uri="{C3380CC4-5D6E-409C-BE32-E72D297353CC}">
                <c16:uniqueId val="{0000025E-4391-4161-9A3A-61B157F79F18}"/>
              </c:ext>
            </c:extLst>
          </c:dPt>
          <c:dPt>
            <c:idx val="9"/>
            <c:invertIfNegative val="0"/>
            <c:bubble3D val="0"/>
            <c:extLst>
              <c:ext xmlns:c16="http://schemas.microsoft.com/office/drawing/2014/chart" uri="{C3380CC4-5D6E-409C-BE32-E72D297353CC}">
                <c16:uniqueId val="{0000025F-4391-4161-9A3A-61B157F79F18}"/>
              </c:ext>
            </c:extLst>
          </c:dPt>
          <c:dPt>
            <c:idx val="10"/>
            <c:invertIfNegative val="0"/>
            <c:bubble3D val="0"/>
            <c:extLst>
              <c:ext xmlns:c16="http://schemas.microsoft.com/office/drawing/2014/chart" uri="{C3380CC4-5D6E-409C-BE32-E72D297353CC}">
                <c16:uniqueId val="{00000260-4391-4161-9A3A-61B157F79F18}"/>
              </c:ext>
            </c:extLst>
          </c:dPt>
          <c:dPt>
            <c:idx val="11"/>
            <c:invertIfNegative val="0"/>
            <c:bubble3D val="0"/>
            <c:extLst>
              <c:ext xmlns:c16="http://schemas.microsoft.com/office/drawing/2014/chart" uri="{C3380CC4-5D6E-409C-BE32-E72D297353CC}">
                <c16:uniqueId val="{00000261-4391-4161-9A3A-61B157F79F18}"/>
              </c:ext>
            </c:extLst>
          </c:dPt>
          <c:dPt>
            <c:idx val="12"/>
            <c:invertIfNegative val="0"/>
            <c:bubble3D val="0"/>
            <c:extLst>
              <c:ext xmlns:c16="http://schemas.microsoft.com/office/drawing/2014/chart" uri="{C3380CC4-5D6E-409C-BE32-E72D297353CC}">
                <c16:uniqueId val="{00000262-4391-4161-9A3A-61B157F79F18}"/>
              </c:ext>
            </c:extLst>
          </c:dPt>
          <c:dPt>
            <c:idx val="13"/>
            <c:invertIfNegative val="0"/>
            <c:bubble3D val="0"/>
            <c:extLst>
              <c:ext xmlns:c16="http://schemas.microsoft.com/office/drawing/2014/chart" uri="{C3380CC4-5D6E-409C-BE32-E72D297353CC}">
                <c16:uniqueId val="{00000263-4391-4161-9A3A-61B157F79F18}"/>
              </c:ext>
            </c:extLst>
          </c:dPt>
          <c:dPt>
            <c:idx val="14"/>
            <c:invertIfNegative val="0"/>
            <c:bubble3D val="0"/>
            <c:extLst>
              <c:ext xmlns:c16="http://schemas.microsoft.com/office/drawing/2014/chart" uri="{C3380CC4-5D6E-409C-BE32-E72D297353CC}">
                <c16:uniqueId val="{00000264-4391-4161-9A3A-61B157F79F18}"/>
              </c:ext>
            </c:extLst>
          </c:dPt>
          <c:dPt>
            <c:idx val="15"/>
            <c:invertIfNegative val="0"/>
            <c:bubble3D val="0"/>
            <c:extLst>
              <c:ext xmlns:c16="http://schemas.microsoft.com/office/drawing/2014/chart" uri="{C3380CC4-5D6E-409C-BE32-E72D297353CC}">
                <c16:uniqueId val="{00000265-4391-4161-9A3A-61B157F79F18}"/>
              </c:ext>
            </c:extLst>
          </c:dPt>
          <c:dPt>
            <c:idx val="16"/>
            <c:invertIfNegative val="0"/>
            <c:bubble3D val="0"/>
            <c:extLst>
              <c:ext xmlns:c16="http://schemas.microsoft.com/office/drawing/2014/chart" uri="{C3380CC4-5D6E-409C-BE32-E72D297353CC}">
                <c16:uniqueId val="{00000266-4391-4161-9A3A-61B157F79F18}"/>
              </c:ext>
            </c:extLst>
          </c:dPt>
          <c:dPt>
            <c:idx val="17"/>
            <c:invertIfNegative val="0"/>
            <c:bubble3D val="0"/>
            <c:extLst>
              <c:ext xmlns:c16="http://schemas.microsoft.com/office/drawing/2014/chart" uri="{C3380CC4-5D6E-409C-BE32-E72D297353CC}">
                <c16:uniqueId val="{00000267-4391-4161-9A3A-61B157F79F18}"/>
              </c:ext>
            </c:extLst>
          </c:dPt>
          <c:dPt>
            <c:idx val="18"/>
            <c:invertIfNegative val="0"/>
            <c:bubble3D val="0"/>
            <c:extLst>
              <c:ext xmlns:c16="http://schemas.microsoft.com/office/drawing/2014/chart" uri="{C3380CC4-5D6E-409C-BE32-E72D297353CC}">
                <c16:uniqueId val="{00000268-4391-4161-9A3A-61B157F79F18}"/>
              </c:ext>
            </c:extLst>
          </c:dPt>
          <c:dPt>
            <c:idx val="19"/>
            <c:invertIfNegative val="0"/>
            <c:bubble3D val="0"/>
            <c:extLst>
              <c:ext xmlns:c16="http://schemas.microsoft.com/office/drawing/2014/chart" uri="{C3380CC4-5D6E-409C-BE32-E72D297353CC}">
                <c16:uniqueId val="{00000269-4391-4161-9A3A-61B157F79F18}"/>
              </c:ext>
            </c:extLst>
          </c:dPt>
          <c:dPt>
            <c:idx val="20"/>
            <c:invertIfNegative val="0"/>
            <c:bubble3D val="0"/>
            <c:extLst>
              <c:ext xmlns:c16="http://schemas.microsoft.com/office/drawing/2014/chart" uri="{C3380CC4-5D6E-409C-BE32-E72D297353CC}">
                <c16:uniqueId val="{0000026A-4391-4161-9A3A-61B157F79F18}"/>
              </c:ext>
            </c:extLst>
          </c:dPt>
          <c:dPt>
            <c:idx val="21"/>
            <c:invertIfNegative val="0"/>
            <c:bubble3D val="0"/>
            <c:extLst>
              <c:ext xmlns:c16="http://schemas.microsoft.com/office/drawing/2014/chart" uri="{C3380CC4-5D6E-409C-BE32-E72D297353CC}">
                <c16:uniqueId val="{0000026B-4391-4161-9A3A-61B157F79F18}"/>
              </c:ext>
            </c:extLst>
          </c:dPt>
          <c:dPt>
            <c:idx val="22"/>
            <c:invertIfNegative val="0"/>
            <c:bubble3D val="0"/>
            <c:extLst>
              <c:ext xmlns:c16="http://schemas.microsoft.com/office/drawing/2014/chart" uri="{C3380CC4-5D6E-409C-BE32-E72D297353CC}">
                <c16:uniqueId val="{0000026C-4391-4161-9A3A-61B157F79F18}"/>
              </c:ext>
            </c:extLst>
          </c:dPt>
          <c:dPt>
            <c:idx val="23"/>
            <c:invertIfNegative val="0"/>
            <c:bubble3D val="0"/>
            <c:extLst>
              <c:ext xmlns:c16="http://schemas.microsoft.com/office/drawing/2014/chart" uri="{C3380CC4-5D6E-409C-BE32-E72D297353CC}">
                <c16:uniqueId val="{0000026D-4391-4161-9A3A-61B157F79F18}"/>
              </c:ext>
            </c:extLst>
          </c:dPt>
          <c:dPt>
            <c:idx val="24"/>
            <c:invertIfNegative val="0"/>
            <c:bubble3D val="0"/>
            <c:extLst>
              <c:ext xmlns:c16="http://schemas.microsoft.com/office/drawing/2014/chart" uri="{C3380CC4-5D6E-409C-BE32-E72D297353CC}">
                <c16:uniqueId val="{0000026E-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Data'!$B$12:$W$12</c:f>
              <c:numCache>
                <c:formatCode>#,##0_ ;\-#,##0\ </c:formatCode>
                <c:ptCount val="22"/>
                <c:pt idx="0">
                  <c:v>0</c:v>
                </c:pt>
                <c:pt idx="1">
                  <c:v>288.88</c:v>
                </c:pt>
                <c:pt idx="2">
                  <c:v>665.11</c:v>
                </c:pt>
                <c:pt idx="3">
                  <c:v>1011.3399999999999</c:v>
                </c:pt>
                <c:pt idx="4">
                  <c:v>1343.9</c:v>
                </c:pt>
                <c:pt idx="5">
                  <c:v>1663.06</c:v>
                </c:pt>
                <c:pt idx="6">
                  <c:v>1976.1000000000001</c:v>
                </c:pt>
                <c:pt idx="7">
                  <c:v>2275.6899999999996</c:v>
                </c:pt>
                <c:pt idx="8">
                  <c:v>2568.8599999999997</c:v>
                </c:pt>
                <c:pt idx="9">
                  <c:v>2854.41</c:v>
                </c:pt>
                <c:pt idx="10">
                  <c:v>3133.92</c:v>
                </c:pt>
                <c:pt idx="11">
                  <c:v>3411.12</c:v>
                </c:pt>
                <c:pt idx="12">
                  <c:v>3667.8199999999997</c:v>
                </c:pt>
                <c:pt idx="13">
                  <c:v>3900.08</c:v>
                </c:pt>
                <c:pt idx="14">
                  <c:v>4123.63</c:v>
                </c:pt>
                <c:pt idx="15">
                  <c:v>4339.12</c:v>
                </c:pt>
                <c:pt idx="16">
                  <c:v>4548.2699999999995</c:v>
                </c:pt>
                <c:pt idx="17">
                  <c:v>4753.29</c:v>
                </c:pt>
                <c:pt idx="18">
                  <c:v>4949.6899999999996</c:v>
                </c:pt>
                <c:pt idx="19">
                  <c:v>5139.84</c:v>
                </c:pt>
                <c:pt idx="20">
                  <c:v>5280.4</c:v>
                </c:pt>
                <c:pt idx="21">
                  <c:v>5461.92</c:v>
                </c:pt>
              </c:numCache>
            </c:numRef>
          </c:val>
          <c:extLst>
            <c:ext xmlns:c16="http://schemas.microsoft.com/office/drawing/2014/chart" uri="{C3380CC4-5D6E-409C-BE32-E72D297353CC}">
              <c16:uniqueId val="{0000026F-4391-4161-9A3A-61B157F79F18}"/>
            </c:ext>
          </c:extLst>
        </c:ser>
        <c:ser>
          <c:idx val="12"/>
          <c:order val="10"/>
          <c:tx>
            <c:strRef>
              <c:f>'NewAndRetiredCapacity Data'!$A$13</c:f>
              <c:strCache>
                <c:ptCount val="1"/>
                <c:pt idx="0">
                  <c:v>Rooftop PV</c:v>
                </c:pt>
              </c:strCache>
            </c:strRef>
          </c:tx>
          <c:spPr>
            <a:solidFill>
              <a:srgbClr val="FFE7A7"/>
            </a:solidFill>
            <a:ln>
              <a:noFill/>
            </a:ln>
          </c:spPr>
          <c:invertIfNegative val="0"/>
          <c:dPt>
            <c:idx val="0"/>
            <c:invertIfNegative val="0"/>
            <c:bubble3D val="0"/>
            <c:spPr>
              <a:solidFill>
                <a:srgbClr val="FFE7A7"/>
              </a:solidFill>
              <a:ln w="3175" cmpd="sng">
                <a:noFill/>
                <a:prstDash val="solid"/>
              </a:ln>
            </c:spPr>
            <c:extLst>
              <c:ext xmlns:c16="http://schemas.microsoft.com/office/drawing/2014/chart" uri="{C3380CC4-5D6E-409C-BE32-E72D297353CC}">
                <c16:uniqueId val="{00000272-4391-4161-9A3A-61B157F79F18}"/>
              </c:ext>
            </c:extLst>
          </c:dPt>
          <c:dPt>
            <c:idx val="1"/>
            <c:invertIfNegative val="0"/>
            <c:bubble3D val="0"/>
            <c:spPr>
              <a:solidFill>
                <a:srgbClr val="FFE7A7"/>
              </a:solidFill>
              <a:ln w="3175" cmpd="sng">
                <a:noFill/>
                <a:prstDash val="solid"/>
              </a:ln>
            </c:spPr>
            <c:extLst>
              <c:ext xmlns:c16="http://schemas.microsoft.com/office/drawing/2014/chart" uri="{C3380CC4-5D6E-409C-BE32-E72D297353CC}">
                <c16:uniqueId val="{00000274-4391-4161-9A3A-61B157F79F18}"/>
              </c:ext>
            </c:extLst>
          </c:dPt>
          <c:dPt>
            <c:idx val="2"/>
            <c:invertIfNegative val="0"/>
            <c:bubble3D val="0"/>
            <c:spPr>
              <a:solidFill>
                <a:srgbClr val="FFE7A7"/>
              </a:solidFill>
              <a:ln w="3175" cmpd="sng">
                <a:noFill/>
                <a:prstDash val="solid"/>
              </a:ln>
            </c:spPr>
            <c:extLst>
              <c:ext xmlns:c16="http://schemas.microsoft.com/office/drawing/2014/chart" uri="{C3380CC4-5D6E-409C-BE32-E72D297353CC}">
                <c16:uniqueId val="{00000276-4391-4161-9A3A-61B157F79F18}"/>
              </c:ext>
            </c:extLst>
          </c:dPt>
          <c:dPt>
            <c:idx val="3"/>
            <c:invertIfNegative val="0"/>
            <c:bubble3D val="0"/>
            <c:spPr>
              <a:solidFill>
                <a:srgbClr val="FFE7A7"/>
              </a:solidFill>
              <a:ln w="3175" cmpd="sng">
                <a:noFill/>
                <a:prstDash val="solid"/>
              </a:ln>
            </c:spPr>
            <c:extLst>
              <c:ext xmlns:c16="http://schemas.microsoft.com/office/drawing/2014/chart" uri="{C3380CC4-5D6E-409C-BE32-E72D297353CC}">
                <c16:uniqueId val="{00000278-4391-4161-9A3A-61B157F79F18}"/>
              </c:ext>
            </c:extLst>
          </c:dPt>
          <c:dPt>
            <c:idx val="4"/>
            <c:invertIfNegative val="0"/>
            <c:bubble3D val="0"/>
            <c:spPr>
              <a:solidFill>
                <a:srgbClr val="FFE7A7"/>
              </a:solidFill>
              <a:ln w="3175" cmpd="sng">
                <a:noFill/>
                <a:prstDash val="solid"/>
              </a:ln>
            </c:spPr>
            <c:extLst>
              <c:ext xmlns:c16="http://schemas.microsoft.com/office/drawing/2014/chart" uri="{C3380CC4-5D6E-409C-BE32-E72D297353CC}">
                <c16:uniqueId val="{0000027A-4391-4161-9A3A-61B157F79F18}"/>
              </c:ext>
            </c:extLst>
          </c:dPt>
          <c:dPt>
            <c:idx val="5"/>
            <c:invertIfNegative val="0"/>
            <c:bubble3D val="0"/>
            <c:spPr>
              <a:solidFill>
                <a:srgbClr val="FFE7A7"/>
              </a:solidFill>
              <a:ln w="3175" cmpd="sng">
                <a:noFill/>
                <a:prstDash val="solid"/>
              </a:ln>
            </c:spPr>
            <c:extLst>
              <c:ext xmlns:c16="http://schemas.microsoft.com/office/drawing/2014/chart" uri="{C3380CC4-5D6E-409C-BE32-E72D297353CC}">
                <c16:uniqueId val="{0000027C-4391-4161-9A3A-61B157F79F18}"/>
              </c:ext>
            </c:extLst>
          </c:dPt>
          <c:dPt>
            <c:idx val="6"/>
            <c:invertIfNegative val="0"/>
            <c:bubble3D val="0"/>
            <c:spPr>
              <a:solidFill>
                <a:srgbClr val="FFE7A7"/>
              </a:solidFill>
              <a:ln w="3175" cmpd="sng">
                <a:noFill/>
                <a:prstDash val="solid"/>
              </a:ln>
            </c:spPr>
            <c:extLst>
              <c:ext xmlns:c16="http://schemas.microsoft.com/office/drawing/2014/chart" uri="{C3380CC4-5D6E-409C-BE32-E72D297353CC}">
                <c16:uniqueId val="{0000027E-4391-4161-9A3A-61B157F79F18}"/>
              </c:ext>
            </c:extLst>
          </c:dPt>
          <c:dPt>
            <c:idx val="7"/>
            <c:invertIfNegative val="0"/>
            <c:bubble3D val="0"/>
            <c:spPr>
              <a:solidFill>
                <a:srgbClr val="FFE7A7"/>
              </a:solidFill>
              <a:ln w="3175" cmpd="sng">
                <a:noFill/>
                <a:prstDash val="solid"/>
              </a:ln>
            </c:spPr>
            <c:extLst>
              <c:ext xmlns:c16="http://schemas.microsoft.com/office/drawing/2014/chart" uri="{C3380CC4-5D6E-409C-BE32-E72D297353CC}">
                <c16:uniqueId val="{00000280-4391-4161-9A3A-61B157F79F18}"/>
              </c:ext>
            </c:extLst>
          </c:dPt>
          <c:dPt>
            <c:idx val="8"/>
            <c:invertIfNegative val="0"/>
            <c:bubble3D val="0"/>
            <c:spPr>
              <a:solidFill>
                <a:srgbClr val="FFE7A7"/>
              </a:solidFill>
              <a:ln w="3175" cmpd="sng">
                <a:noFill/>
                <a:prstDash val="solid"/>
              </a:ln>
            </c:spPr>
            <c:extLst>
              <c:ext xmlns:c16="http://schemas.microsoft.com/office/drawing/2014/chart" uri="{C3380CC4-5D6E-409C-BE32-E72D297353CC}">
                <c16:uniqueId val="{00000282-4391-4161-9A3A-61B157F79F18}"/>
              </c:ext>
            </c:extLst>
          </c:dPt>
          <c:dPt>
            <c:idx val="9"/>
            <c:invertIfNegative val="0"/>
            <c:bubble3D val="0"/>
            <c:spPr>
              <a:solidFill>
                <a:srgbClr val="FFE7A7"/>
              </a:solidFill>
              <a:ln w="3175" cmpd="sng">
                <a:noFill/>
                <a:prstDash val="solid"/>
              </a:ln>
            </c:spPr>
            <c:extLst>
              <c:ext xmlns:c16="http://schemas.microsoft.com/office/drawing/2014/chart" uri="{C3380CC4-5D6E-409C-BE32-E72D297353CC}">
                <c16:uniqueId val="{00000284-4391-4161-9A3A-61B157F79F18}"/>
              </c:ext>
            </c:extLst>
          </c:dPt>
          <c:dPt>
            <c:idx val="10"/>
            <c:invertIfNegative val="0"/>
            <c:bubble3D val="0"/>
            <c:spPr>
              <a:solidFill>
                <a:srgbClr val="FFE7A7"/>
              </a:solidFill>
              <a:ln w="3175" cmpd="sng">
                <a:noFill/>
                <a:prstDash val="solid"/>
              </a:ln>
            </c:spPr>
            <c:extLst>
              <c:ext xmlns:c16="http://schemas.microsoft.com/office/drawing/2014/chart" uri="{C3380CC4-5D6E-409C-BE32-E72D297353CC}">
                <c16:uniqueId val="{00000286-4391-4161-9A3A-61B157F79F18}"/>
              </c:ext>
            </c:extLst>
          </c:dPt>
          <c:dPt>
            <c:idx val="11"/>
            <c:invertIfNegative val="0"/>
            <c:bubble3D val="0"/>
            <c:spPr>
              <a:solidFill>
                <a:srgbClr val="FFE7A7"/>
              </a:solidFill>
              <a:ln w="3175" cmpd="sng">
                <a:noFill/>
                <a:prstDash val="solid"/>
              </a:ln>
            </c:spPr>
            <c:extLst>
              <c:ext xmlns:c16="http://schemas.microsoft.com/office/drawing/2014/chart" uri="{C3380CC4-5D6E-409C-BE32-E72D297353CC}">
                <c16:uniqueId val="{00000288-4391-4161-9A3A-61B157F79F18}"/>
              </c:ext>
            </c:extLst>
          </c:dPt>
          <c:dPt>
            <c:idx val="12"/>
            <c:invertIfNegative val="0"/>
            <c:bubble3D val="0"/>
            <c:spPr>
              <a:solidFill>
                <a:srgbClr val="FFE7A7"/>
              </a:solidFill>
              <a:ln w="3175" cmpd="sng">
                <a:noFill/>
                <a:prstDash val="solid"/>
              </a:ln>
            </c:spPr>
            <c:extLst>
              <c:ext xmlns:c16="http://schemas.microsoft.com/office/drawing/2014/chart" uri="{C3380CC4-5D6E-409C-BE32-E72D297353CC}">
                <c16:uniqueId val="{0000028A-4391-4161-9A3A-61B157F79F18}"/>
              </c:ext>
            </c:extLst>
          </c:dPt>
          <c:dPt>
            <c:idx val="13"/>
            <c:invertIfNegative val="0"/>
            <c:bubble3D val="0"/>
            <c:spPr>
              <a:solidFill>
                <a:srgbClr val="FFE7A7"/>
              </a:solidFill>
              <a:ln w="3175" cmpd="sng">
                <a:noFill/>
                <a:prstDash val="solid"/>
              </a:ln>
            </c:spPr>
            <c:extLst>
              <c:ext xmlns:c16="http://schemas.microsoft.com/office/drawing/2014/chart" uri="{C3380CC4-5D6E-409C-BE32-E72D297353CC}">
                <c16:uniqueId val="{0000028C-4391-4161-9A3A-61B157F79F18}"/>
              </c:ext>
            </c:extLst>
          </c:dPt>
          <c:dPt>
            <c:idx val="14"/>
            <c:invertIfNegative val="0"/>
            <c:bubble3D val="0"/>
            <c:spPr>
              <a:solidFill>
                <a:srgbClr val="FFE7A7"/>
              </a:solidFill>
              <a:ln w="3175" cmpd="sng">
                <a:noFill/>
                <a:prstDash val="solid"/>
              </a:ln>
            </c:spPr>
            <c:extLst>
              <c:ext xmlns:c16="http://schemas.microsoft.com/office/drawing/2014/chart" uri="{C3380CC4-5D6E-409C-BE32-E72D297353CC}">
                <c16:uniqueId val="{0000028E-4391-4161-9A3A-61B157F79F18}"/>
              </c:ext>
            </c:extLst>
          </c:dPt>
          <c:dPt>
            <c:idx val="15"/>
            <c:invertIfNegative val="0"/>
            <c:bubble3D val="0"/>
            <c:spPr>
              <a:solidFill>
                <a:srgbClr val="FFE7A7"/>
              </a:solidFill>
              <a:ln w="3175" cmpd="sng">
                <a:noFill/>
                <a:prstDash val="solid"/>
              </a:ln>
            </c:spPr>
            <c:extLst>
              <c:ext xmlns:c16="http://schemas.microsoft.com/office/drawing/2014/chart" uri="{C3380CC4-5D6E-409C-BE32-E72D297353CC}">
                <c16:uniqueId val="{00000290-4391-4161-9A3A-61B157F79F18}"/>
              </c:ext>
            </c:extLst>
          </c:dPt>
          <c:dPt>
            <c:idx val="16"/>
            <c:invertIfNegative val="0"/>
            <c:bubble3D val="0"/>
            <c:spPr>
              <a:solidFill>
                <a:srgbClr val="FFE7A7"/>
              </a:solidFill>
              <a:ln w="3175" cmpd="sng">
                <a:noFill/>
                <a:prstDash val="solid"/>
              </a:ln>
            </c:spPr>
            <c:extLst>
              <c:ext xmlns:c16="http://schemas.microsoft.com/office/drawing/2014/chart" uri="{C3380CC4-5D6E-409C-BE32-E72D297353CC}">
                <c16:uniqueId val="{00000292-4391-4161-9A3A-61B157F79F18}"/>
              </c:ext>
            </c:extLst>
          </c:dPt>
          <c:dPt>
            <c:idx val="17"/>
            <c:invertIfNegative val="0"/>
            <c:bubble3D val="0"/>
            <c:spPr>
              <a:solidFill>
                <a:srgbClr val="FFE7A7"/>
              </a:solidFill>
              <a:ln w="3175" cmpd="sng">
                <a:noFill/>
                <a:prstDash val="solid"/>
              </a:ln>
            </c:spPr>
            <c:extLst>
              <c:ext xmlns:c16="http://schemas.microsoft.com/office/drawing/2014/chart" uri="{C3380CC4-5D6E-409C-BE32-E72D297353CC}">
                <c16:uniqueId val="{00000294-4391-4161-9A3A-61B157F79F18}"/>
              </c:ext>
            </c:extLst>
          </c:dPt>
          <c:dPt>
            <c:idx val="18"/>
            <c:invertIfNegative val="0"/>
            <c:bubble3D val="0"/>
            <c:spPr>
              <a:solidFill>
                <a:srgbClr val="FFE7A7"/>
              </a:solidFill>
              <a:ln w="3175" cmpd="sng">
                <a:noFill/>
                <a:prstDash val="solid"/>
              </a:ln>
            </c:spPr>
            <c:extLst>
              <c:ext xmlns:c16="http://schemas.microsoft.com/office/drawing/2014/chart" uri="{C3380CC4-5D6E-409C-BE32-E72D297353CC}">
                <c16:uniqueId val="{00000296-4391-4161-9A3A-61B157F79F18}"/>
              </c:ext>
            </c:extLst>
          </c:dPt>
          <c:dPt>
            <c:idx val="19"/>
            <c:invertIfNegative val="0"/>
            <c:bubble3D val="0"/>
            <c:spPr>
              <a:solidFill>
                <a:srgbClr val="FFE7A7"/>
              </a:solidFill>
              <a:ln w="3175" cmpd="sng">
                <a:noFill/>
                <a:prstDash val="solid"/>
              </a:ln>
            </c:spPr>
            <c:extLst>
              <c:ext xmlns:c16="http://schemas.microsoft.com/office/drawing/2014/chart" uri="{C3380CC4-5D6E-409C-BE32-E72D297353CC}">
                <c16:uniqueId val="{00000298-4391-4161-9A3A-61B157F79F18}"/>
              </c:ext>
            </c:extLst>
          </c:dPt>
          <c:dPt>
            <c:idx val="20"/>
            <c:invertIfNegative val="0"/>
            <c:bubble3D val="0"/>
            <c:spPr>
              <a:solidFill>
                <a:srgbClr val="FFE7A7"/>
              </a:solidFill>
              <a:ln w="3175" cmpd="sng">
                <a:noFill/>
                <a:prstDash val="solid"/>
              </a:ln>
            </c:spPr>
            <c:extLst>
              <c:ext xmlns:c16="http://schemas.microsoft.com/office/drawing/2014/chart" uri="{C3380CC4-5D6E-409C-BE32-E72D297353CC}">
                <c16:uniqueId val="{0000029A-4391-4161-9A3A-61B157F79F18}"/>
              </c:ext>
            </c:extLst>
          </c:dPt>
          <c:dPt>
            <c:idx val="21"/>
            <c:invertIfNegative val="0"/>
            <c:bubble3D val="0"/>
            <c:spPr>
              <a:solidFill>
                <a:srgbClr val="FFE7A7"/>
              </a:solidFill>
              <a:ln w="3175" cmpd="sng">
                <a:noFill/>
                <a:prstDash val="solid"/>
              </a:ln>
            </c:spPr>
            <c:extLst>
              <c:ext xmlns:c16="http://schemas.microsoft.com/office/drawing/2014/chart" uri="{C3380CC4-5D6E-409C-BE32-E72D297353CC}">
                <c16:uniqueId val="{0000029C-4391-4161-9A3A-61B157F79F18}"/>
              </c:ext>
            </c:extLst>
          </c:dPt>
          <c:cat>
            <c:strRef>
              <c:f>'NewAndRetiredCapacity Data'!$B$2:$W$2</c:f>
              <c:strCache>
                <c:ptCount val="22"/>
                <c:pt idx="0">
                  <c:v>2018-19</c:v>
                </c:pt>
                <c:pt idx="1">
                  <c:v>2019-20</c:v>
                </c:pt>
                <c:pt idx="2">
                  <c:v>2020-21</c:v>
                </c:pt>
                <c:pt idx="3">
                  <c:v>2021-22</c:v>
                </c:pt>
                <c:pt idx="4">
                  <c:v>2022-23</c:v>
                </c:pt>
                <c:pt idx="5">
                  <c:v>2023-24</c:v>
                </c:pt>
                <c:pt idx="6">
                  <c:v>2024-25</c:v>
                </c:pt>
                <c:pt idx="7">
                  <c:v>2025-26</c:v>
                </c:pt>
                <c:pt idx="8">
                  <c:v>2026-27</c:v>
                </c:pt>
                <c:pt idx="9">
                  <c:v>2027-28</c:v>
                </c:pt>
                <c:pt idx="10">
                  <c:v>2028-29</c:v>
                </c:pt>
                <c:pt idx="11">
                  <c:v>2029-30</c:v>
                </c:pt>
                <c:pt idx="12">
                  <c:v>2030-31</c:v>
                </c:pt>
                <c:pt idx="13">
                  <c:v>2031-32</c:v>
                </c:pt>
                <c:pt idx="14">
                  <c:v>2032-33</c:v>
                </c:pt>
                <c:pt idx="15">
                  <c:v>2033-34</c:v>
                </c:pt>
                <c:pt idx="16">
                  <c:v>2034-35</c:v>
                </c:pt>
                <c:pt idx="17">
                  <c:v>2035-36</c:v>
                </c:pt>
                <c:pt idx="18">
                  <c:v>2036-37</c:v>
                </c:pt>
                <c:pt idx="19">
                  <c:v>2037-38</c:v>
                </c:pt>
                <c:pt idx="20">
                  <c:v>2038-39</c:v>
                </c:pt>
                <c:pt idx="21">
                  <c:v>2039-40</c:v>
                </c:pt>
              </c:strCache>
            </c:strRef>
          </c:cat>
          <c:val>
            <c:numRef>
              <c:f>'NewAndRetiredCapacity Data'!$B$13:$W$13</c:f>
              <c:numCache>
                <c:formatCode>#,##0_ ;\-#,##0\ </c:formatCode>
                <c:ptCount val="22"/>
                <c:pt idx="0">
                  <c:v>0</c:v>
                </c:pt>
                <c:pt idx="1">
                  <c:v>940</c:v>
                </c:pt>
                <c:pt idx="2">
                  <c:v>1862</c:v>
                </c:pt>
                <c:pt idx="3">
                  <c:v>2758</c:v>
                </c:pt>
                <c:pt idx="4">
                  <c:v>3634</c:v>
                </c:pt>
                <c:pt idx="5">
                  <c:v>4493</c:v>
                </c:pt>
                <c:pt idx="6">
                  <c:v>5327</c:v>
                </c:pt>
                <c:pt idx="7">
                  <c:v>6135</c:v>
                </c:pt>
                <c:pt idx="8">
                  <c:v>6924</c:v>
                </c:pt>
                <c:pt idx="9">
                  <c:v>7686</c:v>
                </c:pt>
                <c:pt idx="10">
                  <c:v>8415</c:v>
                </c:pt>
                <c:pt idx="11">
                  <c:v>9115</c:v>
                </c:pt>
                <c:pt idx="12">
                  <c:v>9768</c:v>
                </c:pt>
                <c:pt idx="13">
                  <c:v>10377</c:v>
                </c:pt>
                <c:pt idx="14">
                  <c:v>10921</c:v>
                </c:pt>
                <c:pt idx="15">
                  <c:v>11420</c:v>
                </c:pt>
                <c:pt idx="16">
                  <c:v>11890</c:v>
                </c:pt>
                <c:pt idx="17">
                  <c:v>12331</c:v>
                </c:pt>
                <c:pt idx="18">
                  <c:v>12734</c:v>
                </c:pt>
                <c:pt idx="19">
                  <c:v>13062</c:v>
                </c:pt>
                <c:pt idx="20">
                  <c:v>13400</c:v>
                </c:pt>
                <c:pt idx="21">
                  <c:v>13694</c:v>
                </c:pt>
              </c:numCache>
            </c:numRef>
          </c:val>
          <c:extLst>
            <c:ext xmlns:c16="http://schemas.microsoft.com/office/drawing/2014/chart" uri="{C3380CC4-5D6E-409C-BE32-E72D297353CC}">
              <c16:uniqueId val="{0000029D-4391-4161-9A3A-61B157F79F18}"/>
            </c:ext>
          </c:extLst>
        </c:ser>
        <c:dLbls>
          <c:showLegendKey val="0"/>
          <c:showVal val="0"/>
          <c:showCatName val="0"/>
          <c:showSerName val="0"/>
          <c:showPercent val="0"/>
          <c:showBubbleSize val="0"/>
        </c:dLbls>
        <c:gapWidth val="150"/>
        <c:overlap val="100"/>
        <c:axId val="790774792"/>
        <c:axId val="217006776"/>
        <c:extLst/>
      </c:barChart>
      <c:catAx>
        <c:axId val="7907747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Year</a:t>
                </a:r>
              </a:p>
            </c:rich>
          </c:tx>
          <c:layout>
            <c:manualLayout>
              <c:xMode val="edge"/>
              <c:yMode val="edge"/>
              <c:x val="0.47444615998323514"/>
              <c:y val="0.76911129272482814"/>
            </c:manualLayout>
          </c:layout>
          <c:overlay val="0"/>
          <c:spPr>
            <a:noFill/>
            <a:ln>
              <a:noFill/>
            </a:ln>
            <a:effectLst/>
          </c:spPr>
        </c:title>
        <c:numFmt formatCode="#,##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17006776"/>
        <c:crosses val="autoZero"/>
        <c:auto val="1"/>
        <c:lblAlgn val="ctr"/>
        <c:lblOffset val="100"/>
        <c:noMultiLvlLbl val="0"/>
      </c:catAx>
      <c:valAx>
        <c:axId val="217006776"/>
        <c:scaling>
          <c:orientation val="minMax"/>
        </c:scaling>
        <c:delete val="0"/>
        <c:axPos val="l"/>
        <c:majorGridlines>
          <c:spPr>
            <a:ln w="635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sz="900" b="1"/>
                  <a:t>Installed capacity (MW)</a:t>
                </a:r>
              </a:p>
            </c:rich>
          </c:tx>
          <c:layout>
            <c:manualLayout>
              <c:xMode val="edge"/>
              <c:yMode val="edge"/>
              <c:x val="1.9746836230313414E-2"/>
              <c:y val="0.19704163874881597"/>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790774792"/>
        <c:crosses val="autoZero"/>
        <c:crossBetween val="between"/>
      </c:valAx>
    </c:plotArea>
    <c:legend>
      <c:legendPos val="b"/>
      <c:layout>
        <c:manualLayout>
          <c:xMode val="edge"/>
          <c:yMode val="edge"/>
          <c:x val="0.18732249658749447"/>
          <c:y val="0.80852191077053737"/>
          <c:w val="0.68014288900533126"/>
          <c:h val="0.17080466276210157"/>
        </c:manualLayout>
      </c:layout>
      <c:overlay val="0"/>
      <c:spPr>
        <a:noFill/>
        <a:ln>
          <a:noFill/>
        </a:ln>
        <a:effectLst/>
        <a:extLst>
          <a:ext uri="{91240B29-F687-4F45-9708-019B960494DF}">
            <a14:hiddenLine xmlns:a14="http://schemas.microsoft.com/office/drawing/2010/main">
              <a:noFill/>
              <a:round/>
            </a14:hiddenLine>
          </a:ext>
        </a:ex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solidFill>
            <a:schemeClr val="tx1"/>
          </a:solidFill>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2"/>
  <sheetViews>
    <sheetView zoomScale="130" workbookViewId="0"/>
  </sheetViews>
  <pageMargins left="2.6181102362204722" right="2.6181102362204722" top="1.734251968503937" bottom="1.734251968503937"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sheetViews>
    <sheetView zoomScale="145" workbookViewId="0"/>
  </sheetViews>
  <pageMargins left="2.6181102362204722" right="2.6181102362204722" top="1.734251968503937" bottom="1.734251968503937"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1"/>
  <sheetViews>
    <sheetView zoomScale="130" workbookViewId="0"/>
  </sheetViews>
  <pageMargins left="2.6181102362204722" right="2.6181102362204722" top="1.734251968503937" bottom="1.734251968503937" header="0.3" footer="0.3"/>
  <pageSetup paperSize="9" orientation="landscape" verticalDpi="12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5800397" cy="4289534"/>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5788269" cy="4278923"/>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NewAEMOtheme">
  <a:themeElements>
    <a:clrScheme name="AEMO">
      <a:dk1>
        <a:srgbClr val="222324"/>
      </a:dk1>
      <a:lt1>
        <a:sysClr val="window" lastClr="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a:majorFont>
        <a:latin typeface="Tw Cen MT"/>
        <a:ea typeface=""/>
        <a:cs typeface=""/>
      </a:majorFont>
      <a:minorFont>
        <a:latin typeface="Tw Cen M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rtlCol="0" anchor="ct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C27"/>
  <sheetViews>
    <sheetView tabSelected="1" zoomScaleNormal="100" workbookViewId="0"/>
  </sheetViews>
  <sheetFormatPr defaultColWidth="9.140625" defaultRowHeight="12.75" x14ac:dyDescent="0.2"/>
  <cols>
    <col min="1" max="1" width="3.140625" style="50" customWidth="1"/>
    <col min="2" max="2" width="30" style="50" customWidth="1"/>
    <col min="3" max="3" width="52.42578125" style="50" customWidth="1"/>
    <col min="4" max="16384" width="9.140625" style="50"/>
  </cols>
  <sheetData>
    <row r="2" spans="2:3" ht="25.5" x14ac:dyDescent="0.2">
      <c r="B2" s="51" t="s">
        <v>71</v>
      </c>
      <c r="C2" s="5"/>
    </row>
    <row r="3" spans="2:3" x14ac:dyDescent="0.2">
      <c r="B3" s="91"/>
      <c r="C3" s="91"/>
    </row>
    <row r="4" spans="2:3" ht="49.5" customHeight="1" x14ac:dyDescent="0.2">
      <c r="B4" s="92" t="s">
        <v>23</v>
      </c>
      <c r="C4" s="92"/>
    </row>
    <row r="5" spans="2:3" x14ac:dyDescent="0.2">
      <c r="B5" s="9"/>
      <c r="C5" s="9"/>
    </row>
    <row r="6" spans="2:3" ht="18" customHeight="1" x14ac:dyDescent="0.2">
      <c r="B6" s="52" t="s">
        <v>97</v>
      </c>
      <c r="C6" s="83"/>
    </row>
    <row r="7" spans="2:3" ht="16.5" customHeight="1" x14ac:dyDescent="0.2">
      <c r="B7" s="52"/>
      <c r="C7" s="83"/>
    </row>
    <row r="8" spans="2:3" ht="18" customHeight="1" x14ac:dyDescent="0.25">
      <c r="B8" s="102" t="s">
        <v>98</v>
      </c>
      <c r="C8" s="55" t="s">
        <v>99</v>
      </c>
    </row>
    <row r="9" spans="2:3" ht="18" customHeight="1" x14ac:dyDescent="0.2">
      <c r="B9" s="103" t="s">
        <v>100</v>
      </c>
      <c r="C9" s="57" t="s">
        <v>101</v>
      </c>
    </row>
    <row r="10" spans="2:3" ht="48" customHeight="1" x14ac:dyDescent="0.2">
      <c r="B10" s="104" t="s">
        <v>102</v>
      </c>
      <c r="C10" s="60" t="s">
        <v>103</v>
      </c>
    </row>
    <row r="11" spans="2:3" x14ac:dyDescent="0.2">
      <c r="B11" s="105"/>
      <c r="C11" s="53"/>
    </row>
    <row r="12" spans="2:3" ht="18" customHeight="1" x14ac:dyDescent="0.2">
      <c r="B12" s="82"/>
      <c r="C12" s="82"/>
    </row>
    <row r="13" spans="2:3" ht="18" customHeight="1" x14ac:dyDescent="0.2">
      <c r="B13" s="52" t="s">
        <v>43</v>
      </c>
      <c r="C13" s="82"/>
    </row>
    <row r="14" spans="2:3" ht="45" customHeight="1" x14ac:dyDescent="0.2">
      <c r="B14" s="92" t="s">
        <v>105</v>
      </c>
      <c r="C14" s="92"/>
    </row>
    <row r="15" spans="2:3" ht="15" x14ac:dyDescent="0.2">
      <c r="C15" s="6"/>
    </row>
    <row r="16" spans="2:3" ht="18.75" x14ac:dyDescent="0.2">
      <c r="B16" s="52" t="s">
        <v>24</v>
      </c>
      <c r="C16" s="6"/>
    </row>
    <row r="17" spans="1:3" ht="11.25" customHeight="1" x14ac:dyDescent="0.2">
      <c r="B17" s="52"/>
      <c r="C17" s="6"/>
    </row>
    <row r="18" spans="1:3" ht="15.75" x14ac:dyDescent="0.25">
      <c r="A18" s="53"/>
      <c r="B18" s="54" t="s">
        <v>25</v>
      </c>
      <c r="C18" s="55" t="s">
        <v>26</v>
      </c>
    </row>
    <row r="19" spans="1:3" ht="34.5" customHeight="1" x14ac:dyDescent="0.2">
      <c r="A19" s="53"/>
      <c r="B19" s="56" t="s">
        <v>76</v>
      </c>
      <c r="C19" s="57" t="s">
        <v>77</v>
      </c>
    </row>
    <row r="20" spans="1:3" ht="37.5" customHeight="1" x14ac:dyDescent="0.2">
      <c r="A20" s="53"/>
      <c r="B20" s="59" t="s">
        <v>104</v>
      </c>
      <c r="C20" s="81" t="s">
        <v>73</v>
      </c>
    </row>
    <row r="21" spans="1:3" ht="33.75" customHeight="1" x14ac:dyDescent="0.2">
      <c r="A21" s="53"/>
      <c r="B21" s="58" t="s">
        <v>27</v>
      </c>
      <c r="C21" s="89" t="s">
        <v>51</v>
      </c>
    </row>
    <row r="22" spans="1:3" ht="33.75" customHeight="1" x14ac:dyDescent="0.2">
      <c r="A22" s="53"/>
      <c r="B22" s="59" t="s">
        <v>28</v>
      </c>
      <c r="C22" s="93"/>
    </row>
    <row r="23" spans="1:3" ht="33.75" customHeight="1" x14ac:dyDescent="0.2">
      <c r="A23" s="53"/>
      <c r="B23" s="59" t="s">
        <v>29</v>
      </c>
      <c r="C23" s="90" t="s">
        <v>72</v>
      </c>
    </row>
    <row r="24" spans="1:3" ht="33.75" customHeight="1" x14ac:dyDescent="0.2">
      <c r="A24" s="53"/>
      <c r="B24" s="59" t="s">
        <v>30</v>
      </c>
      <c r="C24" s="90"/>
    </row>
    <row r="25" spans="1:3" ht="33.75" customHeight="1" x14ac:dyDescent="0.2">
      <c r="A25" s="53"/>
      <c r="B25" s="58" t="s">
        <v>31</v>
      </c>
      <c r="C25" s="89" t="s">
        <v>52</v>
      </c>
    </row>
    <row r="26" spans="1:3" ht="33.75" customHeight="1" x14ac:dyDescent="0.2">
      <c r="A26" s="53"/>
      <c r="B26" s="59" t="s">
        <v>32</v>
      </c>
      <c r="C26" s="90"/>
    </row>
    <row r="27" spans="1:3" ht="33.75" customHeight="1" x14ac:dyDescent="0.2">
      <c r="A27" s="53"/>
      <c r="B27" s="59" t="s">
        <v>33</v>
      </c>
      <c r="C27" s="60" t="s">
        <v>53</v>
      </c>
    </row>
  </sheetData>
  <mergeCells count="6">
    <mergeCell ref="C21:C22"/>
    <mergeCell ref="C23:C24"/>
    <mergeCell ref="C25:C26"/>
    <mergeCell ref="B3:C3"/>
    <mergeCell ref="B4:C4"/>
    <mergeCell ref="B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U24"/>
  <sheetViews>
    <sheetView zoomScale="90" zoomScaleNormal="90" workbookViewId="0"/>
  </sheetViews>
  <sheetFormatPr defaultRowHeight="14.25" x14ac:dyDescent="0.2"/>
  <cols>
    <col min="1" max="1" width="2.28515625" style="62" customWidth="1"/>
    <col min="2" max="2" width="3.5703125" style="62" customWidth="1"/>
    <col min="3" max="6" width="22.7109375" style="62" customWidth="1"/>
    <col min="7" max="9" width="2.140625" style="62" customWidth="1"/>
    <col min="10" max="13" width="22.7109375" style="62" customWidth="1"/>
    <col min="14" max="16" width="2.140625" style="62" customWidth="1"/>
    <col min="17" max="20" width="22.7109375" style="62" customWidth="1"/>
    <col min="21" max="21" width="2.140625" style="62" customWidth="1"/>
    <col min="22" max="16384" width="9.140625" style="62"/>
  </cols>
  <sheetData>
    <row r="1" spans="2:21" ht="15" thickBot="1" x14ac:dyDescent="0.25"/>
    <row r="2" spans="2:21" x14ac:dyDescent="0.2">
      <c r="B2" s="61"/>
      <c r="C2" s="61"/>
      <c r="D2" s="61"/>
      <c r="E2" s="61"/>
      <c r="F2" s="61"/>
      <c r="G2" s="61"/>
      <c r="I2" s="61"/>
      <c r="J2" s="61"/>
      <c r="K2" s="61"/>
      <c r="L2" s="61"/>
      <c r="M2" s="61"/>
      <c r="N2" s="61"/>
      <c r="P2" s="73"/>
      <c r="Q2" s="74"/>
      <c r="R2" s="74"/>
      <c r="S2" s="74"/>
      <c r="T2" s="74"/>
      <c r="U2" s="75"/>
    </row>
    <row r="3" spans="2:21" ht="18.75" customHeight="1" x14ac:dyDescent="0.25">
      <c r="B3" s="61"/>
      <c r="C3" s="63" t="s">
        <v>78</v>
      </c>
      <c r="D3" s="64"/>
      <c r="G3" s="61"/>
      <c r="I3" s="61"/>
      <c r="J3" s="63" t="s">
        <v>79</v>
      </c>
      <c r="K3" s="64"/>
      <c r="N3" s="61"/>
      <c r="P3" s="76"/>
      <c r="Q3" s="63" t="s">
        <v>80</v>
      </c>
      <c r="R3" s="64"/>
      <c r="S3" s="61"/>
      <c r="T3" s="61"/>
      <c r="U3" s="77"/>
    </row>
    <row r="4" spans="2:21" ht="26.25" x14ac:dyDescent="0.25">
      <c r="B4" s="61"/>
      <c r="C4" s="65"/>
      <c r="D4" s="66" t="s">
        <v>81</v>
      </c>
      <c r="E4" s="66" t="s">
        <v>82</v>
      </c>
      <c r="F4" s="67" t="s">
        <v>74</v>
      </c>
      <c r="G4" s="61"/>
      <c r="I4" s="61"/>
      <c r="J4" s="65"/>
      <c r="K4" s="66" t="s">
        <v>83</v>
      </c>
      <c r="L4" s="66" t="s">
        <v>84</v>
      </c>
      <c r="M4" s="67" t="s">
        <v>74</v>
      </c>
      <c r="N4" s="61"/>
      <c r="P4" s="76"/>
      <c r="Q4" s="68"/>
      <c r="R4" s="66" t="s">
        <v>85</v>
      </c>
      <c r="S4" s="66" t="s">
        <v>86</v>
      </c>
      <c r="T4" s="67" t="s">
        <v>74</v>
      </c>
      <c r="U4" s="77"/>
    </row>
    <row r="5" spans="2:21" ht="18.75" customHeight="1" x14ac:dyDescent="0.2">
      <c r="B5" s="61"/>
      <c r="C5" s="69" t="s">
        <v>46</v>
      </c>
      <c r="D5" s="70">
        <v>41916.916936302674</v>
      </c>
      <c r="E5" s="70">
        <v>39961.171508822546</v>
      </c>
      <c r="F5" s="70">
        <v>1955.7454274801275</v>
      </c>
      <c r="G5" s="61"/>
      <c r="I5" s="61"/>
      <c r="J5" s="69" t="s">
        <v>46</v>
      </c>
      <c r="K5" s="70">
        <v>43176.829879668308</v>
      </c>
      <c r="L5" s="70">
        <v>41738.953859835477</v>
      </c>
      <c r="M5" s="70">
        <v>1437.8760198328309</v>
      </c>
      <c r="N5" s="61"/>
      <c r="P5" s="76"/>
      <c r="Q5" s="69" t="s">
        <v>46</v>
      </c>
      <c r="R5" s="70">
        <v>34757.909560715358</v>
      </c>
      <c r="S5" s="70">
        <v>32876.768527767286</v>
      </c>
      <c r="T5" s="70">
        <f>R5-S5</f>
        <v>1881.1410329480714</v>
      </c>
      <c r="U5" s="77"/>
    </row>
    <row r="6" spans="2:21" ht="18.75" customHeight="1" x14ac:dyDescent="0.2">
      <c r="B6" s="61"/>
      <c r="C6" s="69" t="s">
        <v>47</v>
      </c>
      <c r="D6" s="70">
        <v>33920.684891933444</v>
      </c>
      <c r="E6" s="70">
        <v>33899.236952430125</v>
      </c>
      <c r="F6" s="70">
        <v>21.447939503319503</v>
      </c>
      <c r="G6" s="61"/>
      <c r="I6" s="61"/>
      <c r="J6" s="69" t="s">
        <v>47</v>
      </c>
      <c r="K6" s="70">
        <v>35760.208656527386</v>
      </c>
      <c r="L6" s="70">
        <v>35490.113604422251</v>
      </c>
      <c r="M6" s="70">
        <v>270.09505210513453</v>
      </c>
      <c r="N6" s="61"/>
      <c r="P6" s="76"/>
      <c r="Q6" s="69" t="s">
        <v>47</v>
      </c>
      <c r="R6" s="70">
        <v>31879.247558175241</v>
      </c>
      <c r="S6" s="70">
        <v>31494.012745047821</v>
      </c>
      <c r="T6" s="70">
        <f t="shared" ref="T6:T10" si="0">R6-S6</f>
        <v>385.23481312741933</v>
      </c>
      <c r="U6" s="77"/>
    </row>
    <row r="7" spans="2:21" ht="18.75" customHeight="1" x14ac:dyDescent="0.2">
      <c r="B7" s="61"/>
      <c r="C7" s="69" t="s">
        <v>48</v>
      </c>
      <c r="D7" s="70">
        <v>13647.120628245948</v>
      </c>
      <c r="E7" s="70">
        <v>13457.961111861057</v>
      </c>
      <c r="F7" s="70">
        <v>189.15951638489059</v>
      </c>
      <c r="G7" s="61"/>
      <c r="I7" s="61"/>
      <c r="J7" s="69" t="s">
        <v>48</v>
      </c>
      <c r="K7" s="70">
        <v>25498.004789199185</v>
      </c>
      <c r="L7" s="70">
        <v>24823.280490778085</v>
      </c>
      <c r="M7" s="70">
        <v>674.72429842110068</v>
      </c>
      <c r="N7" s="61"/>
      <c r="P7" s="76"/>
      <c r="Q7" s="69" t="s">
        <v>48</v>
      </c>
      <c r="R7" s="70">
        <v>7469.9293274226138</v>
      </c>
      <c r="S7" s="70">
        <v>6813.3785094962204</v>
      </c>
      <c r="T7" s="70">
        <f t="shared" si="0"/>
        <v>656.55081792639339</v>
      </c>
      <c r="U7" s="77"/>
    </row>
    <row r="8" spans="2:21" ht="18.75" customHeight="1" x14ac:dyDescent="0.2">
      <c r="B8" s="61"/>
      <c r="C8" s="69" t="s">
        <v>49</v>
      </c>
      <c r="D8" s="70">
        <v>482.37560886662567</v>
      </c>
      <c r="E8" s="70">
        <v>259.11852081983278</v>
      </c>
      <c r="F8" s="70">
        <v>223.25708804679289</v>
      </c>
      <c r="G8" s="61"/>
      <c r="I8" s="61"/>
      <c r="J8" s="69" t="s">
        <v>49</v>
      </c>
      <c r="K8" s="70">
        <v>1336.0438082055946</v>
      </c>
      <c r="L8" s="70">
        <v>1021.902430177951</v>
      </c>
      <c r="M8" s="70">
        <v>314.14137802764355</v>
      </c>
      <c r="N8" s="61"/>
      <c r="P8" s="76"/>
      <c r="Q8" s="69" t="s">
        <v>49</v>
      </c>
      <c r="R8" s="70">
        <v>156.11488308195149</v>
      </c>
      <c r="S8" s="70">
        <v>103.68994256141953</v>
      </c>
      <c r="T8" s="70">
        <f t="shared" si="0"/>
        <v>52.424940520531962</v>
      </c>
      <c r="U8" s="77"/>
    </row>
    <row r="9" spans="2:21" ht="18.75" customHeight="1" x14ac:dyDescent="0.2">
      <c r="B9" s="61"/>
      <c r="C9" s="69" t="s">
        <v>50</v>
      </c>
      <c r="D9" s="70">
        <v>0</v>
      </c>
      <c r="E9" s="70">
        <v>1198.0852865656811</v>
      </c>
      <c r="F9" s="70">
        <v>-1198.0852865656811</v>
      </c>
      <c r="G9" s="61"/>
      <c r="I9" s="61"/>
      <c r="J9" s="69" t="s">
        <v>50</v>
      </c>
      <c r="K9" s="70">
        <v>0</v>
      </c>
      <c r="L9" s="70">
        <v>1198.0852865656811</v>
      </c>
      <c r="M9" s="70">
        <v>-1198.0852865656811</v>
      </c>
      <c r="N9" s="61"/>
      <c r="P9" s="76"/>
      <c r="Q9" s="69" t="s">
        <v>50</v>
      </c>
      <c r="R9" s="70">
        <v>0</v>
      </c>
      <c r="S9" s="70">
        <v>1198.0852865656811</v>
      </c>
      <c r="T9" s="70">
        <f t="shared" si="0"/>
        <v>-1198.0852865656811</v>
      </c>
      <c r="U9" s="77"/>
    </row>
    <row r="10" spans="2:21" ht="18.75" customHeight="1" x14ac:dyDescent="0.2">
      <c r="B10" s="61"/>
      <c r="C10" s="71" t="s">
        <v>19</v>
      </c>
      <c r="D10" s="72">
        <v>90274.939204871393</v>
      </c>
      <c r="E10" s="72">
        <v>89083.41452002195</v>
      </c>
      <c r="F10" s="72">
        <v>1191.5246848494426</v>
      </c>
      <c r="G10" s="61"/>
      <c r="I10" s="61"/>
      <c r="J10" s="71" t="s">
        <v>19</v>
      </c>
      <c r="K10" s="72">
        <v>106146.24184886776</v>
      </c>
      <c r="L10" s="72">
        <v>104647.49038704675</v>
      </c>
      <c r="M10" s="72">
        <v>1498.7514618210116</v>
      </c>
      <c r="N10" s="61"/>
      <c r="P10" s="76"/>
      <c r="Q10" s="71" t="s">
        <v>19</v>
      </c>
      <c r="R10" s="72">
        <v>74612.667719498902</v>
      </c>
      <c r="S10" s="72">
        <v>72835.401401542156</v>
      </c>
      <c r="T10" s="72">
        <f t="shared" si="0"/>
        <v>1777.2663179567462</v>
      </c>
      <c r="U10" s="77"/>
    </row>
    <row r="11" spans="2:21" x14ac:dyDescent="0.2">
      <c r="B11" s="61"/>
      <c r="G11" s="61"/>
      <c r="I11" s="61"/>
      <c r="N11" s="61"/>
      <c r="P11" s="76"/>
      <c r="Q11" s="61"/>
      <c r="R11" s="61"/>
      <c r="S11" s="61"/>
      <c r="T11" s="61"/>
      <c r="U11" s="77"/>
    </row>
    <row r="12" spans="2:21" ht="18.75" customHeight="1" thickBot="1" x14ac:dyDescent="0.25">
      <c r="B12" s="61"/>
      <c r="C12" s="87" t="s">
        <v>87</v>
      </c>
      <c r="D12" s="84">
        <f>SUM(D7:D9)</f>
        <v>14129.496237112573</v>
      </c>
      <c r="E12" s="84">
        <f>SUM(E7:E9)</f>
        <v>14915.164919246572</v>
      </c>
      <c r="G12" s="61"/>
      <c r="I12" s="61"/>
      <c r="J12" s="87" t="s">
        <v>87</v>
      </c>
      <c r="K12" s="84">
        <f>SUM(K7:K9)</f>
        <v>26834.048597404781</v>
      </c>
      <c r="L12" s="84">
        <f>SUM(L7:L9)</f>
        <v>27043.268207521716</v>
      </c>
      <c r="N12" s="61"/>
      <c r="P12" s="78"/>
      <c r="Q12" s="85" t="s">
        <v>87</v>
      </c>
      <c r="R12" s="86">
        <f>SUM(R7:R9)</f>
        <v>7626.0442105045649</v>
      </c>
      <c r="S12" s="86">
        <f>SUM(S7:S9)</f>
        <v>8115.1537386233213</v>
      </c>
      <c r="T12" s="79"/>
      <c r="U12" s="80"/>
    </row>
    <row r="13" spans="2:21" ht="18.75" customHeight="1" x14ac:dyDescent="0.2">
      <c r="C13" s="69"/>
      <c r="D13" s="70"/>
      <c r="E13" s="70"/>
      <c r="F13" s="70"/>
      <c r="G13" s="61"/>
      <c r="I13" s="61"/>
      <c r="J13" s="69"/>
      <c r="K13" s="70"/>
      <c r="L13" s="70"/>
      <c r="N13" s="61"/>
      <c r="Q13" s="69"/>
      <c r="R13" s="70"/>
      <c r="S13" s="70"/>
    </row>
    <row r="14" spans="2:21" ht="18.75" customHeight="1" x14ac:dyDescent="0.2"/>
    <row r="15" spans="2:21" ht="18.75" customHeight="1" x14ac:dyDescent="0.25">
      <c r="C15" s="63" t="s">
        <v>88</v>
      </c>
      <c r="D15" s="64"/>
      <c r="J15" s="63" t="s">
        <v>89</v>
      </c>
      <c r="K15" s="64"/>
      <c r="P15" s="63"/>
      <c r="Q15" s="63" t="s">
        <v>90</v>
      </c>
      <c r="T15" s="63"/>
    </row>
    <row r="16" spans="2:21" ht="39" x14ac:dyDescent="0.25">
      <c r="C16" s="65"/>
      <c r="D16" s="66" t="s">
        <v>91</v>
      </c>
      <c r="E16" s="66" t="s">
        <v>92</v>
      </c>
      <c r="F16" s="67" t="s">
        <v>74</v>
      </c>
      <c r="J16" s="65"/>
      <c r="K16" s="66" t="s">
        <v>93</v>
      </c>
      <c r="L16" s="66" t="s">
        <v>94</v>
      </c>
      <c r="M16" s="67" t="s">
        <v>74</v>
      </c>
      <c r="P16" s="65"/>
      <c r="Q16" s="66"/>
      <c r="R16" s="66" t="s">
        <v>95</v>
      </c>
      <c r="S16" s="66" t="s">
        <v>96</v>
      </c>
      <c r="T16" s="88" t="s">
        <v>74</v>
      </c>
    </row>
    <row r="17" spans="3:20" ht="18.75" customHeight="1" x14ac:dyDescent="0.2">
      <c r="C17" s="69" t="s">
        <v>46</v>
      </c>
      <c r="D17" s="70">
        <v>41129.068367881271</v>
      </c>
      <c r="E17" s="70">
        <v>39483.692500440178</v>
      </c>
      <c r="F17" s="70">
        <v>1645.3758674410929</v>
      </c>
      <c r="J17" s="69" t="s">
        <v>46</v>
      </c>
      <c r="K17" s="70">
        <v>42806.617149024001</v>
      </c>
      <c r="L17" s="70">
        <v>41899.658348325582</v>
      </c>
      <c r="M17" s="70">
        <v>906.95880069841951</v>
      </c>
      <c r="P17" s="69"/>
      <c r="Q17" s="70" t="s">
        <v>46</v>
      </c>
      <c r="R17" s="70">
        <v>40777.839190312872</v>
      </c>
      <c r="S17" s="70">
        <v>39142.285437276907</v>
      </c>
      <c r="T17" s="70">
        <v>1635.5537530359652</v>
      </c>
    </row>
    <row r="18" spans="3:20" ht="18.75" customHeight="1" x14ac:dyDescent="0.2">
      <c r="C18" s="69" t="s">
        <v>47</v>
      </c>
      <c r="D18" s="70">
        <v>34069.113406172262</v>
      </c>
      <c r="E18" s="70">
        <v>33832.037733368037</v>
      </c>
      <c r="F18" s="70">
        <v>237.07567280422518</v>
      </c>
      <c r="J18" s="69" t="s">
        <v>47</v>
      </c>
      <c r="K18" s="70">
        <v>32811.256896692023</v>
      </c>
      <c r="L18" s="70">
        <v>32478.794938746654</v>
      </c>
      <c r="M18" s="70">
        <v>332.46195794536834</v>
      </c>
      <c r="P18" s="69"/>
      <c r="Q18" s="70" t="s">
        <v>47</v>
      </c>
      <c r="R18" s="70">
        <v>33550.659467371901</v>
      </c>
      <c r="S18" s="70">
        <v>33156.007060544202</v>
      </c>
      <c r="T18" s="70">
        <v>394.65240682769945</v>
      </c>
    </row>
    <row r="19" spans="3:20" ht="18.75" customHeight="1" x14ac:dyDescent="0.2">
      <c r="C19" s="69" t="s">
        <v>48</v>
      </c>
      <c r="D19" s="70">
        <v>14306.206083922347</v>
      </c>
      <c r="E19" s="70">
        <v>14009.286175294425</v>
      </c>
      <c r="F19" s="70">
        <v>296.91990862792227</v>
      </c>
      <c r="J19" s="69" t="s">
        <v>48</v>
      </c>
      <c r="K19" s="70">
        <v>9724.3583089290314</v>
      </c>
      <c r="L19" s="70">
        <v>9236.0421884114585</v>
      </c>
      <c r="M19" s="70">
        <v>488.31612051757293</v>
      </c>
      <c r="P19" s="69"/>
      <c r="Q19" s="70" t="s">
        <v>48</v>
      </c>
      <c r="R19" s="70">
        <v>12085.4530990489</v>
      </c>
      <c r="S19" s="70">
        <v>11178.450977064695</v>
      </c>
      <c r="T19" s="70">
        <v>907.00212198420559</v>
      </c>
    </row>
    <row r="20" spans="3:20" ht="18.75" customHeight="1" x14ac:dyDescent="0.2">
      <c r="C20" s="69" t="s">
        <v>49</v>
      </c>
      <c r="D20" s="70">
        <v>510.83656847194226</v>
      </c>
      <c r="E20" s="70">
        <v>243.14726214592395</v>
      </c>
      <c r="F20" s="70">
        <v>267.68930632601831</v>
      </c>
      <c r="J20" s="69" t="s">
        <v>49</v>
      </c>
      <c r="K20" s="70">
        <v>162.52368768906334</v>
      </c>
      <c r="L20" s="70">
        <v>148.27811526915679</v>
      </c>
      <c r="M20" s="70">
        <v>14.245572419906551</v>
      </c>
      <c r="P20" s="69"/>
      <c r="Q20" s="70" t="s">
        <v>49</v>
      </c>
      <c r="R20" s="70">
        <v>417.09090399830336</v>
      </c>
      <c r="S20" s="70">
        <v>170.91702070329706</v>
      </c>
      <c r="T20" s="70">
        <v>246.17388329500631</v>
      </c>
    </row>
    <row r="21" spans="3:20" ht="18.75" customHeight="1" x14ac:dyDescent="0.2">
      <c r="C21" s="69" t="s">
        <v>50</v>
      </c>
      <c r="D21" s="70">
        <v>0</v>
      </c>
      <c r="E21" s="70">
        <v>1198.0852865656811</v>
      </c>
      <c r="F21" s="70">
        <v>-1198.0852865656811</v>
      </c>
      <c r="J21" s="69" t="s">
        <v>50</v>
      </c>
      <c r="K21" s="70">
        <v>0</v>
      </c>
      <c r="L21" s="70">
        <v>1198.0852865656811</v>
      </c>
      <c r="M21" s="70">
        <v>-1198.0852865656811</v>
      </c>
      <c r="P21" s="69"/>
      <c r="Q21" s="70" t="s">
        <v>50</v>
      </c>
      <c r="R21" s="70">
        <v>0</v>
      </c>
      <c r="S21" s="70">
        <v>1198.0852865656811</v>
      </c>
      <c r="T21" s="70">
        <v>-1198.0852865656811</v>
      </c>
    </row>
    <row r="22" spans="3:20" ht="18.75" customHeight="1" x14ac:dyDescent="0.2">
      <c r="C22" s="71" t="s">
        <v>19</v>
      </c>
      <c r="D22" s="72">
        <v>90323.065565970523</v>
      </c>
      <c r="E22" s="72">
        <v>89074.090097336957</v>
      </c>
      <c r="F22" s="72">
        <v>1248.9754686335655</v>
      </c>
      <c r="J22" s="71" t="s">
        <v>19</v>
      </c>
      <c r="K22" s="72">
        <v>85812.597181856821</v>
      </c>
      <c r="L22" s="72">
        <v>85268.700016841234</v>
      </c>
      <c r="M22" s="72">
        <v>543.89716501558723</v>
      </c>
      <c r="P22" s="71"/>
      <c r="Q22" s="72" t="s">
        <v>19</v>
      </c>
      <c r="R22" s="72">
        <v>87149.294998866375</v>
      </c>
      <c r="S22" s="72">
        <v>85163.998120289165</v>
      </c>
      <c r="T22" s="72">
        <v>1985.29687857721</v>
      </c>
    </row>
    <row r="24" spans="3:20" x14ac:dyDescent="0.2">
      <c r="C24" s="87" t="s">
        <v>87</v>
      </c>
      <c r="D24" s="84">
        <f>SUM(D19:D21)</f>
        <v>14817.04265239429</v>
      </c>
      <c r="E24" s="84">
        <f>SUM(E19:E21)</f>
        <v>15450.51872400603</v>
      </c>
      <c r="J24" s="87" t="s">
        <v>87</v>
      </c>
      <c r="K24" s="84">
        <f>SUM(K19:K21)</f>
        <v>9886.8819966180945</v>
      </c>
      <c r="L24" s="84">
        <f>SUM(L19:L21)</f>
        <v>10582.405590246297</v>
      </c>
      <c r="P24" s="69"/>
      <c r="Q24" s="84" t="s">
        <v>87</v>
      </c>
      <c r="R24" s="84">
        <f>SUM(R19:R21)</f>
        <v>12502.544003047204</v>
      </c>
      <c r="S24" s="84">
        <f>SUM(S19:S21)</f>
        <v>12547.453284333673</v>
      </c>
      <c r="T24" s="6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9"/>
  <sheetViews>
    <sheetView zoomScale="106" zoomScaleNormal="106" workbookViewId="0"/>
  </sheetViews>
  <sheetFormatPr defaultColWidth="9.140625" defaultRowHeight="16.5" customHeight="1" x14ac:dyDescent="0.2"/>
  <cols>
    <col min="1" max="1" width="34.42578125" style="4" customWidth="1"/>
    <col min="2" max="2" width="15" style="4" customWidth="1"/>
    <col min="3" max="6" width="12.28515625" style="4" customWidth="1"/>
    <col min="7" max="16384" width="9.140625" style="4"/>
  </cols>
  <sheetData>
    <row r="1" spans="1:3" ht="16.5" customHeight="1" x14ac:dyDescent="0.25">
      <c r="A1" s="10" t="s">
        <v>106</v>
      </c>
      <c r="B1" s="42"/>
    </row>
    <row r="2" spans="1:3" ht="16.5" customHeight="1" x14ac:dyDescent="0.25">
      <c r="A2" s="43"/>
      <c r="B2" s="44" t="s">
        <v>74</v>
      </c>
      <c r="C2" s="45"/>
    </row>
    <row r="3" spans="1:3" ht="16.5" customHeight="1" x14ac:dyDescent="0.2">
      <c r="A3" s="46" t="s">
        <v>46</v>
      </c>
      <c r="B3" s="47">
        <v>1881.1410329480714</v>
      </c>
      <c r="C3" s="45"/>
    </row>
    <row r="4" spans="1:3" ht="16.5" customHeight="1" x14ac:dyDescent="0.2">
      <c r="A4" s="46" t="s">
        <v>47</v>
      </c>
      <c r="B4" s="47">
        <v>385.23481312741933</v>
      </c>
      <c r="C4" s="45"/>
    </row>
    <row r="5" spans="1:3" ht="16.5" customHeight="1" x14ac:dyDescent="0.2">
      <c r="A5" s="46" t="s">
        <v>48</v>
      </c>
      <c r="B5" s="47">
        <v>656.55081792639339</v>
      </c>
      <c r="C5" s="45"/>
    </row>
    <row r="6" spans="1:3" ht="16.5" customHeight="1" x14ac:dyDescent="0.2">
      <c r="A6" s="46" t="s">
        <v>49</v>
      </c>
      <c r="B6" s="47">
        <v>52.424940520531962</v>
      </c>
      <c r="C6" s="45"/>
    </row>
    <row r="7" spans="1:3" ht="16.5" customHeight="1" x14ac:dyDescent="0.2">
      <c r="A7" s="46" t="s">
        <v>50</v>
      </c>
      <c r="B7" s="47">
        <v>-1198.0852865656811</v>
      </c>
      <c r="C7" s="45"/>
    </row>
    <row r="8" spans="1:3" ht="16.5" customHeight="1" x14ac:dyDescent="0.2">
      <c r="A8" s="48" t="s">
        <v>19</v>
      </c>
      <c r="B8" s="49">
        <v>1777.2663179567462</v>
      </c>
      <c r="C8" s="45"/>
    </row>
    <row r="9" spans="1:3" ht="16.5" customHeight="1" x14ac:dyDescent="0.2">
      <c r="A9" s="45"/>
      <c r="B9" s="45"/>
      <c r="C9"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73"/>
  <sheetViews>
    <sheetView zoomScaleNormal="100" workbookViewId="0"/>
  </sheetViews>
  <sheetFormatPr defaultColWidth="9.140625" defaultRowHeight="16.5" customHeight="1" x14ac:dyDescent="0.2"/>
  <cols>
    <col min="1" max="1" width="24.28515625" style="14" customWidth="1"/>
    <col min="2" max="2" width="27.85546875" style="14" customWidth="1"/>
    <col min="3" max="24" width="10.42578125" style="14" customWidth="1"/>
    <col min="25" max="16384" width="9.140625" style="14"/>
  </cols>
  <sheetData>
    <row r="1" spans="1:44" s="33" customFormat="1" ht="16.5" customHeight="1" x14ac:dyDescent="0.25">
      <c r="A1" s="28" t="s">
        <v>22</v>
      </c>
      <c r="F1" s="34"/>
    </row>
    <row r="2" spans="1:44" ht="16.5" customHeight="1" x14ac:dyDescent="0.2">
      <c r="A2" s="30" t="s">
        <v>34</v>
      </c>
      <c r="B2" s="11" t="s">
        <v>20</v>
      </c>
      <c r="C2" s="35" t="s">
        <v>0</v>
      </c>
      <c r="D2" s="36" t="s">
        <v>1</v>
      </c>
      <c r="E2" s="35" t="s">
        <v>2</v>
      </c>
      <c r="F2" s="36" t="s">
        <v>3</v>
      </c>
      <c r="G2" s="35" t="s">
        <v>4</v>
      </c>
      <c r="H2" s="36" t="s">
        <v>5</v>
      </c>
      <c r="I2" s="35" t="s">
        <v>6</v>
      </c>
      <c r="J2" s="36" t="s">
        <v>7</v>
      </c>
      <c r="K2" s="35" t="s">
        <v>8</v>
      </c>
      <c r="L2" s="36" t="s">
        <v>9</v>
      </c>
      <c r="M2" s="35" t="s">
        <v>10</v>
      </c>
      <c r="N2" s="36" t="s">
        <v>11</v>
      </c>
      <c r="O2" s="35" t="s">
        <v>12</v>
      </c>
      <c r="P2" s="36" t="s">
        <v>13</v>
      </c>
      <c r="Q2" s="35" t="s">
        <v>14</v>
      </c>
      <c r="R2" s="36" t="s">
        <v>15</v>
      </c>
      <c r="S2" s="35" t="s">
        <v>16</v>
      </c>
      <c r="T2" s="36" t="s">
        <v>45</v>
      </c>
      <c r="U2" s="35" t="s">
        <v>61</v>
      </c>
      <c r="V2" s="36" t="s">
        <v>62</v>
      </c>
      <c r="W2" s="35" t="s">
        <v>63</v>
      </c>
      <c r="X2" s="36" t="s">
        <v>64</v>
      </c>
    </row>
    <row r="3" spans="1:44" s="37" customFormat="1" ht="16.5" customHeight="1" x14ac:dyDescent="0.2">
      <c r="A3" s="94" t="s">
        <v>42</v>
      </c>
      <c r="B3" s="15" t="s">
        <v>54</v>
      </c>
      <c r="C3" s="16">
        <v>18219</v>
      </c>
      <c r="D3" s="17">
        <v>18219</v>
      </c>
      <c r="E3" s="16">
        <v>18219</v>
      </c>
      <c r="F3" s="17">
        <v>18219</v>
      </c>
      <c r="G3" s="16">
        <v>16419</v>
      </c>
      <c r="H3" s="17">
        <v>16419</v>
      </c>
      <c r="I3" s="16">
        <v>16419</v>
      </c>
      <c r="J3" s="17">
        <v>16419</v>
      </c>
      <c r="K3" s="16">
        <v>14959</v>
      </c>
      <c r="L3" s="17">
        <v>14959</v>
      </c>
      <c r="M3" s="16">
        <v>13639</v>
      </c>
      <c r="N3" s="17">
        <v>11959</v>
      </c>
      <c r="O3" s="16">
        <v>11959</v>
      </c>
      <c r="P3" s="17">
        <v>11959</v>
      </c>
      <c r="Q3" s="16">
        <v>11959</v>
      </c>
      <c r="R3" s="17">
        <v>11959</v>
      </c>
      <c r="S3" s="16">
        <v>9079</v>
      </c>
      <c r="T3" s="17">
        <v>6439</v>
      </c>
      <c r="U3" s="16">
        <v>5039</v>
      </c>
      <c r="V3" s="17">
        <v>5039</v>
      </c>
      <c r="W3" s="16">
        <v>4339</v>
      </c>
      <c r="X3" s="17">
        <v>4339</v>
      </c>
    </row>
    <row r="4" spans="1:44" s="37" customFormat="1" ht="16.5" customHeight="1" x14ac:dyDescent="0.2">
      <c r="A4" s="94"/>
      <c r="B4" s="15" t="s">
        <v>55</v>
      </c>
      <c r="C4" s="16">
        <v>4808</v>
      </c>
      <c r="D4" s="17">
        <v>4808</v>
      </c>
      <c r="E4" s="16">
        <v>4808</v>
      </c>
      <c r="F4" s="17">
        <v>4808</v>
      </c>
      <c r="G4" s="16">
        <v>4808</v>
      </c>
      <c r="H4" s="17">
        <v>4808</v>
      </c>
      <c r="I4" s="16">
        <v>4808</v>
      </c>
      <c r="J4" s="17">
        <v>4808</v>
      </c>
      <c r="K4" s="16">
        <v>4808</v>
      </c>
      <c r="L4" s="17">
        <v>4808</v>
      </c>
      <c r="M4" s="16">
        <v>4808</v>
      </c>
      <c r="N4" s="17">
        <v>4808</v>
      </c>
      <c r="O4" s="16">
        <v>4808</v>
      </c>
      <c r="P4" s="17">
        <v>4808</v>
      </c>
      <c r="Q4" s="16">
        <v>3280</v>
      </c>
      <c r="R4" s="17">
        <v>3280</v>
      </c>
      <c r="S4" s="16">
        <v>3280</v>
      </c>
      <c r="T4" s="17">
        <v>3280</v>
      </c>
      <c r="U4" s="16">
        <v>3280</v>
      </c>
      <c r="V4" s="17">
        <v>3280</v>
      </c>
      <c r="W4" s="16">
        <v>3280</v>
      </c>
      <c r="X4" s="17">
        <v>3280</v>
      </c>
    </row>
    <row r="5" spans="1:44" s="37" customFormat="1" ht="16.5" customHeight="1" x14ac:dyDescent="0.2">
      <c r="A5" s="94"/>
      <c r="B5" s="15" t="s">
        <v>17</v>
      </c>
      <c r="C5" s="16">
        <v>5364</v>
      </c>
      <c r="D5" s="17">
        <v>5364</v>
      </c>
      <c r="E5" s="16">
        <v>5364</v>
      </c>
      <c r="F5" s="17">
        <v>5364</v>
      </c>
      <c r="G5" s="16">
        <v>5364</v>
      </c>
      <c r="H5" s="17">
        <v>5364</v>
      </c>
      <c r="I5" s="16">
        <v>5364</v>
      </c>
      <c r="J5" s="17">
        <v>5364</v>
      </c>
      <c r="K5" s="16">
        <v>5364</v>
      </c>
      <c r="L5" s="17">
        <v>5364</v>
      </c>
      <c r="M5" s="16">
        <v>5364</v>
      </c>
      <c r="N5" s="17">
        <v>5364</v>
      </c>
      <c r="O5" s="16">
        <v>5364</v>
      </c>
      <c r="P5" s="17">
        <v>5364</v>
      </c>
      <c r="Q5" s="16">
        <v>5364</v>
      </c>
      <c r="R5" s="17">
        <v>5364</v>
      </c>
      <c r="S5" s="16">
        <v>5364</v>
      </c>
      <c r="T5" s="17">
        <v>5364</v>
      </c>
      <c r="U5" s="16">
        <v>5364</v>
      </c>
      <c r="V5" s="17">
        <v>5364</v>
      </c>
      <c r="W5" s="16">
        <v>5364</v>
      </c>
      <c r="X5" s="17">
        <v>5364</v>
      </c>
    </row>
    <row r="6" spans="1:44" s="37" customFormat="1" ht="16.5" customHeight="1" x14ac:dyDescent="0.2">
      <c r="A6" s="94"/>
      <c r="B6" s="15" t="s">
        <v>44</v>
      </c>
      <c r="C6" s="16">
        <v>4111</v>
      </c>
      <c r="D6" s="17">
        <v>4111</v>
      </c>
      <c r="E6" s="16">
        <v>4111</v>
      </c>
      <c r="F6" s="17">
        <v>4111</v>
      </c>
      <c r="G6" s="16">
        <v>4111</v>
      </c>
      <c r="H6" s="17">
        <v>4111</v>
      </c>
      <c r="I6" s="16">
        <v>2649</v>
      </c>
      <c r="J6" s="17">
        <v>2649</v>
      </c>
      <c r="K6" s="16">
        <v>2649</v>
      </c>
      <c r="L6" s="17">
        <v>2649</v>
      </c>
      <c r="M6" s="16">
        <v>2649</v>
      </c>
      <c r="N6" s="17">
        <v>2649</v>
      </c>
      <c r="O6" s="16">
        <v>2649</v>
      </c>
      <c r="P6" s="17">
        <v>2139</v>
      </c>
      <c r="Q6" s="16">
        <v>2139</v>
      </c>
      <c r="R6" s="17">
        <v>2139</v>
      </c>
      <c r="S6" s="16">
        <v>2139</v>
      </c>
      <c r="T6" s="17">
        <v>2139</v>
      </c>
      <c r="U6" s="16">
        <v>2139</v>
      </c>
      <c r="V6" s="17">
        <v>2139</v>
      </c>
      <c r="W6" s="16">
        <v>2139</v>
      </c>
      <c r="X6" s="17">
        <v>2139</v>
      </c>
    </row>
    <row r="7" spans="1:44" s="37" customFormat="1" ht="16.5" customHeight="1" x14ac:dyDescent="0.2">
      <c r="A7" s="94"/>
      <c r="B7" s="15" t="s">
        <v>56</v>
      </c>
      <c r="C7" s="16">
        <v>6967</v>
      </c>
      <c r="D7" s="17">
        <v>6943</v>
      </c>
      <c r="E7" s="16">
        <v>6943</v>
      </c>
      <c r="F7" s="17">
        <v>6669</v>
      </c>
      <c r="G7" s="16">
        <v>6669</v>
      </c>
      <c r="H7" s="17">
        <v>6669</v>
      </c>
      <c r="I7" s="16">
        <v>6669</v>
      </c>
      <c r="J7" s="17">
        <v>6669</v>
      </c>
      <c r="K7" s="16">
        <v>6669</v>
      </c>
      <c r="L7" s="17">
        <v>6669</v>
      </c>
      <c r="M7" s="16">
        <v>6669</v>
      </c>
      <c r="N7" s="17">
        <v>6669</v>
      </c>
      <c r="O7" s="16">
        <v>6669</v>
      </c>
      <c r="P7" s="17">
        <v>6669</v>
      </c>
      <c r="Q7" s="16">
        <v>6669</v>
      </c>
      <c r="R7" s="17">
        <v>6669</v>
      </c>
      <c r="S7" s="16">
        <v>6669</v>
      </c>
      <c r="T7" s="17">
        <v>6669</v>
      </c>
      <c r="U7" s="16">
        <v>6669</v>
      </c>
      <c r="V7" s="17">
        <v>6669</v>
      </c>
      <c r="W7" s="16">
        <v>6669</v>
      </c>
      <c r="X7" s="17">
        <v>6669</v>
      </c>
    </row>
    <row r="8" spans="1:44" s="37" customFormat="1" ht="16.5" customHeight="1" x14ac:dyDescent="0.2">
      <c r="A8" s="94"/>
      <c r="B8" s="15" t="s">
        <v>18</v>
      </c>
      <c r="C8" s="16">
        <v>5824</v>
      </c>
      <c r="D8" s="17">
        <v>7718</v>
      </c>
      <c r="E8" s="16">
        <v>8118</v>
      </c>
      <c r="F8" s="17">
        <v>8518</v>
      </c>
      <c r="G8" s="16">
        <v>8918</v>
      </c>
      <c r="H8" s="17">
        <v>9811</v>
      </c>
      <c r="I8" s="16">
        <v>10211</v>
      </c>
      <c r="J8" s="17">
        <v>10211</v>
      </c>
      <c r="K8" s="16">
        <v>10211</v>
      </c>
      <c r="L8" s="17">
        <v>10240</v>
      </c>
      <c r="M8" s="16">
        <v>10379</v>
      </c>
      <c r="N8" s="17">
        <v>10676</v>
      </c>
      <c r="O8" s="16">
        <v>10676</v>
      </c>
      <c r="P8" s="17">
        <v>10676</v>
      </c>
      <c r="Q8" s="16">
        <v>10676</v>
      </c>
      <c r="R8" s="17">
        <v>10676</v>
      </c>
      <c r="S8" s="16">
        <v>10676</v>
      </c>
      <c r="T8" s="17">
        <v>10763</v>
      </c>
      <c r="U8" s="16">
        <v>11415</v>
      </c>
      <c r="V8" s="17">
        <v>11415</v>
      </c>
      <c r="W8" s="16">
        <v>11656</v>
      </c>
      <c r="X8" s="17">
        <v>11656</v>
      </c>
    </row>
    <row r="9" spans="1:44" s="37" customFormat="1" ht="16.5" customHeight="1" x14ac:dyDescent="0.2">
      <c r="A9" s="94"/>
      <c r="B9" s="15" t="s">
        <v>57</v>
      </c>
      <c r="C9" s="16">
        <v>2212</v>
      </c>
      <c r="D9" s="17">
        <v>2412</v>
      </c>
      <c r="E9" s="16">
        <v>2412</v>
      </c>
      <c r="F9" s="17">
        <v>2508</v>
      </c>
      <c r="G9" s="16">
        <v>2668</v>
      </c>
      <c r="H9" s="17">
        <v>3252</v>
      </c>
      <c r="I9" s="16">
        <v>3412</v>
      </c>
      <c r="J9" s="17">
        <v>3990</v>
      </c>
      <c r="K9" s="16">
        <v>4727</v>
      </c>
      <c r="L9" s="17">
        <v>5343</v>
      </c>
      <c r="M9" s="16">
        <v>5849</v>
      </c>
      <c r="N9" s="17">
        <v>6126</v>
      </c>
      <c r="O9" s="16">
        <v>6126</v>
      </c>
      <c r="P9" s="17">
        <v>6126</v>
      </c>
      <c r="Q9" s="16">
        <v>6126</v>
      </c>
      <c r="R9" s="17">
        <v>6126</v>
      </c>
      <c r="S9" s="16">
        <v>6126</v>
      </c>
      <c r="T9" s="17">
        <v>7224</v>
      </c>
      <c r="U9" s="16">
        <v>7424</v>
      </c>
      <c r="V9" s="17">
        <v>7424</v>
      </c>
      <c r="W9" s="16">
        <v>7424</v>
      </c>
      <c r="X9" s="17">
        <v>7424</v>
      </c>
    </row>
    <row r="10" spans="1:44" s="37" customFormat="1" ht="16.5" customHeight="1" x14ac:dyDescent="0.2">
      <c r="A10" s="94"/>
      <c r="B10" s="15" t="s">
        <v>58</v>
      </c>
      <c r="C10" s="16">
        <v>2681</v>
      </c>
      <c r="D10" s="17">
        <v>2701</v>
      </c>
      <c r="E10" s="16">
        <v>2801</v>
      </c>
      <c r="F10" s="17">
        <v>2801</v>
      </c>
      <c r="G10" s="16">
        <v>2801</v>
      </c>
      <c r="H10" s="17">
        <v>2801</v>
      </c>
      <c r="I10" s="16">
        <v>2801</v>
      </c>
      <c r="J10" s="17">
        <v>2801</v>
      </c>
      <c r="K10" s="16">
        <v>2801</v>
      </c>
      <c r="L10" s="17">
        <v>2801</v>
      </c>
      <c r="M10" s="16">
        <v>2801</v>
      </c>
      <c r="N10" s="17">
        <v>2801</v>
      </c>
      <c r="O10" s="16">
        <v>2801</v>
      </c>
      <c r="P10" s="17">
        <v>2801</v>
      </c>
      <c r="Q10" s="16">
        <v>2801</v>
      </c>
      <c r="R10" s="17">
        <v>2801</v>
      </c>
      <c r="S10" s="16">
        <v>2801</v>
      </c>
      <c r="T10" s="17">
        <v>4836</v>
      </c>
      <c r="U10" s="16">
        <v>5498</v>
      </c>
      <c r="V10" s="17">
        <v>5498</v>
      </c>
      <c r="W10" s="16">
        <v>5896</v>
      </c>
      <c r="X10" s="17">
        <v>5896</v>
      </c>
    </row>
    <row r="11" spans="1:44" s="37" customFormat="1" ht="16.5" customHeight="1" x14ac:dyDescent="0.2">
      <c r="A11" s="94"/>
      <c r="B11" s="15" t="s">
        <v>59</v>
      </c>
      <c r="C11" s="16">
        <v>0</v>
      </c>
      <c r="D11" s="17">
        <v>0</v>
      </c>
      <c r="E11" s="16">
        <v>0</v>
      </c>
      <c r="F11" s="17">
        <v>0</v>
      </c>
      <c r="G11" s="16">
        <v>0</v>
      </c>
      <c r="H11" s="17">
        <v>0</v>
      </c>
      <c r="I11" s="16">
        <v>0</v>
      </c>
      <c r="J11" s="17">
        <v>0</v>
      </c>
      <c r="K11" s="16">
        <v>0</v>
      </c>
      <c r="L11" s="17">
        <v>0</v>
      </c>
      <c r="M11" s="16">
        <v>0</v>
      </c>
      <c r="N11" s="17">
        <v>0</v>
      </c>
      <c r="O11" s="16">
        <v>0</v>
      </c>
      <c r="P11" s="17">
        <v>0</v>
      </c>
      <c r="Q11" s="16">
        <v>0</v>
      </c>
      <c r="R11" s="17">
        <v>0</v>
      </c>
      <c r="S11" s="16">
        <v>0</v>
      </c>
      <c r="T11" s="17">
        <v>126</v>
      </c>
      <c r="U11" s="16">
        <v>126</v>
      </c>
      <c r="V11" s="17">
        <v>126</v>
      </c>
      <c r="W11" s="16">
        <v>126</v>
      </c>
      <c r="X11" s="17">
        <v>126</v>
      </c>
    </row>
    <row r="12" spans="1:44" s="37" customFormat="1" ht="16.5" customHeight="1" x14ac:dyDescent="0.2">
      <c r="A12" s="94"/>
      <c r="B12" s="15" t="s">
        <v>60</v>
      </c>
      <c r="C12" s="16">
        <v>312.26</v>
      </c>
      <c r="D12" s="17">
        <v>601.14</v>
      </c>
      <c r="E12" s="16">
        <v>977.37</v>
      </c>
      <c r="F12" s="17">
        <v>1323.6</v>
      </c>
      <c r="G12" s="16">
        <v>1656.16</v>
      </c>
      <c r="H12" s="17">
        <v>1975.32</v>
      </c>
      <c r="I12" s="16">
        <v>2288.36</v>
      </c>
      <c r="J12" s="17">
        <v>2587.9499999999998</v>
      </c>
      <c r="K12" s="16">
        <v>2881.12</v>
      </c>
      <c r="L12" s="17">
        <v>3166.67</v>
      </c>
      <c r="M12" s="16">
        <v>3446.18</v>
      </c>
      <c r="N12" s="17">
        <v>3723.38</v>
      </c>
      <c r="O12" s="16">
        <v>3980.08</v>
      </c>
      <c r="P12" s="17">
        <v>4212.34</v>
      </c>
      <c r="Q12" s="16">
        <v>4435.8900000000003</v>
      </c>
      <c r="R12" s="17">
        <v>4651.38</v>
      </c>
      <c r="S12" s="16">
        <v>4860.53</v>
      </c>
      <c r="T12" s="17">
        <v>5065.55</v>
      </c>
      <c r="U12" s="16">
        <v>5261.95</v>
      </c>
      <c r="V12" s="17">
        <v>5452.1</v>
      </c>
      <c r="W12" s="16">
        <v>5592.66</v>
      </c>
      <c r="X12" s="17">
        <v>5774.18</v>
      </c>
    </row>
    <row r="13" spans="1:44" s="37" customFormat="1" ht="16.5" customHeight="1" x14ac:dyDescent="0.2">
      <c r="A13" s="94"/>
      <c r="B13" s="15" t="s">
        <v>41</v>
      </c>
      <c r="C13" s="16">
        <v>7324</v>
      </c>
      <c r="D13" s="17">
        <v>8264</v>
      </c>
      <c r="E13" s="16">
        <v>9186</v>
      </c>
      <c r="F13" s="17">
        <v>10082</v>
      </c>
      <c r="G13" s="16">
        <v>10958</v>
      </c>
      <c r="H13" s="17">
        <v>11817</v>
      </c>
      <c r="I13" s="16">
        <v>12651</v>
      </c>
      <c r="J13" s="17">
        <v>13459</v>
      </c>
      <c r="K13" s="16">
        <v>14248</v>
      </c>
      <c r="L13" s="17">
        <v>15010</v>
      </c>
      <c r="M13" s="16">
        <v>15739</v>
      </c>
      <c r="N13" s="17">
        <v>16439</v>
      </c>
      <c r="O13" s="16">
        <v>17092</v>
      </c>
      <c r="P13" s="17">
        <v>17701</v>
      </c>
      <c r="Q13" s="16">
        <v>18245</v>
      </c>
      <c r="R13" s="17">
        <v>18744</v>
      </c>
      <c r="S13" s="16">
        <v>19214</v>
      </c>
      <c r="T13" s="17">
        <v>19655</v>
      </c>
      <c r="U13" s="16">
        <v>20058</v>
      </c>
      <c r="V13" s="17">
        <v>20386</v>
      </c>
      <c r="W13" s="16">
        <v>20724</v>
      </c>
      <c r="X13" s="17">
        <v>21018</v>
      </c>
    </row>
    <row r="14" spans="1:44" s="37" customFormat="1" ht="16.5" customHeight="1" x14ac:dyDescent="0.2">
      <c r="A14" s="94"/>
      <c r="B14" s="23" t="s">
        <v>19</v>
      </c>
      <c r="C14" s="24">
        <f>SUM(C3:C13)</f>
        <v>57822.26</v>
      </c>
      <c r="D14" s="25">
        <f t="shared" ref="D14:X14" si="0">SUM(D3:D13)</f>
        <v>61141.14</v>
      </c>
      <c r="E14" s="24">
        <f t="shared" si="0"/>
        <v>62939.37</v>
      </c>
      <c r="F14" s="25">
        <f t="shared" si="0"/>
        <v>64403.6</v>
      </c>
      <c r="G14" s="24">
        <f t="shared" si="0"/>
        <v>64372.160000000003</v>
      </c>
      <c r="H14" s="25">
        <f t="shared" si="0"/>
        <v>67027.320000000007</v>
      </c>
      <c r="I14" s="24">
        <f t="shared" si="0"/>
        <v>67272.36</v>
      </c>
      <c r="J14" s="25">
        <f t="shared" si="0"/>
        <v>68957.95</v>
      </c>
      <c r="K14" s="24">
        <f t="shared" si="0"/>
        <v>69317.119999999995</v>
      </c>
      <c r="L14" s="25">
        <f t="shared" si="0"/>
        <v>71009.67</v>
      </c>
      <c r="M14" s="24">
        <f t="shared" si="0"/>
        <v>71343.179999999993</v>
      </c>
      <c r="N14" s="25">
        <f t="shared" si="0"/>
        <v>71214.38</v>
      </c>
      <c r="O14" s="24">
        <f t="shared" si="0"/>
        <v>72124.08</v>
      </c>
      <c r="P14" s="25">
        <f t="shared" si="0"/>
        <v>72455.34</v>
      </c>
      <c r="Q14" s="24">
        <f t="shared" si="0"/>
        <v>71694.89</v>
      </c>
      <c r="R14" s="25">
        <f t="shared" si="0"/>
        <v>72409.38</v>
      </c>
      <c r="S14" s="24">
        <f t="shared" si="0"/>
        <v>70208.53</v>
      </c>
      <c r="T14" s="25">
        <f t="shared" si="0"/>
        <v>71560.55</v>
      </c>
      <c r="U14" s="24">
        <f t="shared" si="0"/>
        <v>72273.95</v>
      </c>
      <c r="V14" s="25">
        <f t="shared" si="0"/>
        <v>72792.100000000006</v>
      </c>
      <c r="W14" s="24">
        <f t="shared" si="0"/>
        <v>73209.66</v>
      </c>
      <c r="X14" s="25">
        <f t="shared" si="0"/>
        <v>73685.179999999993</v>
      </c>
    </row>
    <row r="15" spans="1:44" s="37" customFormat="1" ht="16.5" customHeight="1" x14ac:dyDescent="0.2">
      <c r="B15" s="38"/>
      <c r="C15" s="38"/>
      <c r="D15" s="38"/>
      <c r="E15" s="38"/>
      <c r="F15" s="38"/>
      <c r="G15" s="38"/>
      <c r="H15" s="38"/>
      <c r="I15" s="38"/>
      <c r="J15" s="38"/>
      <c r="K15" s="38"/>
      <c r="L15" s="38"/>
      <c r="M15" s="38"/>
      <c r="N15" s="38"/>
      <c r="O15" s="38"/>
      <c r="P15" s="38"/>
      <c r="Q15" s="38"/>
      <c r="R15" s="38"/>
      <c r="S15" s="38"/>
      <c r="T15" s="38"/>
      <c r="U15" s="38"/>
      <c r="AP15" s="38"/>
      <c r="AQ15" s="38"/>
      <c r="AR15" s="38"/>
    </row>
    <row r="16" spans="1:44" s="37" customFormat="1" ht="16.5" customHeight="1" x14ac:dyDescent="0.2">
      <c r="AP16" s="38"/>
      <c r="AQ16" s="38"/>
      <c r="AR16" s="38"/>
    </row>
    <row r="17" spans="1:44" ht="16.5" customHeight="1" x14ac:dyDescent="0.2">
      <c r="C17" s="39"/>
      <c r="D17" s="39"/>
      <c r="E17" s="39"/>
      <c r="F17" s="39"/>
      <c r="G17" s="39"/>
      <c r="H17" s="39"/>
      <c r="I17" s="39"/>
      <c r="J17" s="39"/>
      <c r="K17" s="39"/>
      <c r="L17" s="39"/>
      <c r="M17" s="39"/>
      <c r="N17" s="39"/>
      <c r="O17" s="39"/>
      <c r="P17" s="39"/>
      <c r="Q17" s="39"/>
      <c r="R17" s="39"/>
      <c r="S17" s="39"/>
      <c r="T17" s="39"/>
      <c r="U17" s="39"/>
      <c r="V17" s="39"/>
      <c r="W17" s="39"/>
      <c r="X17" s="39"/>
      <c r="AP17" s="39"/>
      <c r="AQ17" s="39"/>
      <c r="AR17" s="39"/>
    </row>
    <row r="18" spans="1:44" ht="16.5" customHeight="1" x14ac:dyDescent="0.2">
      <c r="A18" s="30" t="s">
        <v>34</v>
      </c>
      <c r="B18" s="11" t="s">
        <v>20</v>
      </c>
      <c r="C18" s="35" t="s">
        <v>0</v>
      </c>
      <c r="D18" s="36" t="s">
        <v>1</v>
      </c>
      <c r="E18" s="35" t="s">
        <v>2</v>
      </c>
      <c r="F18" s="36" t="s">
        <v>3</v>
      </c>
      <c r="G18" s="35" t="s">
        <v>4</v>
      </c>
      <c r="H18" s="36" t="s">
        <v>5</v>
      </c>
      <c r="I18" s="35" t="s">
        <v>6</v>
      </c>
      <c r="J18" s="36" t="s">
        <v>7</v>
      </c>
      <c r="K18" s="35" t="s">
        <v>8</v>
      </c>
      <c r="L18" s="36" t="s">
        <v>9</v>
      </c>
      <c r="M18" s="35" t="s">
        <v>10</v>
      </c>
      <c r="N18" s="36" t="s">
        <v>11</v>
      </c>
      <c r="O18" s="35" t="s">
        <v>12</v>
      </c>
      <c r="P18" s="36" t="s">
        <v>13</v>
      </c>
      <c r="Q18" s="35" t="s">
        <v>14</v>
      </c>
      <c r="R18" s="36" t="s">
        <v>15</v>
      </c>
      <c r="S18" s="35" t="s">
        <v>16</v>
      </c>
      <c r="T18" s="36" t="s">
        <v>45</v>
      </c>
      <c r="U18" s="35" t="s">
        <v>61</v>
      </c>
      <c r="V18" s="36" t="s">
        <v>62</v>
      </c>
      <c r="W18" s="35" t="s">
        <v>63</v>
      </c>
      <c r="X18" s="36" t="s">
        <v>64</v>
      </c>
    </row>
    <row r="19" spans="1:44" ht="16.5" customHeight="1" x14ac:dyDescent="0.2">
      <c r="A19" s="94" t="s">
        <v>35</v>
      </c>
      <c r="B19" s="15" t="s">
        <v>54</v>
      </c>
      <c r="C19" s="16">
        <v>10040</v>
      </c>
      <c r="D19" s="17">
        <v>10040</v>
      </c>
      <c r="E19" s="16">
        <v>10040</v>
      </c>
      <c r="F19" s="17">
        <v>10040</v>
      </c>
      <c r="G19" s="16">
        <v>8240</v>
      </c>
      <c r="H19" s="17">
        <v>8240</v>
      </c>
      <c r="I19" s="16">
        <v>8240</v>
      </c>
      <c r="J19" s="17">
        <v>8240</v>
      </c>
      <c r="K19" s="16">
        <v>8240</v>
      </c>
      <c r="L19" s="17">
        <v>8240</v>
      </c>
      <c r="M19" s="16">
        <v>6920</v>
      </c>
      <c r="N19" s="17">
        <v>6920</v>
      </c>
      <c r="O19" s="16">
        <v>6920</v>
      </c>
      <c r="P19" s="17">
        <v>6920</v>
      </c>
      <c r="Q19" s="16">
        <v>6920</v>
      </c>
      <c r="R19" s="17">
        <v>6920</v>
      </c>
      <c r="S19" s="16">
        <v>4040</v>
      </c>
      <c r="T19" s="17">
        <v>1400</v>
      </c>
      <c r="U19" s="16">
        <v>1400</v>
      </c>
      <c r="V19" s="17">
        <v>1400</v>
      </c>
      <c r="W19" s="16">
        <v>1400</v>
      </c>
      <c r="X19" s="17">
        <v>1400</v>
      </c>
    </row>
    <row r="20" spans="1:44" ht="16.5" customHeight="1" x14ac:dyDescent="0.2">
      <c r="A20" s="94"/>
      <c r="B20" s="15" t="s">
        <v>55</v>
      </c>
      <c r="C20" s="16">
        <v>0</v>
      </c>
      <c r="D20" s="17">
        <v>0</v>
      </c>
      <c r="E20" s="16">
        <v>0</v>
      </c>
      <c r="F20" s="17">
        <v>0</v>
      </c>
      <c r="G20" s="16">
        <v>0</v>
      </c>
      <c r="H20" s="17">
        <v>0</v>
      </c>
      <c r="I20" s="16">
        <v>0</v>
      </c>
      <c r="J20" s="17">
        <v>0</v>
      </c>
      <c r="K20" s="16">
        <v>0</v>
      </c>
      <c r="L20" s="17">
        <v>0</v>
      </c>
      <c r="M20" s="16">
        <v>0</v>
      </c>
      <c r="N20" s="17">
        <v>0</v>
      </c>
      <c r="O20" s="16">
        <v>0</v>
      </c>
      <c r="P20" s="17">
        <v>0</v>
      </c>
      <c r="Q20" s="16">
        <v>0</v>
      </c>
      <c r="R20" s="17">
        <v>0</v>
      </c>
      <c r="S20" s="16">
        <v>0</v>
      </c>
      <c r="T20" s="17">
        <v>0</v>
      </c>
      <c r="U20" s="16">
        <v>0</v>
      </c>
      <c r="V20" s="17">
        <v>0</v>
      </c>
      <c r="W20" s="16">
        <v>0</v>
      </c>
      <c r="X20" s="17">
        <v>0</v>
      </c>
    </row>
    <row r="21" spans="1:44" ht="16.5" customHeight="1" x14ac:dyDescent="0.2">
      <c r="A21" s="94"/>
      <c r="B21" s="15" t="s">
        <v>17</v>
      </c>
      <c r="C21" s="16">
        <v>822</v>
      </c>
      <c r="D21" s="17">
        <v>822</v>
      </c>
      <c r="E21" s="16">
        <v>822</v>
      </c>
      <c r="F21" s="17">
        <v>822</v>
      </c>
      <c r="G21" s="16">
        <v>822</v>
      </c>
      <c r="H21" s="17">
        <v>822</v>
      </c>
      <c r="I21" s="16">
        <v>822</v>
      </c>
      <c r="J21" s="17">
        <v>822</v>
      </c>
      <c r="K21" s="16">
        <v>822</v>
      </c>
      <c r="L21" s="17">
        <v>822</v>
      </c>
      <c r="M21" s="16">
        <v>822</v>
      </c>
      <c r="N21" s="17">
        <v>822</v>
      </c>
      <c r="O21" s="16">
        <v>822</v>
      </c>
      <c r="P21" s="17">
        <v>822</v>
      </c>
      <c r="Q21" s="16">
        <v>822</v>
      </c>
      <c r="R21" s="17">
        <v>822</v>
      </c>
      <c r="S21" s="16">
        <v>822</v>
      </c>
      <c r="T21" s="17">
        <v>822</v>
      </c>
      <c r="U21" s="16">
        <v>822</v>
      </c>
      <c r="V21" s="17">
        <v>822</v>
      </c>
      <c r="W21" s="16">
        <v>822</v>
      </c>
      <c r="X21" s="17">
        <v>822</v>
      </c>
    </row>
    <row r="22" spans="1:44" ht="16.5" customHeight="1" x14ac:dyDescent="0.2">
      <c r="A22" s="94"/>
      <c r="B22" s="15" t="s">
        <v>44</v>
      </c>
      <c r="C22" s="16">
        <v>618</v>
      </c>
      <c r="D22" s="17">
        <v>618</v>
      </c>
      <c r="E22" s="16">
        <v>618</v>
      </c>
      <c r="F22" s="17">
        <v>618</v>
      </c>
      <c r="G22" s="16">
        <v>618</v>
      </c>
      <c r="H22" s="17">
        <v>618</v>
      </c>
      <c r="I22" s="16">
        <v>618</v>
      </c>
      <c r="J22" s="17">
        <v>618</v>
      </c>
      <c r="K22" s="16">
        <v>618</v>
      </c>
      <c r="L22" s="17">
        <v>618</v>
      </c>
      <c r="M22" s="16">
        <v>618</v>
      </c>
      <c r="N22" s="17">
        <v>618</v>
      </c>
      <c r="O22" s="16">
        <v>618</v>
      </c>
      <c r="P22" s="17">
        <v>618</v>
      </c>
      <c r="Q22" s="16">
        <v>618</v>
      </c>
      <c r="R22" s="17">
        <v>618</v>
      </c>
      <c r="S22" s="16">
        <v>618</v>
      </c>
      <c r="T22" s="17">
        <v>618</v>
      </c>
      <c r="U22" s="16">
        <v>618</v>
      </c>
      <c r="V22" s="17">
        <v>618</v>
      </c>
      <c r="W22" s="16">
        <v>618</v>
      </c>
      <c r="X22" s="17">
        <v>618</v>
      </c>
    </row>
    <row r="23" spans="1:44" ht="16.5" customHeight="1" x14ac:dyDescent="0.2">
      <c r="A23" s="94"/>
      <c r="B23" s="15" t="s">
        <v>56</v>
      </c>
      <c r="C23" s="16">
        <v>1438</v>
      </c>
      <c r="D23" s="17">
        <v>1438</v>
      </c>
      <c r="E23" s="16">
        <v>1438</v>
      </c>
      <c r="F23" s="17">
        <v>1438</v>
      </c>
      <c r="G23" s="16">
        <v>1438</v>
      </c>
      <c r="H23" s="17">
        <v>1438</v>
      </c>
      <c r="I23" s="16">
        <v>1438</v>
      </c>
      <c r="J23" s="17">
        <v>1438</v>
      </c>
      <c r="K23" s="16">
        <v>1438</v>
      </c>
      <c r="L23" s="17">
        <v>1438</v>
      </c>
      <c r="M23" s="16">
        <v>1438</v>
      </c>
      <c r="N23" s="17">
        <v>1438</v>
      </c>
      <c r="O23" s="16">
        <v>1438</v>
      </c>
      <c r="P23" s="17">
        <v>1438</v>
      </c>
      <c r="Q23" s="16">
        <v>1438</v>
      </c>
      <c r="R23" s="17">
        <v>1438</v>
      </c>
      <c r="S23" s="16">
        <v>1438</v>
      </c>
      <c r="T23" s="17">
        <v>1438</v>
      </c>
      <c r="U23" s="16">
        <v>1438</v>
      </c>
      <c r="V23" s="17">
        <v>1438</v>
      </c>
      <c r="W23" s="16">
        <v>1438</v>
      </c>
      <c r="X23" s="17">
        <v>1438</v>
      </c>
    </row>
    <row r="24" spans="1:44" ht="16.5" customHeight="1" x14ac:dyDescent="0.2">
      <c r="A24" s="94"/>
      <c r="B24" s="15" t="s">
        <v>18</v>
      </c>
      <c r="C24" s="16">
        <v>1301</v>
      </c>
      <c r="D24" s="17">
        <v>1500</v>
      </c>
      <c r="E24" s="16">
        <v>1500</v>
      </c>
      <c r="F24" s="17">
        <v>1500</v>
      </c>
      <c r="G24" s="16">
        <v>1500</v>
      </c>
      <c r="H24" s="17">
        <v>1500</v>
      </c>
      <c r="I24" s="16">
        <v>1500</v>
      </c>
      <c r="J24" s="17">
        <v>1500</v>
      </c>
      <c r="K24" s="16">
        <v>1500</v>
      </c>
      <c r="L24" s="17">
        <v>1500</v>
      </c>
      <c r="M24" s="16">
        <v>1500</v>
      </c>
      <c r="N24" s="17">
        <v>1500</v>
      </c>
      <c r="O24" s="16">
        <v>1500</v>
      </c>
      <c r="P24" s="17">
        <v>1500</v>
      </c>
      <c r="Q24" s="16">
        <v>1500</v>
      </c>
      <c r="R24" s="17">
        <v>1500</v>
      </c>
      <c r="S24" s="16">
        <v>1500</v>
      </c>
      <c r="T24" s="17">
        <v>1586</v>
      </c>
      <c r="U24" s="16">
        <v>2075</v>
      </c>
      <c r="V24" s="17">
        <v>2075</v>
      </c>
      <c r="W24" s="16">
        <v>2106</v>
      </c>
      <c r="X24" s="17">
        <v>2106</v>
      </c>
    </row>
    <row r="25" spans="1:44" ht="16.5" customHeight="1" x14ac:dyDescent="0.2">
      <c r="A25" s="94"/>
      <c r="B25" s="15" t="s">
        <v>57</v>
      </c>
      <c r="C25" s="16">
        <v>346</v>
      </c>
      <c r="D25" s="17">
        <v>446</v>
      </c>
      <c r="E25" s="16">
        <v>446</v>
      </c>
      <c r="F25" s="17">
        <v>446</v>
      </c>
      <c r="G25" s="16">
        <v>446</v>
      </c>
      <c r="H25" s="17">
        <v>446</v>
      </c>
      <c r="I25" s="16">
        <v>446</v>
      </c>
      <c r="J25" s="17">
        <v>446</v>
      </c>
      <c r="K25" s="16">
        <v>446</v>
      </c>
      <c r="L25" s="17">
        <v>446</v>
      </c>
      <c r="M25" s="16">
        <v>446</v>
      </c>
      <c r="N25" s="17">
        <v>446</v>
      </c>
      <c r="O25" s="16">
        <v>446</v>
      </c>
      <c r="P25" s="17">
        <v>446</v>
      </c>
      <c r="Q25" s="16">
        <v>446</v>
      </c>
      <c r="R25" s="17">
        <v>446</v>
      </c>
      <c r="S25" s="16">
        <v>446</v>
      </c>
      <c r="T25" s="17">
        <v>896</v>
      </c>
      <c r="U25" s="16">
        <v>946</v>
      </c>
      <c r="V25" s="17">
        <v>946</v>
      </c>
      <c r="W25" s="16">
        <v>946</v>
      </c>
      <c r="X25" s="17">
        <v>946</v>
      </c>
    </row>
    <row r="26" spans="1:44" ht="16.5" customHeight="1" x14ac:dyDescent="0.2">
      <c r="A26" s="94"/>
      <c r="B26" s="15" t="s">
        <v>58</v>
      </c>
      <c r="C26" s="16">
        <v>2040</v>
      </c>
      <c r="D26" s="17">
        <v>2040</v>
      </c>
      <c r="E26" s="16">
        <v>2040</v>
      </c>
      <c r="F26" s="17">
        <v>2040</v>
      </c>
      <c r="G26" s="16">
        <v>2040</v>
      </c>
      <c r="H26" s="17">
        <v>2040</v>
      </c>
      <c r="I26" s="16">
        <v>2040</v>
      </c>
      <c r="J26" s="17">
        <v>2040</v>
      </c>
      <c r="K26" s="16">
        <v>2040</v>
      </c>
      <c r="L26" s="17">
        <v>2040</v>
      </c>
      <c r="M26" s="16">
        <v>2040</v>
      </c>
      <c r="N26" s="17">
        <v>2040</v>
      </c>
      <c r="O26" s="16">
        <v>2040</v>
      </c>
      <c r="P26" s="17">
        <v>2040</v>
      </c>
      <c r="Q26" s="16">
        <v>2040</v>
      </c>
      <c r="R26" s="17">
        <v>2040</v>
      </c>
      <c r="S26" s="16">
        <v>2040</v>
      </c>
      <c r="T26" s="17">
        <v>2974</v>
      </c>
      <c r="U26" s="16">
        <v>2974</v>
      </c>
      <c r="V26" s="17">
        <v>2974</v>
      </c>
      <c r="W26" s="16">
        <v>2974</v>
      </c>
      <c r="X26" s="17">
        <v>2974</v>
      </c>
    </row>
    <row r="27" spans="1:44" ht="16.5" customHeight="1" x14ac:dyDescent="0.2">
      <c r="A27" s="94"/>
      <c r="B27" s="15" t="s">
        <v>59</v>
      </c>
      <c r="C27" s="16">
        <v>0</v>
      </c>
      <c r="D27" s="17">
        <v>0</v>
      </c>
      <c r="E27" s="16">
        <v>0</v>
      </c>
      <c r="F27" s="17">
        <v>0</v>
      </c>
      <c r="G27" s="16">
        <v>0</v>
      </c>
      <c r="H27" s="17">
        <v>0</v>
      </c>
      <c r="I27" s="16">
        <v>0</v>
      </c>
      <c r="J27" s="17">
        <v>0</v>
      </c>
      <c r="K27" s="16">
        <v>0</v>
      </c>
      <c r="L27" s="17">
        <v>0</v>
      </c>
      <c r="M27" s="16">
        <v>0</v>
      </c>
      <c r="N27" s="17">
        <v>0</v>
      </c>
      <c r="O27" s="16">
        <v>0</v>
      </c>
      <c r="P27" s="17">
        <v>0</v>
      </c>
      <c r="Q27" s="16">
        <v>0</v>
      </c>
      <c r="R27" s="17">
        <v>0</v>
      </c>
      <c r="S27" s="16">
        <v>0</v>
      </c>
      <c r="T27" s="17">
        <v>100</v>
      </c>
      <c r="U27" s="16">
        <v>100</v>
      </c>
      <c r="V27" s="17">
        <v>100</v>
      </c>
      <c r="W27" s="16">
        <v>100</v>
      </c>
      <c r="X27" s="17">
        <v>100</v>
      </c>
    </row>
    <row r="28" spans="1:44" ht="16.5" customHeight="1" x14ac:dyDescent="0.2">
      <c r="A28" s="94"/>
      <c r="B28" s="15" t="s">
        <v>60</v>
      </c>
      <c r="C28" s="16">
        <v>132.4</v>
      </c>
      <c r="D28" s="17">
        <v>251.09</v>
      </c>
      <c r="E28" s="16">
        <v>408.31</v>
      </c>
      <c r="F28" s="17">
        <v>564.98</v>
      </c>
      <c r="G28" s="16">
        <v>720.25</v>
      </c>
      <c r="H28" s="17">
        <v>876.43</v>
      </c>
      <c r="I28" s="16">
        <v>1030.74</v>
      </c>
      <c r="J28" s="17">
        <v>1179.27</v>
      </c>
      <c r="K28" s="16">
        <v>1324.4</v>
      </c>
      <c r="L28" s="17">
        <v>1465.4</v>
      </c>
      <c r="M28" s="16">
        <v>1602.21</v>
      </c>
      <c r="N28" s="17">
        <v>1736.65</v>
      </c>
      <c r="O28" s="16">
        <v>1851.52</v>
      </c>
      <c r="P28" s="17">
        <v>1943.84</v>
      </c>
      <c r="Q28" s="16">
        <v>2031.79</v>
      </c>
      <c r="R28" s="17">
        <v>2121.0100000000002</v>
      </c>
      <c r="S28" s="16">
        <v>2209.36</v>
      </c>
      <c r="T28" s="17">
        <v>2299.16</v>
      </c>
      <c r="U28" s="16">
        <v>2387.54</v>
      </c>
      <c r="V28" s="17">
        <v>2474.54</v>
      </c>
      <c r="W28" s="16">
        <v>2518.3200000000002</v>
      </c>
      <c r="X28" s="17">
        <v>2606.6</v>
      </c>
    </row>
    <row r="29" spans="1:44" ht="16.5" customHeight="1" x14ac:dyDescent="0.2">
      <c r="A29" s="94"/>
      <c r="B29" s="15" t="s">
        <v>41</v>
      </c>
      <c r="C29" s="16">
        <v>2129</v>
      </c>
      <c r="D29" s="17">
        <v>2488</v>
      </c>
      <c r="E29" s="16">
        <v>2848</v>
      </c>
      <c r="F29" s="17">
        <v>3206</v>
      </c>
      <c r="G29" s="16">
        <v>3567</v>
      </c>
      <c r="H29" s="17">
        <v>3923</v>
      </c>
      <c r="I29" s="16">
        <v>4267</v>
      </c>
      <c r="J29" s="17">
        <v>4603</v>
      </c>
      <c r="K29" s="16">
        <v>4936</v>
      </c>
      <c r="L29" s="17">
        <v>5263</v>
      </c>
      <c r="M29" s="16">
        <v>5577</v>
      </c>
      <c r="N29" s="17">
        <v>5872</v>
      </c>
      <c r="O29" s="16">
        <v>6142</v>
      </c>
      <c r="P29" s="17">
        <v>6401</v>
      </c>
      <c r="Q29" s="16">
        <v>6628</v>
      </c>
      <c r="R29" s="17">
        <v>6829</v>
      </c>
      <c r="S29" s="16">
        <v>7022</v>
      </c>
      <c r="T29" s="17">
        <v>7208</v>
      </c>
      <c r="U29" s="16">
        <v>7382</v>
      </c>
      <c r="V29" s="17">
        <v>7508</v>
      </c>
      <c r="W29" s="16">
        <v>7658</v>
      </c>
      <c r="X29" s="17">
        <v>7783</v>
      </c>
    </row>
    <row r="30" spans="1:44" ht="16.5" customHeight="1" x14ac:dyDescent="0.2">
      <c r="A30" s="95" t="s">
        <v>36</v>
      </c>
      <c r="B30" s="32" t="s">
        <v>54</v>
      </c>
      <c r="C30" s="40">
        <v>8179</v>
      </c>
      <c r="D30" s="41">
        <v>8179</v>
      </c>
      <c r="E30" s="40">
        <v>8179</v>
      </c>
      <c r="F30" s="41">
        <v>8179</v>
      </c>
      <c r="G30" s="40">
        <v>8179</v>
      </c>
      <c r="H30" s="41">
        <v>8179</v>
      </c>
      <c r="I30" s="40">
        <v>8179</v>
      </c>
      <c r="J30" s="41">
        <v>8179</v>
      </c>
      <c r="K30" s="40">
        <v>6719</v>
      </c>
      <c r="L30" s="41">
        <v>6719</v>
      </c>
      <c r="M30" s="40">
        <v>6719</v>
      </c>
      <c r="N30" s="41">
        <v>5039</v>
      </c>
      <c r="O30" s="40">
        <v>5039</v>
      </c>
      <c r="P30" s="41">
        <v>5039</v>
      </c>
      <c r="Q30" s="40">
        <v>5039</v>
      </c>
      <c r="R30" s="41">
        <v>5039</v>
      </c>
      <c r="S30" s="40">
        <v>5039</v>
      </c>
      <c r="T30" s="41">
        <v>5039</v>
      </c>
      <c r="U30" s="40">
        <v>3639</v>
      </c>
      <c r="V30" s="41">
        <v>3639</v>
      </c>
      <c r="W30" s="40">
        <v>2939</v>
      </c>
      <c r="X30" s="41">
        <v>2939</v>
      </c>
    </row>
    <row r="31" spans="1:44" ht="16.5" customHeight="1" x14ac:dyDescent="0.2">
      <c r="A31" s="95"/>
      <c r="B31" s="32" t="s">
        <v>55</v>
      </c>
      <c r="C31" s="40">
        <v>0</v>
      </c>
      <c r="D31" s="41">
        <v>0</v>
      </c>
      <c r="E31" s="40">
        <v>0</v>
      </c>
      <c r="F31" s="41">
        <v>0</v>
      </c>
      <c r="G31" s="40">
        <v>0</v>
      </c>
      <c r="H31" s="41">
        <v>0</v>
      </c>
      <c r="I31" s="40">
        <v>0</v>
      </c>
      <c r="J31" s="41">
        <v>0</v>
      </c>
      <c r="K31" s="40">
        <v>0</v>
      </c>
      <c r="L31" s="41">
        <v>0</v>
      </c>
      <c r="M31" s="40">
        <v>0</v>
      </c>
      <c r="N31" s="41">
        <v>0</v>
      </c>
      <c r="O31" s="40">
        <v>0</v>
      </c>
      <c r="P31" s="41">
        <v>0</v>
      </c>
      <c r="Q31" s="40">
        <v>0</v>
      </c>
      <c r="R31" s="41">
        <v>0</v>
      </c>
      <c r="S31" s="40">
        <v>0</v>
      </c>
      <c r="T31" s="41">
        <v>0</v>
      </c>
      <c r="U31" s="40">
        <v>0</v>
      </c>
      <c r="V31" s="41">
        <v>0</v>
      </c>
      <c r="W31" s="40">
        <v>0</v>
      </c>
      <c r="X31" s="41">
        <v>0</v>
      </c>
    </row>
    <row r="32" spans="1:44" ht="16.5" customHeight="1" x14ac:dyDescent="0.2">
      <c r="A32" s="95"/>
      <c r="B32" s="32" t="s">
        <v>17</v>
      </c>
      <c r="C32" s="40">
        <v>152</v>
      </c>
      <c r="D32" s="41">
        <v>152</v>
      </c>
      <c r="E32" s="40">
        <v>152</v>
      </c>
      <c r="F32" s="41">
        <v>152</v>
      </c>
      <c r="G32" s="40">
        <v>152</v>
      </c>
      <c r="H32" s="41">
        <v>152</v>
      </c>
      <c r="I32" s="40">
        <v>152</v>
      </c>
      <c r="J32" s="41">
        <v>152</v>
      </c>
      <c r="K32" s="40">
        <v>152</v>
      </c>
      <c r="L32" s="41">
        <v>152</v>
      </c>
      <c r="M32" s="40">
        <v>152</v>
      </c>
      <c r="N32" s="41">
        <v>152</v>
      </c>
      <c r="O32" s="40">
        <v>152</v>
      </c>
      <c r="P32" s="41">
        <v>152</v>
      </c>
      <c r="Q32" s="40">
        <v>152</v>
      </c>
      <c r="R32" s="41">
        <v>152</v>
      </c>
      <c r="S32" s="40">
        <v>152</v>
      </c>
      <c r="T32" s="41">
        <v>152</v>
      </c>
      <c r="U32" s="40">
        <v>152</v>
      </c>
      <c r="V32" s="41">
        <v>152</v>
      </c>
      <c r="W32" s="40">
        <v>152</v>
      </c>
      <c r="X32" s="41">
        <v>152</v>
      </c>
    </row>
    <row r="33" spans="1:24" ht="16.5" customHeight="1" x14ac:dyDescent="0.2">
      <c r="A33" s="95"/>
      <c r="B33" s="32" t="s">
        <v>44</v>
      </c>
      <c r="C33" s="40">
        <v>1521</v>
      </c>
      <c r="D33" s="41">
        <v>1521</v>
      </c>
      <c r="E33" s="40">
        <v>1521</v>
      </c>
      <c r="F33" s="41">
        <v>1521</v>
      </c>
      <c r="G33" s="40">
        <v>1521</v>
      </c>
      <c r="H33" s="41">
        <v>1521</v>
      </c>
      <c r="I33" s="40">
        <v>1521</v>
      </c>
      <c r="J33" s="41">
        <v>1521</v>
      </c>
      <c r="K33" s="40">
        <v>1521</v>
      </c>
      <c r="L33" s="41">
        <v>1521</v>
      </c>
      <c r="M33" s="40">
        <v>1521</v>
      </c>
      <c r="N33" s="41">
        <v>1521</v>
      </c>
      <c r="O33" s="40">
        <v>1521</v>
      </c>
      <c r="P33" s="41">
        <v>1521</v>
      </c>
      <c r="Q33" s="40">
        <v>1521</v>
      </c>
      <c r="R33" s="41">
        <v>1521</v>
      </c>
      <c r="S33" s="40">
        <v>1521</v>
      </c>
      <c r="T33" s="41">
        <v>1521</v>
      </c>
      <c r="U33" s="40">
        <v>1521</v>
      </c>
      <c r="V33" s="41">
        <v>1521</v>
      </c>
      <c r="W33" s="40">
        <v>1521</v>
      </c>
      <c r="X33" s="41">
        <v>1521</v>
      </c>
    </row>
    <row r="34" spans="1:24" ht="16.5" customHeight="1" x14ac:dyDescent="0.2">
      <c r="A34" s="95"/>
      <c r="B34" s="32" t="s">
        <v>56</v>
      </c>
      <c r="C34" s="40">
        <v>1932</v>
      </c>
      <c r="D34" s="41">
        <v>1932</v>
      </c>
      <c r="E34" s="40">
        <v>1932</v>
      </c>
      <c r="F34" s="41">
        <v>1898</v>
      </c>
      <c r="G34" s="40">
        <v>1898</v>
      </c>
      <c r="H34" s="41">
        <v>1898</v>
      </c>
      <c r="I34" s="40">
        <v>1898</v>
      </c>
      <c r="J34" s="41">
        <v>1898</v>
      </c>
      <c r="K34" s="40">
        <v>1898</v>
      </c>
      <c r="L34" s="41">
        <v>1898</v>
      </c>
      <c r="M34" s="40">
        <v>1898</v>
      </c>
      <c r="N34" s="41">
        <v>1898</v>
      </c>
      <c r="O34" s="40">
        <v>1898</v>
      </c>
      <c r="P34" s="41">
        <v>1898</v>
      </c>
      <c r="Q34" s="40">
        <v>1898</v>
      </c>
      <c r="R34" s="41">
        <v>1898</v>
      </c>
      <c r="S34" s="40">
        <v>1898</v>
      </c>
      <c r="T34" s="41">
        <v>1898</v>
      </c>
      <c r="U34" s="40">
        <v>1898</v>
      </c>
      <c r="V34" s="41">
        <v>1898</v>
      </c>
      <c r="W34" s="40">
        <v>1898</v>
      </c>
      <c r="X34" s="41">
        <v>1898</v>
      </c>
    </row>
    <row r="35" spans="1:24" ht="16.5" customHeight="1" x14ac:dyDescent="0.2">
      <c r="A35" s="95"/>
      <c r="B35" s="32" t="s">
        <v>18</v>
      </c>
      <c r="C35" s="40">
        <v>223</v>
      </c>
      <c r="D35" s="41">
        <v>676</v>
      </c>
      <c r="E35" s="40">
        <v>676</v>
      </c>
      <c r="F35" s="41">
        <v>676</v>
      </c>
      <c r="G35" s="40">
        <v>676</v>
      </c>
      <c r="H35" s="41">
        <v>676</v>
      </c>
      <c r="I35" s="40">
        <v>676</v>
      </c>
      <c r="J35" s="41">
        <v>676</v>
      </c>
      <c r="K35" s="40">
        <v>676</v>
      </c>
      <c r="L35" s="41">
        <v>705</v>
      </c>
      <c r="M35" s="40">
        <v>844</v>
      </c>
      <c r="N35" s="41">
        <v>1141</v>
      </c>
      <c r="O35" s="40">
        <v>1141</v>
      </c>
      <c r="P35" s="41">
        <v>1141</v>
      </c>
      <c r="Q35" s="40">
        <v>1141</v>
      </c>
      <c r="R35" s="41">
        <v>1141</v>
      </c>
      <c r="S35" s="40">
        <v>1141</v>
      </c>
      <c r="T35" s="41">
        <v>1141</v>
      </c>
      <c r="U35" s="40">
        <v>1141</v>
      </c>
      <c r="V35" s="41">
        <v>1141</v>
      </c>
      <c r="W35" s="40">
        <v>1141</v>
      </c>
      <c r="X35" s="41">
        <v>1141</v>
      </c>
    </row>
    <row r="36" spans="1:24" ht="16.5" customHeight="1" x14ac:dyDescent="0.2">
      <c r="A36" s="95"/>
      <c r="B36" s="32" t="s">
        <v>57</v>
      </c>
      <c r="C36" s="40">
        <v>1222</v>
      </c>
      <c r="D36" s="41">
        <v>1222</v>
      </c>
      <c r="E36" s="40">
        <v>1222</v>
      </c>
      <c r="F36" s="41">
        <v>1222</v>
      </c>
      <c r="G36" s="40">
        <v>1222</v>
      </c>
      <c r="H36" s="41">
        <v>1222</v>
      </c>
      <c r="I36" s="40">
        <v>1222</v>
      </c>
      <c r="J36" s="41">
        <v>1800</v>
      </c>
      <c r="K36" s="40">
        <v>2537</v>
      </c>
      <c r="L36" s="41">
        <v>3153</v>
      </c>
      <c r="M36" s="40">
        <v>3659</v>
      </c>
      <c r="N36" s="41">
        <v>3936</v>
      </c>
      <c r="O36" s="40">
        <v>3936</v>
      </c>
      <c r="P36" s="41">
        <v>3936</v>
      </c>
      <c r="Q36" s="40">
        <v>3936</v>
      </c>
      <c r="R36" s="41">
        <v>3936</v>
      </c>
      <c r="S36" s="40">
        <v>3936</v>
      </c>
      <c r="T36" s="41">
        <v>3936</v>
      </c>
      <c r="U36" s="40">
        <v>3936</v>
      </c>
      <c r="V36" s="41">
        <v>3936</v>
      </c>
      <c r="W36" s="40">
        <v>3936</v>
      </c>
      <c r="X36" s="41">
        <v>3936</v>
      </c>
    </row>
    <row r="37" spans="1:24" ht="16.5" customHeight="1" x14ac:dyDescent="0.2">
      <c r="A37" s="95"/>
      <c r="B37" s="32" t="s">
        <v>58</v>
      </c>
      <c r="C37" s="40">
        <v>501</v>
      </c>
      <c r="D37" s="41">
        <v>501</v>
      </c>
      <c r="E37" s="40">
        <v>601</v>
      </c>
      <c r="F37" s="41">
        <v>601</v>
      </c>
      <c r="G37" s="40">
        <v>601</v>
      </c>
      <c r="H37" s="41">
        <v>601</v>
      </c>
      <c r="I37" s="40">
        <v>601</v>
      </c>
      <c r="J37" s="41">
        <v>601</v>
      </c>
      <c r="K37" s="40">
        <v>601</v>
      </c>
      <c r="L37" s="41">
        <v>601</v>
      </c>
      <c r="M37" s="40">
        <v>601</v>
      </c>
      <c r="N37" s="41">
        <v>601</v>
      </c>
      <c r="O37" s="40">
        <v>601</v>
      </c>
      <c r="P37" s="41">
        <v>601</v>
      </c>
      <c r="Q37" s="40">
        <v>601</v>
      </c>
      <c r="R37" s="41">
        <v>601</v>
      </c>
      <c r="S37" s="40">
        <v>601</v>
      </c>
      <c r="T37" s="41">
        <v>601</v>
      </c>
      <c r="U37" s="40">
        <v>1263</v>
      </c>
      <c r="V37" s="41">
        <v>1263</v>
      </c>
      <c r="W37" s="40">
        <v>1661</v>
      </c>
      <c r="X37" s="41">
        <v>1661</v>
      </c>
    </row>
    <row r="38" spans="1:24" ht="16.5" customHeight="1" x14ac:dyDescent="0.2">
      <c r="A38" s="95"/>
      <c r="B38" s="32" t="s">
        <v>59</v>
      </c>
      <c r="C38" s="40">
        <v>0</v>
      </c>
      <c r="D38" s="41">
        <v>0</v>
      </c>
      <c r="E38" s="40">
        <v>0</v>
      </c>
      <c r="F38" s="41">
        <v>0</v>
      </c>
      <c r="G38" s="40">
        <v>0</v>
      </c>
      <c r="H38" s="41">
        <v>0</v>
      </c>
      <c r="I38" s="40">
        <v>0</v>
      </c>
      <c r="J38" s="41">
        <v>0</v>
      </c>
      <c r="K38" s="40">
        <v>0</v>
      </c>
      <c r="L38" s="41">
        <v>0</v>
      </c>
      <c r="M38" s="40">
        <v>0</v>
      </c>
      <c r="N38" s="41">
        <v>0</v>
      </c>
      <c r="O38" s="40">
        <v>0</v>
      </c>
      <c r="P38" s="41">
        <v>0</v>
      </c>
      <c r="Q38" s="40">
        <v>0</v>
      </c>
      <c r="R38" s="41">
        <v>0</v>
      </c>
      <c r="S38" s="40">
        <v>0</v>
      </c>
      <c r="T38" s="41">
        <v>0</v>
      </c>
      <c r="U38" s="40">
        <v>0</v>
      </c>
      <c r="V38" s="41">
        <v>0</v>
      </c>
      <c r="W38" s="40">
        <v>0</v>
      </c>
      <c r="X38" s="41">
        <v>0</v>
      </c>
    </row>
    <row r="39" spans="1:24" ht="16.5" customHeight="1" x14ac:dyDescent="0.2">
      <c r="A39" s="95"/>
      <c r="B39" s="32" t="s">
        <v>60</v>
      </c>
      <c r="C39" s="40">
        <v>71.2</v>
      </c>
      <c r="D39" s="41">
        <v>136.66</v>
      </c>
      <c r="E39" s="40">
        <v>225.27</v>
      </c>
      <c r="F39" s="41">
        <v>305.48</v>
      </c>
      <c r="G39" s="40">
        <v>380.04</v>
      </c>
      <c r="H39" s="41">
        <v>448.25</v>
      </c>
      <c r="I39" s="40">
        <v>512.38</v>
      </c>
      <c r="J39" s="41">
        <v>572.39</v>
      </c>
      <c r="K39" s="40">
        <v>630.85</v>
      </c>
      <c r="L39" s="41">
        <v>688.66</v>
      </c>
      <c r="M39" s="40">
        <v>745.92</v>
      </c>
      <c r="N39" s="41">
        <v>802.76</v>
      </c>
      <c r="O39" s="40">
        <v>859.3</v>
      </c>
      <c r="P39" s="41">
        <v>915.59</v>
      </c>
      <c r="Q39" s="40">
        <v>970.53</v>
      </c>
      <c r="R39" s="41">
        <v>1025.32</v>
      </c>
      <c r="S39" s="40">
        <v>1080.04</v>
      </c>
      <c r="T39" s="41">
        <v>1131.97</v>
      </c>
      <c r="U39" s="40">
        <v>1181.52</v>
      </c>
      <c r="V39" s="41">
        <v>1228.6400000000001</v>
      </c>
      <c r="W39" s="40">
        <v>1272.46</v>
      </c>
      <c r="X39" s="41">
        <v>1314.51</v>
      </c>
    </row>
    <row r="40" spans="1:24" ht="16.5" customHeight="1" x14ac:dyDescent="0.2">
      <c r="A40" s="95"/>
      <c r="B40" s="32" t="s">
        <v>41</v>
      </c>
      <c r="C40" s="40">
        <v>2454</v>
      </c>
      <c r="D40" s="41">
        <v>2706</v>
      </c>
      <c r="E40" s="40">
        <v>2951</v>
      </c>
      <c r="F40" s="41">
        <v>3185</v>
      </c>
      <c r="G40" s="40">
        <v>3408</v>
      </c>
      <c r="H40" s="41">
        <v>3626</v>
      </c>
      <c r="I40" s="40">
        <v>3837</v>
      </c>
      <c r="J40" s="41">
        <v>4041</v>
      </c>
      <c r="K40" s="40">
        <v>4243</v>
      </c>
      <c r="L40" s="41">
        <v>4442</v>
      </c>
      <c r="M40" s="40">
        <v>4638</v>
      </c>
      <c r="N40" s="41">
        <v>4829</v>
      </c>
      <c r="O40" s="40">
        <v>5007</v>
      </c>
      <c r="P40" s="41">
        <v>5171</v>
      </c>
      <c r="Q40" s="40">
        <v>5316</v>
      </c>
      <c r="R40" s="41">
        <v>5450</v>
      </c>
      <c r="S40" s="40">
        <v>5577</v>
      </c>
      <c r="T40" s="41">
        <v>5691</v>
      </c>
      <c r="U40" s="40">
        <v>5786</v>
      </c>
      <c r="V40" s="41">
        <v>5865</v>
      </c>
      <c r="W40" s="40">
        <v>5935</v>
      </c>
      <c r="X40" s="41">
        <v>5999</v>
      </c>
    </row>
    <row r="41" spans="1:24" ht="16.5" customHeight="1" x14ac:dyDescent="0.2">
      <c r="A41" s="94" t="s">
        <v>38</v>
      </c>
      <c r="B41" s="15" t="s">
        <v>54</v>
      </c>
      <c r="C41" s="16">
        <v>0</v>
      </c>
      <c r="D41" s="17">
        <v>0</v>
      </c>
      <c r="E41" s="16">
        <v>0</v>
      </c>
      <c r="F41" s="17">
        <v>0</v>
      </c>
      <c r="G41" s="16">
        <v>0</v>
      </c>
      <c r="H41" s="17">
        <v>0</v>
      </c>
      <c r="I41" s="16">
        <v>0</v>
      </c>
      <c r="J41" s="17">
        <v>0</v>
      </c>
      <c r="K41" s="16">
        <v>0</v>
      </c>
      <c r="L41" s="17">
        <v>0</v>
      </c>
      <c r="M41" s="16">
        <v>0</v>
      </c>
      <c r="N41" s="17">
        <v>0</v>
      </c>
      <c r="O41" s="16">
        <v>0</v>
      </c>
      <c r="P41" s="17">
        <v>0</v>
      </c>
      <c r="Q41" s="16">
        <v>0</v>
      </c>
      <c r="R41" s="17">
        <v>0</v>
      </c>
      <c r="S41" s="16">
        <v>0</v>
      </c>
      <c r="T41" s="17">
        <v>0</v>
      </c>
      <c r="U41" s="16">
        <v>0</v>
      </c>
      <c r="V41" s="17">
        <v>0</v>
      </c>
      <c r="W41" s="16">
        <v>0</v>
      </c>
      <c r="X41" s="17">
        <v>0</v>
      </c>
    </row>
    <row r="42" spans="1:24" ht="16.5" customHeight="1" x14ac:dyDescent="0.2">
      <c r="A42" s="94"/>
      <c r="B42" s="15" t="s">
        <v>55</v>
      </c>
      <c r="C42" s="16">
        <v>0</v>
      </c>
      <c r="D42" s="17">
        <v>0</v>
      </c>
      <c r="E42" s="16">
        <v>0</v>
      </c>
      <c r="F42" s="17">
        <v>0</v>
      </c>
      <c r="G42" s="16">
        <v>0</v>
      </c>
      <c r="H42" s="17">
        <v>0</v>
      </c>
      <c r="I42" s="16">
        <v>0</v>
      </c>
      <c r="J42" s="17">
        <v>0</v>
      </c>
      <c r="K42" s="16">
        <v>0</v>
      </c>
      <c r="L42" s="17">
        <v>0</v>
      </c>
      <c r="M42" s="16">
        <v>0</v>
      </c>
      <c r="N42" s="17">
        <v>0</v>
      </c>
      <c r="O42" s="16">
        <v>0</v>
      </c>
      <c r="P42" s="17">
        <v>0</v>
      </c>
      <c r="Q42" s="16">
        <v>0</v>
      </c>
      <c r="R42" s="17">
        <v>0</v>
      </c>
      <c r="S42" s="16">
        <v>0</v>
      </c>
      <c r="T42" s="17">
        <v>0</v>
      </c>
      <c r="U42" s="16">
        <v>0</v>
      </c>
      <c r="V42" s="17">
        <v>0</v>
      </c>
      <c r="W42" s="16">
        <v>0</v>
      </c>
      <c r="X42" s="17">
        <v>0</v>
      </c>
    </row>
    <row r="43" spans="1:24" ht="16.5" customHeight="1" x14ac:dyDescent="0.2">
      <c r="A43" s="94"/>
      <c r="B43" s="15" t="s">
        <v>17</v>
      </c>
      <c r="C43" s="16">
        <v>0</v>
      </c>
      <c r="D43" s="17">
        <v>0</v>
      </c>
      <c r="E43" s="16">
        <v>0</v>
      </c>
      <c r="F43" s="17">
        <v>0</v>
      </c>
      <c r="G43" s="16">
        <v>0</v>
      </c>
      <c r="H43" s="17">
        <v>0</v>
      </c>
      <c r="I43" s="16">
        <v>0</v>
      </c>
      <c r="J43" s="17">
        <v>0</v>
      </c>
      <c r="K43" s="16">
        <v>0</v>
      </c>
      <c r="L43" s="17">
        <v>0</v>
      </c>
      <c r="M43" s="16">
        <v>0</v>
      </c>
      <c r="N43" s="17">
        <v>0</v>
      </c>
      <c r="O43" s="16">
        <v>0</v>
      </c>
      <c r="P43" s="17">
        <v>0</v>
      </c>
      <c r="Q43" s="16">
        <v>0</v>
      </c>
      <c r="R43" s="17">
        <v>0</v>
      </c>
      <c r="S43" s="16">
        <v>0</v>
      </c>
      <c r="T43" s="17">
        <v>0</v>
      </c>
      <c r="U43" s="16">
        <v>0</v>
      </c>
      <c r="V43" s="17">
        <v>0</v>
      </c>
      <c r="W43" s="16">
        <v>0</v>
      </c>
      <c r="X43" s="17">
        <v>0</v>
      </c>
    </row>
    <row r="44" spans="1:24" ht="16.5" customHeight="1" x14ac:dyDescent="0.2">
      <c r="A44" s="94"/>
      <c r="B44" s="15" t="s">
        <v>44</v>
      </c>
      <c r="C44" s="16">
        <v>1462</v>
      </c>
      <c r="D44" s="17">
        <v>1462</v>
      </c>
      <c r="E44" s="16">
        <v>1462</v>
      </c>
      <c r="F44" s="17">
        <v>1462</v>
      </c>
      <c r="G44" s="16">
        <v>1462</v>
      </c>
      <c r="H44" s="17">
        <v>1462</v>
      </c>
      <c r="I44" s="16">
        <v>0</v>
      </c>
      <c r="J44" s="17">
        <v>0</v>
      </c>
      <c r="K44" s="16">
        <v>0</v>
      </c>
      <c r="L44" s="17">
        <v>0</v>
      </c>
      <c r="M44" s="16">
        <v>0</v>
      </c>
      <c r="N44" s="17">
        <v>0</v>
      </c>
      <c r="O44" s="16">
        <v>0</v>
      </c>
      <c r="P44" s="17">
        <v>0</v>
      </c>
      <c r="Q44" s="16">
        <v>0</v>
      </c>
      <c r="R44" s="17">
        <v>0</v>
      </c>
      <c r="S44" s="16">
        <v>0</v>
      </c>
      <c r="T44" s="17">
        <v>0</v>
      </c>
      <c r="U44" s="16">
        <v>0</v>
      </c>
      <c r="V44" s="17">
        <v>0</v>
      </c>
      <c r="W44" s="16">
        <v>0</v>
      </c>
      <c r="X44" s="17">
        <v>0</v>
      </c>
    </row>
    <row r="45" spans="1:24" ht="16.5" customHeight="1" x14ac:dyDescent="0.2">
      <c r="A45" s="94"/>
      <c r="B45" s="15" t="s">
        <v>56</v>
      </c>
      <c r="C45" s="16">
        <v>1527</v>
      </c>
      <c r="D45" s="17">
        <v>1503</v>
      </c>
      <c r="E45" s="16">
        <v>1503</v>
      </c>
      <c r="F45" s="17">
        <v>1263</v>
      </c>
      <c r="G45" s="16">
        <v>1263</v>
      </c>
      <c r="H45" s="17">
        <v>1263</v>
      </c>
      <c r="I45" s="16">
        <v>1263</v>
      </c>
      <c r="J45" s="17">
        <v>1263</v>
      </c>
      <c r="K45" s="16">
        <v>1263</v>
      </c>
      <c r="L45" s="17">
        <v>1263</v>
      </c>
      <c r="M45" s="16">
        <v>1263</v>
      </c>
      <c r="N45" s="17">
        <v>1263</v>
      </c>
      <c r="O45" s="16">
        <v>1263</v>
      </c>
      <c r="P45" s="17">
        <v>1263</v>
      </c>
      <c r="Q45" s="16">
        <v>1263</v>
      </c>
      <c r="R45" s="17">
        <v>1263</v>
      </c>
      <c r="S45" s="16">
        <v>1263</v>
      </c>
      <c r="T45" s="17">
        <v>1263</v>
      </c>
      <c r="U45" s="16">
        <v>1263</v>
      </c>
      <c r="V45" s="17">
        <v>1263</v>
      </c>
      <c r="W45" s="16">
        <v>1263</v>
      </c>
      <c r="X45" s="17">
        <v>1263</v>
      </c>
    </row>
    <row r="46" spans="1:24" ht="16.5" customHeight="1" x14ac:dyDescent="0.2">
      <c r="A46" s="94"/>
      <c r="B46" s="15" t="s">
        <v>18</v>
      </c>
      <c r="C46" s="16">
        <v>2051</v>
      </c>
      <c r="D46" s="17">
        <v>2051</v>
      </c>
      <c r="E46" s="16">
        <v>2051</v>
      </c>
      <c r="F46" s="17">
        <v>2051</v>
      </c>
      <c r="G46" s="16">
        <v>2051</v>
      </c>
      <c r="H46" s="17">
        <v>2051</v>
      </c>
      <c r="I46" s="16">
        <v>2051</v>
      </c>
      <c r="J46" s="17">
        <v>2051</v>
      </c>
      <c r="K46" s="16">
        <v>2051</v>
      </c>
      <c r="L46" s="17">
        <v>2051</v>
      </c>
      <c r="M46" s="16">
        <v>2051</v>
      </c>
      <c r="N46" s="17">
        <v>2051</v>
      </c>
      <c r="O46" s="16">
        <v>2051</v>
      </c>
      <c r="P46" s="17">
        <v>2051</v>
      </c>
      <c r="Q46" s="16">
        <v>2051</v>
      </c>
      <c r="R46" s="17">
        <v>2051</v>
      </c>
      <c r="S46" s="16">
        <v>2051</v>
      </c>
      <c r="T46" s="17">
        <v>2051</v>
      </c>
      <c r="U46" s="16">
        <v>2051</v>
      </c>
      <c r="V46" s="17">
        <v>2051</v>
      </c>
      <c r="W46" s="16">
        <v>2051</v>
      </c>
      <c r="X46" s="17">
        <v>2051</v>
      </c>
    </row>
    <row r="47" spans="1:24" ht="16.5" customHeight="1" x14ac:dyDescent="0.2">
      <c r="A47" s="94"/>
      <c r="B47" s="15" t="s">
        <v>57</v>
      </c>
      <c r="C47" s="16">
        <v>220</v>
      </c>
      <c r="D47" s="17">
        <v>320</v>
      </c>
      <c r="E47" s="16">
        <v>320</v>
      </c>
      <c r="F47" s="17">
        <v>320</v>
      </c>
      <c r="G47" s="16">
        <v>320</v>
      </c>
      <c r="H47" s="17">
        <v>320</v>
      </c>
      <c r="I47" s="16">
        <v>320</v>
      </c>
      <c r="J47" s="17">
        <v>320</v>
      </c>
      <c r="K47" s="16">
        <v>320</v>
      </c>
      <c r="L47" s="17">
        <v>320</v>
      </c>
      <c r="M47" s="16">
        <v>320</v>
      </c>
      <c r="N47" s="17">
        <v>320</v>
      </c>
      <c r="O47" s="16">
        <v>320</v>
      </c>
      <c r="P47" s="17">
        <v>320</v>
      </c>
      <c r="Q47" s="16">
        <v>320</v>
      </c>
      <c r="R47" s="17">
        <v>320</v>
      </c>
      <c r="S47" s="16">
        <v>320</v>
      </c>
      <c r="T47" s="17">
        <v>969</v>
      </c>
      <c r="U47" s="16">
        <v>1118</v>
      </c>
      <c r="V47" s="17">
        <v>1118</v>
      </c>
      <c r="W47" s="16">
        <v>1118</v>
      </c>
      <c r="X47" s="17">
        <v>1118</v>
      </c>
    </row>
    <row r="48" spans="1:24" ht="16.5" customHeight="1" x14ac:dyDescent="0.2">
      <c r="A48" s="94"/>
      <c r="B48" s="15" t="s">
        <v>58</v>
      </c>
      <c r="C48" s="16">
        <v>100</v>
      </c>
      <c r="D48" s="17">
        <v>100</v>
      </c>
      <c r="E48" s="16">
        <v>100</v>
      </c>
      <c r="F48" s="17">
        <v>100</v>
      </c>
      <c r="G48" s="16">
        <v>100</v>
      </c>
      <c r="H48" s="17">
        <v>100</v>
      </c>
      <c r="I48" s="16">
        <v>100</v>
      </c>
      <c r="J48" s="17">
        <v>100</v>
      </c>
      <c r="K48" s="16">
        <v>100</v>
      </c>
      <c r="L48" s="17">
        <v>100</v>
      </c>
      <c r="M48" s="16">
        <v>100</v>
      </c>
      <c r="N48" s="17">
        <v>100</v>
      </c>
      <c r="O48" s="16">
        <v>100</v>
      </c>
      <c r="P48" s="17">
        <v>100</v>
      </c>
      <c r="Q48" s="16">
        <v>100</v>
      </c>
      <c r="R48" s="17">
        <v>100</v>
      </c>
      <c r="S48" s="16">
        <v>100</v>
      </c>
      <c r="T48" s="17">
        <v>868</v>
      </c>
      <c r="U48" s="16">
        <v>868</v>
      </c>
      <c r="V48" s="17">
        <v>868</v>
      </c>
      <c r="W48" s="16">
        <v>868</v>
      </c>
      <c r="X48" s="17">
        <v>868</v>
      </c>
    </row>
    <row r="49" spans="1:24" ht="16.5" customHeight="1" x14ac:dyDescent="0.2">
      <c r="A49" s="94"/>
      <c r="B49" s="15" t="s">
        <v>59</v>
      </c>
      <c r="C49" s="16">
        <v>0</v>
      </c>
      <c r="D49" s="17">
        <v>0</v>
      </c>
      <c r="E49" s="16">
        <v>0</v>
      </c>
      <c r="F49" s="17">
        <v>0</v>
      </c>
      <c r="G49" s="16">
        <v>0</v>
      </c>
      <c r="H49" s="17">
        <v>0</v>
      </c>
      <c r="I49" s="16">
        <v>0</v>
      </c>
      <c r="J49" s="17">
        <v>0</v>
      </c>
      <c r="K49" s="16">
        <v>0</v>
      </c>
      <c r="L49" s="17">
        <v>0</v>
      </c>
      <c r="M49" s="16">
        <v>0</v>
      </c>
      <c r="N49" s="17">
        <v>0</v>
      </c>
      <c r="O49" s="16">
        <v>0</v>
      </c>
      <c r="P49" s="17">
        <v>0</v>
      </c>
      <c r="Q49" s="16">
        <v>0</v>
      </c>
      <c r="R49" s="17">
        <v>0</v>
      </c>
      <c r="S49" s="16">
        <v>0</v>
      </c>
      <c r="T49" s="17">
        <v>0</v>
      </c>
      <c r="U49" s="16">
        <v>0</v>
      </c>
      <c r="V49" s="17">
        <v>0</v>
      </c>
      <c r="W49" s="16">
        <v>0</v>
      </c>
      <c r="X49" s="17">
        <v>0</v>
      </c>
    </row>
    <row r="50" spans="1:24" ht="16.5" customHeight="1" x14ac:dyDescent="0.2">
      <c r="A50" s="94"/>
      <c r="B50" s="15" t="s">
        <v>60</v>
      </c>
      <c r="C50" s="16">
        <v>24.23</v>
      </c>
      <c r="D50" s="17">
        <v>46.9</v>
      </c>
      <c r="E50" s="16">
        <v>77.290000000000006</v>
      </c>
      <c r="F50" s="17">
        <v>107.66</v>
      </c>
      <c r="G50" s="16">
        <v>137.99</v>
      </c>
      <c r="H50" s="17">
        <v>168.29</v>
      </c>
      <c r="I50" s="16">
        <v>199.68</v>
      </c>
      <c r="J50" s="17">
        <v>231.03</v>
      </c>
      <c r="K50" s="16">
        <v>262.33999999999997</v>
      </c>
      <c r="L50" s="17">
        <v>293.61</v>
      </c>
      <c r="M50" s="16">
        <v>324.91000000000003</v>
      </c>
      <c r="N50" s="17">
        <v>356.26</v>
      </c>
      <c r="O50" s="16">
        <v>386.57</v>
      </c>
      <c r="P50" s="17">
        <v>414.76</v>
      </c>
      <c r="Q50" s="16">
        <v>440.84</v>
      </c>
      <c r="R50" s="17">
        <v>461.52</v>
      </c>
      <c r="S50" s="16">
        <v>480.12</v>
      </c>
      <c r="T50" s="17">
        <v>498.84</v>
      </c>
      <c r="U50" s="16">
        <v>516.02</v>
      </c>
      <c r="V50" s="17">
        <v>533.27</v>
      </c>
      <c r="W50" s="16">
        <v>550.45000000000005</v>
      </c>
      <c r="X50" s="17">
        <v>567.74</v>
      </c>
    </row>
    <row r="51" spans="1:24" ht="16.5" customHeight="1" x14ac:dyDescent="0.2">
      <c r="A51" s="94"/>
      <c r="B51" s="15" t="s">
        <v>41</v>
      </c>
      <c r="C51" s="16">
        <v>965</v>
      </c>
      <c r="D51" s="17">
        <v>1037</v>
      </c>
      <c r="E51" s="16">
        <v>1110</v>
      </c>
      <c r="F51" s="17">
        <v>1183</v>
      </c>
      <c r="G51" s="16">
        <v>1255</v>
      </c>
      <c r="H51" s="17">
        <v>1330</v>
      </c>
      <c r="I51" s="16">
        <v>1404</v>
      </c>
      <c r="J51" s="17">
        <v>1477</v>
      </c>
      <c r="K51" s="16">
        <v>1551</v>
      </c>
      <c r="L51" s="17">
        <v>1624</v>
      </c>
      <c r="M51" s="16">
        <v>1697</v>
      </c>
      <c r="N51" s="17">
        <v>1769</v>
      </c>
      <c r="O51" s="16">
        <v>1839</v>
      </c>
      <c r="P51" s="17">
        <v>1906</v>
      </c>
      <c r="Q51" s="16">
        <v>1969</v>
      </c>
      <c r="R51" s="17">
        <v>2029</v>
      </c>
      <c r="S51" s="16">
        <v>2086</v>
      </c>
      <c r="T51" s="17">
        <v>2140</v>
      </c>
      <c r="U51" s="16">
        <v>2193</v>
      </c>
      <c r="V51" s="17">
        <v>2242</v>
      </c>
      <c r="W51" s="16">
        <v>2289</v>
      </c>
      <c r="X51" s="17">
        <v>2329</v>
      </c>
    </row>
    <row r="52" spans="1:24" ht="16.5" customHeight="1" x14ac:dyDescent="0.2">
      <c r="A52" s="95" t="s">
        <v>37</v>
      </c>
      <c r="B52" s="32" t="s">
        <v>54</v>
      </c>
      <c r="C52" s="40">
        <v>0</v>
      </c>
      <c r="D52" s="41">
        <v>0</v>
      </c>
      <c r="E52" s="40">
        <v>0</v>
      </c>
      <c r="F52" s="41">
        <v>0</v>
      </c>
      <c r="G52" s="40">
        <v>0</v>
      </c>
      <c r="H52" s="41">
        <v>0</v>
      </c>
      <c r="I52" s="40">
        <v>0</v>
      </c>
      <c r="J52" s="41">
        <v>0</v>
      </c>
      <c r="K52" s="40">
        <v>0</v>
      </c>
      <c r="L52" s="41">
        <v>0</v>
      </c>
      <c r="M52" s="40">
        <v>0</v>
      </c>
      <c r="N52" s="41">
        <v>0</v>
      </c>
      <c r="O52" s="40">
        <v>0</v>
      </c>
      <c r="P52" s="41">
        <v>0</v>
      </c>
      <c r="Q52" s="40">
        <v>0</v>
      </c>
      <c r="R52" s="41">
        <v>0</v>
      </c>
      <c r="S52" s="40">
        <v>0</v>
      </c>
      <c r="T52" s="41">
        <v>0</v>
      </c>
      <c r="U52" s="40">
        <v>0</v>
      </c>
      <c r="V52" s="41">
        <v>0</v>
      </c>
      <c r="W52" s="40">
        <v>0</v>
      </c>
      <c r="X52" s="41">
        <v>0</v>
      </c>
    </row>
    <row r="53" spans="1:24" ht="16.5" customHeight="1" x14ac:dyDescent="0.2">
      <c r="A53" s="95"/>
      <c r="B53" s="32" t="s">
        <v>55</v>
      </c>
      <c r="C53" s="40">
        <v>4808</v>
      </c>
      <c r="D53" s="41">
        <v>4808</v>
      </c>
      <c r="E53" s="40">
        <v>4808</v>
      </c>
      <c r="F53" s="41">
        <v>4808</v>
      </c>
      <c r="G53" s="40">
        <v>4808</v>
      </c>
      <c r="H53" s="41">
        <v>4808</v>
      </c>
      <c r="I53" s="40">
        <v>4808</v>
      </c>
      <c r="J53" s="41">
        <v>4808</v>
      </c>
      <c r="K53" s="40">
        <v>4808</v>
      </c>
      <c r="L53" s="41">
        <v>4808</v>
      </c>
      <c r="M53" s="40">
        <v>4808</v>
      </c>
      <c r="N53" s="41">
        <v>4808</v>
      </c>
      <c r="O53" s="40">
        <v>4808</v>
      </c>
      <c r="P53" s="41">
        <v>4808</v>
      </c>
      <c r="Q53" s="40">
        <v>3280</v>
      </c>
      <c r="R53" s="41">
        <v>3280</v>
      </c>
      <c r="S53" s="40">
        <v>3280</v>
      </c>
      <c r="T53" s="41">
        <v>3280</v>
      </c>
      <c r="U53" s="40">
        <v>3280</v>
      </c>
      <c r="V53" s="41">
        <v>3280</v>
      </c>
      <c r="W53" s="40">
        <v>3280</v>
      </c>
      <c r="X53" s="41">
        <v>3280</v>
      </c>
    </row>
    <row r="54" spans="1:24" ht="16.5" customHeight="1" x14ac:dyDescent="0.2">
      <c r="A54" s="95"/>
      <c r="B54" s="32" t="s">
        <v>17</v>
      </c>
      <c r="C54" s="40">
        <v>2219</v>
      </c>
      <c r="D54" s="41">
        <v>2219</v>
      </c>
      <c r="E54" s="40">
        <v>2219</v>
      </c>
      <c r="F54" s="41">
        <v>2219</v>
      </c>
      <c r="G54" s="40">
        <v>2219</v>
      </c>
      <c r="H54" s="41">
        <v>2219</v>
      </c>
      <c r="I54" s="40">
        <v>2219</v>
      </c>
      <c r="J54" s="41">
        <v>2219</v>
      </c>
      <c r="K54" s="40">
        <v>2219</v>
      </c>
      <c r="L54" s="41">
        <v>2219</v>
      </c>
      <c r="M54" s="40">
        <v>2219</v>
      </c>
      <c r="N54" s="41">
        <v>2219</v>
      </c>
      <c r="O54" s="40">
        <v>2219</v>
      </c>
      <c r="P54" s="41">
        <v>2219</v>
      </c>
      <c r="Q54" s="40">
        <v>2219</v>
      </c>
      <c r="R54" s="41">
        <v>2219</v>
      </c>
      <c r="S54" s="40">
        <v>2219</v>
      </c>
      <c r="T54" s="41">
        <v>2219</v>
      </c>
      <c r="U54" s="40">
        <v>2219</v>
      </c>
      <c r="V54" s="41">
        <v>2219</v>
      </c>
      <c r="W54" s="40">
        <v>2219</v>
      </c>
      <c r="X54" s="41">
        <v>2219</v>
      </c>
    </row>
    <row r="55" spans="1:24" ht="16.5" customHeight="1" x14ac:dyDescent="0.2">
      <c r="A55" s="95"/>
      <c r="B55" s="32" t="s">
        <v>44</v>
      </c>
      <c r="C55" s="40">
        <v>510</v>
      </c>
      <c r="D55" s="41">
        <v>510</v>
      </c>
      <c r="E55" s="40">
        <v>510</v>
      </c>
      <c r="F55" s="41">
        <v>510</v>
      </c>
      <c r="G55" s="40">
        <v>510</v>
      </c>
      <c r="H55" s="41">
        <v>510</v>
      </c>
      <c r="I55" s="40">
        <v>510</v>
      </c>
      <c r="J55" s="41">
        <v>510</v>
      </c>
      <c r="K55" s="40">
        <v>510</v>
      </c>
      <c r="L55" s="41">
        <v>510</v>
      </c>
      <c r="M55" s="40">
        <v>510</v>
      </c>
      <c r="N55" s="41">
        <v>510</v>
      </c>
      <c r="O55" s="40">
        <v>510</v>
      </c>
      <c r="P55" s="41">
        <v>0</v>
      </c>
      <c r="Q55" s="40">
        <v>0</v>
      </c>
      <c r="R55" s="41">
        <v>0</v>
      </c>
      <c r="S55" s="40">
        <v>0</v>
      </c>
      <c r="T55" s="41">
        <v>0</v>
      </c>
      <c r="U55" s="40">
        <v>0</v>
      </c>
      <c r="V55" s="41">
        <v>0</v>
      </c>
      <c r="W55" s="40">
        <v>0</v>
      </c>
      <c r="X55" s="41">
        <v>0</v>
      </c>
    </row>
    <row r="56" spans="1:24" ht="16.5" customHeight="1" x14ac:dyDescent="0.2">
      <c r="A56" s="95"/>
      <c r="B56" s="32" t="s">
        <v>56</v>
      </c>
      <c r="C56" s="40">
        <v>1908</v>
      </c>
      <c r="D56" s="41">
        <v>1908</v>
      </c>
      <c r="E56" s="40">
        <v>1908</v>
      </c>
      <c r="F56" s="41">
        <v>1908</v>
      </c>
      <c r="G56" s="40">
        <v>1908</v>
      </c>
      <c r="H56" s="41">
        <v>1908</v>
      </c>
      <c r="I56" s="40">
        <v>1908</v>
      </c>
      <c r="J56" s="41">
        <v>1908</v>
      </c>
      <c r="K56" s="40">
        <v>1908</v>
      </c>
      <c r="L56" s="41">
        <v>1908</v>
      </c>
      <c r="M56" s="40">
        <v>1908</v>
      </c>
      <c r="N56" s="41">
        <v>1908</v>
      </c>
      <c r="O56" s="40">
        <v>1908</v>
      </c>
      <c r="P56" s="41">
        <v>1908</v>
      </c>
      <c r="Q56" s="40">
        <v>1908</v>
      </c>
      <c r="R56" s="41">
        <v>1908</v>
      </c>
      <c r="S56" s="40">
        <v>1908</v>
      </c>
      <c r="T56" s="41">
        <v>1908</v>
      </c>
      <c r="U56" s="40">
        <v>1908</v>
      </c>
      <c r="V56" s="41">
        <v>1908</v>
      </c>
      <c r="W56" s="40">
        <v>1908</v>
      </c>
      <c r="X56" s="41">
        <v>1908</v>
      </c>
    </row>
    <row r="57" spans="1:24" ht="16.5" customHeight="1" x14ac:dyDescent="0.2">
      <c r="A57" s="95"/>
      <c r="B57" s="32" t="s">
        <v>18</v>
      </c>
      <c r="C57" s="40">
        <v>1941</v>
      </c>
      <c r="D57" s="41">
        <v>3183</v>
      </c>
      <c r="E57" s="40">
        <v>3583</v>
      </c>
      <c r="F57" s="41">
        <v>3983</v>
      </c>
      <c r="G57" s="40">
        <v>4383</v>
      </c>
      <c r="H57" s="41">
        <v>5276</v>
      </c>
      <c r="I57" s="40">
        <v>5676</v>
      </c>
      <c r="J57" s="41">
        <v>5676</v>
      </c>
      <c r="K57" s="40">
        <v>5676</v>
      </c>
      <c r="L57" s="41">
        <v>5676</v>
      </c>
      <c r="M57" s="40">
        <v>5676</v>
      </c>
      <c r="N57" s="41">
        <v>5676</v>
      </c>
      <c r="O57" s="40">
        <v>5676</v>
      </c>
      <c r="P57" s="41">
        <v>5676</v>
      </c>
      <c r="Q57" s="40">
        <v>5676</v>
      </c>
      <c r="R57" s="41">
        <v>5676</v>
      </c>
      <c r="S57" s="40">
        <v>5676</v>
      </c>
      <c r="T57" s="41">
        <v>5676</v>
      </c>
      <c r="U57" s="40">
        <v>5840</v>
      </c>
      <c r="V57" s="41">
        <v>5840</v>
      </c>
      <c r="W57" s="40">
        <v>6050</v>
      </c>
      <c r="X57" s="41">
        <v>6050</v>
      </c>
    </row>
    <row r="58" spans="1:24" ht="16.5" customHeight="1" x14ac:dyDescent="0.2">
      <c r="A58" s="95"/>
      <c r="B58" s="32" t="s">
        <v>57</v>
      </c>
      <c r="C58" s="40">
        <v>424</v>
      </c>
      <c r="D58" s="41">
        <v>424</v>
      </c>
      <c r="E58" s="40">
        <v>424</v>
      </c>
      <c r="F58" s="41">
        <v>520</v>
      </c>
      <c r="G58" s="40">
        <v>680</v>
      </c>
      <c r="H58" s="41">
        <v>1264</v>
      </c>
      <c r="I58" s="40">
        <v>1424</v>
      </c>
      <c r="J58" s="41">
        <v>1424</v>
      </c>
      <c r="K58" s="40">
        <v>1424</v>
      </c>
      <c r="L58" s="41">
        <v>1424</v>
      </c>
      <c r="M58" s="40">
        <v>1424</v>
      </c>
      <c r="N58" s="41">
        <v>1424</v>
      </c>
      <c r="O58" s="40">
        <v>1424</v>
      </c>
      <c r="P58" s="41">
        <v>1424</v>
      </c>
      <c r="Q58" s="40">
        <v>1424</v>
      </c>
      <c r="R58" s="41">
        <v>1424</v>
      </c>
      <c r="S58" s="40">
        <v>1424</v>
      </c>
      <c r="T58" s="41">
        <v>1424</v>
      </c>
      <c r="U58" s="40">
        <v>1424</v>
      </c>
      <c r="V58" s="41">
        <v>1424</v>
      </c>
      <c r="W58" s="40">
        <v>1424</v>
      </c>
      <c r="X58" s="41">
        <v>1424</v>
      </c>
    </row>
    <row r="59" spans="1:24" ht="16.5" customHeight="1" x14ac:dyDescent="0.2">
      <c r="A59" s="95"/>
      <c r="B59" s="32" t="s">
        <v>58</v>
      </c>
      <c r="C59" s="40">
        <v>40</v>
      </c>
      <c r="D59" s="41">
        <v>60</v>
      </c>
      <c r="E59" s="40">
        <v>60</v>
      </c>
      <c r="F59" s="41">
        <v>60</v>
      </c>
      <c r="G59" s="40">
        <v>60</v>
      </c>
      <c r="H59" s="41">
        <v>60</v>
      </c>
      <c r="I59" s="40">
        <v>60</v>
      </c>
      <c r="J59" s="41">
        <v>60</v>
      </c>
      <c r="K59" s="40">
        <v>60</v>
      </c>
      <c r="L59" s="41">
        <v>60</v>
      </c>
      <c r="M59" s="40">
        <v>60</v>
      </c>
      <c r="N59" s="41">
        <v>60</v>
      </c>
      <c r="O59" s="40">
        <v>60</v>
      </c>
      <c r="P59" s="41">
        <v>60</v>
      </c>
      <c r="Q59" s="40">
        <v>60</v>
      </c>
      <c r="R59" s="41">
        <v>60</v>
      </c>
      <c r="S59" s="40">
        <v>60</v>
      </c>
      <c r="T59" s="41">
        <v>393</v>
      </c>
      <c r="U59" s="40">
        <v>393</v>
      </c>
      <c r="V59" s="41">
        <v>393</v>
      </c>
      <c r="W59" s="40">
        <v>393</v>
      </c>
      <c r="X59" s="41">
        <v>393</v>
      </c>
    </row>
    <row r="60" spans="1:24" ht="16.5" customHeight="1" x14ac:dyDescent="0.2">
      <c r="A60" s="95"/>
      <c r="B60" s="32" t="s">
        <v>59</v>
      </c>
      <c r="C60" s="40">
        <v>0</v>
      </c>
      <c r="D60" s="41">
        <v>0</v>
      </c>
      <c r="E60" s="40">
        <v>0</v>
      </c>
      <c r="F60" s="41">
        <v>0</v>
      </c>
      <c r="G60" s="40">
        <v>0</v>
      </c>
      <c r="H60" s="41">
        <v>0</v>
      </c>
      <c r="I60" s="40">
        <v>0</v>
      </c>
      <c r="J60" s="41">
        <v>0</v>
      </c>
      <c r="K60" s="40">
        <v>0</v>
      </c>
      <c r="L60" s="41">
        <v>0</v>
      </c>
      <c r="M60" s="40">
        <v>0</v>
      </c>
      <c r="N60" s="41">
        <v>0</v>
      </c>
      <c r="O60" s="40">
        <v>0</v>
      </c>
      <c r="P60" s="41">
        <v>0</v>
      </c>
      <c r="Q60" s="40">
        <v>0</v>
      </c>
      <c r="R60" s="41">
        <v>0</v>
      </c>
      <c r="S60" s="40">
        <v>0</v>
      </c>
      <c r="T60" s="41">
        <v>26</v>
      </c>
      <c r="U60" s="40">
        <v>26</v>
      </c>
      <c r="V60" s="41">
        <v>26</v>
      </c>
      <c r="W60" s="40">
        <v>26</v>
      </c>
      <c r="X60" s="41">
        <v>26</v>
      </c>
    </row>
    <row r="61" spans="1:24" ht="16.5" customHeight="1" x14ac:dyDescent="0.2">
      <c r="A61" s="95"/>
      <c r="B61" s="32" t="s">
        <v>60</v>
      </c>
      <c r="C61" s="40">
        <v>78.650000000000006</v>
      </c>
      <c r="D61" s="41">
        <v>155.44</v>
      </c>
      <c r="E61" s="40">
        <v>249</v>
      </c>
      <c r="F61" s="41">
        <v>322.11</v>
      </c>
      <c r="G61" s="40">
        <v>388.15</v>
      </c>
      <c r="H61" s="41">
        <v>449.18</v>
      </c>
      <c r="I61" s="40">
        <v>510.13</v>
      </c>
      <c r="J61" s="41">
        <v>568.84</v>
      </c>
      <c r="K61" s="40">
        <v>626.16</v>
      </c>
      <c r="L61" s="41">
        <v>680.88</v>
      </c>
      <c r="M61" s="40">
        <v>734.48</v>
      </c>
      <c r="N61" s="41">
        <v>788.43</v>
      </c>
      <c r="O61" s="40">
        <v>842.78</v>
      </c>
      <c r="P61" s="41">
        <v>897.59</v>
      </c>
      <c r="Q61" s="40">
        <v>951.52</v>
      </c>
      <c r="R61" s="41">
        <v>1001.65</v>
      </c>
      <c r="S61" s="40">
        <v>1048.46</v>
      </c>
      <c r="T61" s="41">
        <v>1092.3599999999999</v>
      </c>
      <c r="U61" s="40">
        <v>1132.96</v>
      </c>
      <c r="V61" s="41">
        <v>1171.04</v>
      </c>
      <c r="W61" s="40">
        <v>1206.1600000000001</v>
      </c>
      <c r="X61" s="41">
        <v>1239.3800000000001</v>
      </c>
    </row>
    <row r="62" spans="1:24" ht="16.5" customHeight="1" x14ac:dyDescent="0.2">
      <c r="A62" s="95"/>
      <c r="B62" s="32" t="s">
        <v>41</v>
      </c>
      <c r="C62" s="40">
        <v>1626</v>
      </c>
      <c r="D62" s="41">
        <v>1864</v>
      </c>
      <c r="E62" s="40">
        <v>2090</v>
      </c>
      <c r="F62" s="41">
        <v>2307</v>
      </c>
      <c r="G62" s="40">
        <v>2517</v>
      </c>
      <c r="H62" s="41">
        <v>2724</v>
      </c>
      <c r="I62" s="40">
        <v>2928</v>
      </c>
      <c r="J62" s="41">
        <v>3120</v>
      </c>
      <c r="K62" s="40">
        <v>3300</v>
      </c>
      <c r="L62" s="41">
        <v>3462</v>
      </c>
      <c r="M62" s="40">
        <v>3606</v>
      </c>
      <c r="N62" s="41">
        <v>3747</v>
      </c>
      <c r="O62" s="40">
        <v>3881</v>
      </c>
      <c r="P62" s="41">
        <v>3998</v>
      </c>
      <c r="Q62" s="40">
        <v>4106</v>
      </c>
      <c r="R62" s="41">
        <v>4207</v>
      </c>
      <c r="S62" s="40">
        <v>4300</v>
      </c>
      <c r="T62" s="41">
        <v>4386</v>
      </c>
      <c r="U62" s="40">
        <v>4465</v>
      </c>
      <c r="V62" s="41">
        <v>4537</v>
      </c>
      <c r="W62" s="40">
        <v>4606</v>
      </c>
      <c r="X62" s="41">
        <v>4671</v>
      </c>
    </row>
    <row r="63" spans="1:24" ht="16.5" customHeight="1" x14ac:dyDescent="0.2">
      <c r="A63" s="94" t="s">
        <v>39</v>
      </c>
      <c r="B63" s="15" t="s">
        <v>54</v>
      </c>
      <c r="C63" s="16">
        <v>0</v>
      </c>
      <c r="D63" s="17">
        <v>0</v>
      </c>
      <c r="E63" s="16">
        <v>0</v>
      </c>
      <c r="F63" s="17">
        <v>0</v>
      </c>
      <c r="G63" s="16">
        <v>0</v>
      </c>
      <c r="H63" s="17">
        <v>0</v>
      </c>
      <c r="I63" s="16">
        <v>0</v>
      </c>
      <c r="J63" s="17">
        <v>0</v>
      </c>
      <c r="K63" s="16">
        <v>0</v>
      </c>
      <c r="L63" s="17">
        <v>0</v>
      </c>
      <c r="M63" s="16">
        <v>0</v>
      </c>
      <c r="N63" s="17">
        <v>0</v>
      </c>
      <c r="O63" s="16">
        <v>0</v>
      </c>
      <c r="P63" s="17">
        <v>0</v>
      </c>
      <c r="Q63" s="16">
        <v>0</v>
      </c>
      <c r="R63" s="17">
        <v>0</v>
      </c>
      <c r="S63" s="16">
        <v>0</v>
      </c>
      <c r="T63" s="17">
        <v>0</v>
      </c>
      <c r="U63" s="16">
        <v>0</v>
      </c>
      <c r="V63" s="17">
        <v>0</v>
      </c>
      <c r="W63" s="16">
        <v>0</v>
      </c>
      <c r="X63" s="17">
        <v>0</v>
      </c>
    </row>
    <row r="64" spans="1:24" ht="16.5" customHeight="1" x14ac:dyDescent="0.2">
      <c r="A64" s="94"/>
      <c r="B64" s="15" t="s">
        <v>55</v>
      </c>
      <c r="C64" s="16">
        <v>0</v>
      </c>
      <c r="D64" s="17">
        <v>0</v>
      </c>
      <c r="E64" s="16">
        <v>0</v>
      </c>
      <c r="F64" s="17">
        <v>0</v>
      </c>
      <c r="G64" s="16">
        <v>0</v>
      </c>
      <c r="H64" s="17">
        <v>0</v>
      </c>
      <c r="I64" s="16">
        <v>0</v>
      </c>
      <c r="J64" s="17">
        <v>0</v>
      </c>
      <c r="K64" s="16">
        <v>0</v>
      </c>
      <c r="L64" s="17">
        <v>0</v>
      </c>
      <c r="M64" s="16">
        <v>0</v>
      </c>
      <c r="N64" s="17">
        <v>0</v>
      </c>
      <c r="O64" s="16">
        <v>0</v>
      </c>
      <c r="P64" s="17">
        <v>0</v>
      </c>
      <c r="Q64" s="16">
        <v>0</v>
      </c>
      <c r="R64" s="17">
        <v>0</v>
      </c>
      <c r="S64" s="16">
        <v>0</v>
      </c>
      <c r="T64" s="17">
        <v>0</v>
      </c>
      <c r="U64" s="16">
        <v>0</v>
      </c>
      <c r="V64" s="17">
        <v>0</v>
      </c>
      <c r="W64" s="16">
        <v>0</v>
      </c>
      <c r="X64" s="17">
        <v>0</v>
      </c>
    </row>
    <row r="65" spans="1:24" ht="16.5" customHeight="1" x14ac:dyDescent="0.2">
      <c r="A65" s="94"/>
      <c r="B65" s="15" t="s">
        <v>17</v>
      </c>
      <c r="C65" s="16">
        <v>2170</v>
      </c>
      <c r="D65" s="17">
        <v>2170</v>
      </c>
      <c r="E65" s="16">
        <v>2170</v>
      </c>
      <c r="F65" s="17">
        <v>2170</v>
      </c>
      <c r="G65" s="16">
        <v>2170</v>
      </c>
      <c r="H65" s="17">
        <v>2170</v>
      </c>
      <c r="I65" s="16">
        <v>2170</v>
      </c>
      <c r="J65" s="17">
        <v>2170</v>
      </c>
      <c r="K65" s="16">
        <v>2170</v>
      </c>
      <c r="L65" s="17">
        <v>2170</v>
      </c>
      <c r="M65" s="16">
        <v>2170</v>
      </c>
      <c r="N65" s="17">
        <v>2170</v>
      </c>
      <c r="O65" s="16">
        <v>2170</v>
      </c>
      <c r="P65" s="17">
        <v>2170</v>
      </c>
      <c r="Q65" s="16">
        <v>2170</v>
      </c>
      <c r="R65" s="17">
        <v>2170</v>
      </c>
      <c r="S65" s="16">
        <v>2170</v>
      </c>
      <c r="T65" s="17">
        <v>2170</v>
      </c>
      <c r="U65" s="16">
        <v>2170</v>
      </c>
      <c r="V65" s="17">
        <v>2170</v>
      </c>
      <c r="W65" s="16">
        <v>2170</v>
      </c>
      <c r="X65" s="17">
        <v>2170</v>
      </c>
    </row>
    <row r="66" spans="1:24" ht="16.5" customHeight="1" x14ac:dyDescent="0.2">
      <c r="A66" s="94"/>
      <c r="B66" s="15" t="s">
        <v>44</v>
      </c>
      <c r="C66" s="16">
        <v>0</v>
      </c>
      <c r="D66" s="17">
        <v>0</v>
      </c>
      <c r="E66" s="16">
        <v>0</v>
      </c>
      <c r="F66" s="17">
        <v>0</v>
      </c>
      <c r="G66" s="16">
        <v>0</v>
      </c>
      <c r="H66" s="17">
        <v>0</v>
      </c>
      <c r="I66" s="16">
        <v>0</v>
      </c>
      <c r="J66" s="17">
        <v>0</v>
      </c>
      <c r="K66" s="16">
        <v>0</v>
      </c>
      <c r="L66" s="17">
        <v>0</v>
      </c>
      <c r="M66" s="16">
        <v>0</v>
      </c>
      <c r="N66" s="17">
        <v>0</v>
      </c>
      <c r="O66" s="16">
        <v>0</v>
      </c>
      <c r="P66" s="17">
        <v>0</v>
      </c>
      <c r="Q66" s="16">
        <v>0</v>
      </c>
      <c r="R66" s="17">
        <v>0</v>
      </c>
      <c r="S66" s="16">
        <v>0</v>
      </c>
      <c r="T66" s="17">
        <v>0</v>
      </c>
      <c r="U66" s="16">
        <v>0</v>
      </c>
      <c r="V66" s="17">
        <v>0</v>
      </c>
      <c r="W66" s="16">
        <v>0</v>
      </c>
      <c r="X66" s="17">
        <v>0</v>
      </c>
    </row>
    <row r="67" spans="1:24" ht="16.5" customHeight="1" x14ac:dyDescent="0.2">
      <c r="A67" s="94"/>
      <c r="B67" s="15" t="s">
        <v>56</v>
      </c>
      <c r="C67" s="16">
        <v>163</v>
      </c>
      <c r="D67" s="17">
        <v>163</v>
      </c>
      <c r="E67" s="16">
        <v>163</v>
      </c>
      <c r="F67" s="17">
        <v>163</v>
      </c>
      <c r="G67" s="16">
        <v>163</v>
      </c>
      <c r="H67" s="17">
        <v>163</v>
      </c>
      <c r="I67" s="16">
        <v>163</v>
      </c>
      <c r="J67" s="17">
        <v>163</v>
      </c>
      <c r="K67" s="16">
        <v>163</v>
      </c>
      <c r="L67" s="17">
        <v>163</v>
      </c>
      <c r="M67" s="16">
        <v>163</v>
      </c>
      <c r="N67" s="17">
        <v>163</v>
      </c>
      <c r="O67" s="16">
        <v>163</v>
      </c>
      <c r="P67" s="17">
        <v>163</v>
      </c>
      <c r="Q67" s="16">
        <v>163</v>
      </c>
      <c r="R67" s="17">
        <v>163</v>
      </c>
      <c r="S67" s="16">
        <v>163</v>
      </c>
      <c r="T67" s="17">
        <v>163</v>
      </c>
      <c r="U67" s="16">
        <v>163</v>
      </c>
      <c r="V67" s="17">
        <v>163</v>
      </c>
      <c r="W67" s="16">
        <v>163</v>
      </c>
      <c r="X67" s="17">
        <v>163</v>
      </c>
    </row>
    <row r="68" spans="1:24" ht="16.5" customHeight="1" x14ac:dyDescent="0.2">
      <c r="A68" s="94"/>
      <c r="B68" s="15" t="s">
        <v>18</v>
      </c>
      <c r="C68" s="16">
        <v>308</v>
      </c>
      <c r="D68" s="17">
        <v>308</v>
      </c>
      <c r="E68" s="16">
        <v>308</v>
      </c>
      <c r="F68" s="17">
        <v>308</v>
      </c>
      <c r="G68" s="16">
        <v>308</v>
      </c>
      <c r="H68" s="17">
        <v>308</v>
      </c>
      <c r="I68" s="16">
        <v>308</v>
      </c>
      <c r="J68" s="17">
        <v>308</v>
      </c>
      <c r="K68" s="16">
        <v>308</v>
      </c>
      <c r="L68" s="17">
        <v>308</v>
      </c>
      <c r="M68" s="16">
        <v>308</v>
      </c>
      <c r="N68" s="17">
        <v>308</v>
      </c>
      <c r="O68" s="16">
        <v>308</v>
      </c>
      <c r="P68" s="17">
        <v>308</v>
      </c>
      <c r="Q68" s="16">
        <v>308</v>
      </c>
      <c r="R68" s="17">
        <v>308</v>
      </c>
      <c r="S68" s="16">
        <v>308</v>
      </c>
      <c r="T68" s="17">
        <v>308</v>
      </c>
      <c r="U68" s="16">
        <v>308</v>
      </c>
      <c r="V68" s="17">
        <v>308</v>
      </c>
      <c r="W68" s="16">
        <v>308</v>
      </c>
      <c r="X68" s="17">
        <v>308</v>
      </c>
    </row>
    <row r="69" spans="1:24" ht="16.5" customHeight="1" x14ac:dyDescent="0.2">
      <c r="A69" s="94"/>
      <c r="B69" s="15" t="s">
        <v>57</v>
      </c>
      <c r="C69" s="16">
        <v>0</v>
      </c>
      <c r="D69" s="17">
        <v>0</v>
      </c>
      <c r="E69" s="16">
        <v>0</v>
      </c>
      <c r="F69" s="17">
        <v>0</v>
      </c>
      <c r="G69" s="16">
        <v>0</v>
      </c>
      <c r="H69" s="17">
        <v>0</v>
      </c>
      <c r="I69" s="16">
        <v>0</v>
      </c>
      <c r="J69" s="17">
        <v>0</v>
      </c>
      <c r="K69" s="16">
        <v>0</v>
      </c>
      <c r="L69" s="17">
        <v>0</v>
      </c>
      <c r="M69" s="16">
        <v>0</v>
      </c>
      <c r="N69" s="17">
        <v>0</v>
      </c>
      <c r="O69" s="16">
        <v>0</v>
      </c>
      <c r="P69" s="17">
        <v>0</v>
      </c>
      <c r="Q69" s="16">
        <v>0</v>
      </c>
      <c r="R69" s="17">
        <v>0</v>
      </c>
      <c r="S69" s="16">
        <v>0</v>
      </c>
      <c r="T69" s="17">
        <v>0</v>
      </c>
      <c r="U69" s="16">
        <v>0</v>
      </c>
      <c r="V69" s="17">
        <v>0</v>
      </c>
      <c r="W69" s="16">
        <v>0</v>
      </c>
      <c r="X69" s="17">
        <v>0</v>
      </c>
    </row>
    <row r="70" spans="1:24" ht="16.5" customHeight="1" x14ac:dyDescent="0.2">
      <c r="A70" s="94"/>
      <c r="B70" s="15" t="s">
        <v>58</v>
      </c>
      <c r="C70" s="16">
        <v>0</v>
      </c>
      <c r="D70" s="17">
        <v>0</v>
      </c>
      <c r="E70" s="16">
        <v>0</v>
      </c>
      <c r="F70" s="17">
        <v>0</v>
      </c>
      <c r="G70" s="16">
        <v>0</v>
      </c>
      <c r="H70" s="17">
        <v>0</v>
      </c>
      <c r="I70" s="16">
        <v>0</v>
      </c>
      <c r="J70" s="17">
        <v>0</v>
      </c>
      <c r="K70" s="16">
        <v>0</v>
      </c>
      <c r="L70" s="17">
        <v>0</v>
      </c>
      <c r="M70" s="16">
        <v>0</v>
      </c>
      <c r="N70" s="17">
        <v>0</v>
      </c>
      <c r="O70" s="16">
        <v>0</v>
      </c>
      <c r="P70" s="17">
        <v>0</v>
      </c>
      <c r="Q70" s="16">
        <v>0</v>
      </c>
      <c r="R70" s="17">
        <v>0</v>
      </c>
      <c r="S70" s="16">
        <v>0</v>
      </c>
      <c r="T70" s="17">
        <v>0</v>
      </c>
      <c r="U70" s="16">
        <v>0</v>
      </c>
      <c r="V70" s="17">
        <v>0</v>
      </c>
      <c r="W70" s="16">
        <v>0</v>
      </c>
      <c r="X70" s="17">
        <v>0</v>
      </c>
    </row>
    <row r="71" spans="1:24" ht="16.5" customHeight="1" x14ac:dyDescent="0.2">
      <c r="A71" s="94"/>
      <c r="B71" s="15" t="s">
        <v>59</v>
      </c>
      <c r="C71" s="16">
        <v>0</v>
      </c>
      <c r="D71" s="17">
        <v>0</v>
      </c>
      <c r="E71" s="16">
        <v>0</v>
      </c>
      <c r="F71" s="17">
        <v>0</v>
      </c>
      <c r="G71" s="16">
        <v>0</v>
      </c>
      <c r="H71" s="17">
        <v>0</v>
      </c>
      <c r="I71" s="16">
        <v>0</v>
      </c>
      <c r="J71" s="17">
        <v>0</v>
      </c>
      <c r="K71" s="16">
        <v>0</v>
      </c>
      <c r="L71" s="17">
        <v>0</v>
      </c>
      <c r="M71" s="16">
        <v>0</v>
      </c>
      <c r="N71" s="17">
        <v>0</v>
      </c>
      <c r="O71" s="16">
        <v>0</v>
      </c>
      <c r="P71" s="17">
        <v>0</v>
      </c>
      <c r="Q71" s="16">
        <v>0</v>
      </c>
      <c r="R71" s="17">
        <v>0</v>
      </c>
      <c r="S71" s="16">
        <v>0</v>
      </c>
      <c r="T71" s="17">
        <v>0</v>
      </c>
      <c r="U71" s="16">
        <v>0</v>
      </c>
      <c r="V71" s="17">
        <v>0</v>
      </c>
      <c r="W71" s="16">
        <v>0</v>
      </c>
      <c r="X71" s="17">
        <v>0</v>
      </c>
    </row>
    <row r="72" spans="1:24" ht="16.5" customHeight="1" x14ac:dyDescent="0.2">
      <c r="A72" s="94"/>
      <c r="B72" s="15" t="s">
        <v>60</v>
      </c>
      <c r="C72" s="16">
        <v>5.78</v>
      </c>
      <c r="D72" s="17">
        <v>11.05</v>
      </c>
      <c r="E72" s="16">
        <v>17.489999999999998</v>
      </c>
      <c r="F72" s="17">
        <v>23.36</v>
      </c>
      <c r="G72" s="16">
        <v>29.72</v>
      </c>
      <c r="H72" s="17">
        <v>33.159999999999997</v>
      </c>
      <c r="I72" s="16">
        <v>35.43</v>
      </c>
      <c r="J72" s="17">
        <v>36.409999999999997</v>
      </c>
      <c r="K72" s="16">
        <v>37.369999999999997</v>
      </c>
      <c r="L72" s="17">
        <v>38.119999999999997</v>
      </c>
      <c r="M72" s="16">
        <v>38.659999999999997</v>
      </c>
      <c r="N72" s="17">
        <v>39.270000000000003</v>
      </c>
      <c r="O72" s="16">
        <v>39.909999999999997</v>
      </c>
      <c r="P72" s="17">
        <v>40.549999999999997</v>
      </c>
      <c r="Q72" s="16">
        <v>41.21</v>
      </c>
      <c r="R72" s="17">
        <v>41.88</v>
      </c>
      <c r="S72" s="16">
        <v>42.55</v>
      </c>
      <c r="T72" s="17">
        <v>43.23</v>
      </c>
      <c r="U72" s="16">
        <v>43.91</v>
      </c>
      <c r="V72" s="17">
        <v>44.59</v>
      </c>
      <c r="W72" s="16">
        <v>45.27</v>
      </c>
      <c r="X72" s="17">
        <v>45.95</v>
      </c>
    </row>
    <row r="73" spans="1:24" ht="16.5" customHeight="1" x14ac:dyDescent="0.2">
      <c r="A73" s="94"/>
      <c r="B73" s="15" t="s">
        <v>41</v>
      </c>
      <c r="C73" s="16">
        <v>150</v>
      </c>
      <c r="D73" s="17">
        <v>169</v>
      </c>
      <c r="E73" s="16">
        <v>187</v>
      </c>
      <c r="F73" s="17">
        <v>201</v>
      </c>
      <c r="G73" s="16">
        <v>210</v>
      </c>
      <c r="H73" s="17">
        <v>214</v>
      </c>
      <c r="I73" s="16">
        <v>216</v>
      </c>
      <c r="J73" s="17">
        <v>218</v>
      </c>
      <c r="K73" s="16">
        <v>219</v>
      </c>
      <c r="L73" s="17">
        <v>220</v>
      </c>
      <c r="M73" s="16">
        <v>222</v>
      </c>
      <c r="N73" s="17">
        <v>223</v>
      </c>
      <c r="O73" s="16">
        <v>224</v>
      </c>
      <c r="P73" s="17">
        <v>225</v>
      </c>
      <c r="Q73" s="16">
        <v>227</v>
      </c>
      <c r="R73" s="17">
        <v>228</v>
      </c>
      <c r="S73" s="16">
        <v>229</v>
      </c>
      <c r="T73" s="17">
        <v>231</v>
      </c>
      <c r="U73" s="16">
        <v>232</v>
      </c>
      <c r="V73" s="17">
        <v>233</v>
      </c>
      <c r="W73" s="16">
        <v>235</v>
      </c>
      <c r="X73" s="17">
        <v>236</v>
      </c>
    </row>
  </sheetData>
  <mergeCells count="6">
    <mergeCell ref="A63:A73"/>
    <mergeCell ref="A3:A14"/>
    <mergeCell ref="A19:A29"/>
    <mergeCell ref="A30:A40"/>
    <mergeCell ref="A41:A51"/>
    <mergeCell ref="A52:A6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85"/>
  <sheetViews>
    <sheetView zoomScaleNormal="100" workbookViewId="0"/>
  </sheetViews>
  <sheetFormatPr defaultColWidth="9.140625" defaultRowHeight="16.5" customHeight="1" x14ac:dyDescent="0.2"/>
  <cols>
    <col min="1" max="1" width="24.28515625" style="4" customWidth="1"/>
    <col min="2" max="2" width="19.5703125" style="4" customWidth="1"/>
    <col min="3" max="24" width="10.42578125" style="29" customWidth="1"/>
    <col min="25" max="16384" width="9.140625" style="4"/>
  </cols>
  <sheetData>
    <row r="1" spans="1:24" ht="16.5" customHeight="1" x14ac:dyDescent="0.25">
      <c r="A1" s="28" t="s">
        <v>69</v>
      </c>
    </row>
    <row r="2" spans="1:24" s="14" customFormat="1" ht="16.5" customHeight="1" x14ac:dyDescent="0.2">
      <c r="A2" s="30" t="s">
        <v>34</v>
      </c>
      <c r="B2" s="11" t="s">
        <v>20</v>
      </c>
      <c r="C2" s="12" t="s">
        <v>0</v>
      </c>
      <c r="D2" s="13" t="s">
        <v>1</v>
      </c>
      <c r="E2" s="12" t="s">
        <v>2</v>
      </c>
      <c r="F2" s="13" t="s">
        <v>3</v>
      </c>
      <c r="G2" s="12" t="s">
        <v>4</v>
      </c>
      <c r="H2" s="13" t="s">
        <v>5</v>
      </c>
      <c r="I2" s="12" t="s">
        <v>6</v>
      </c>
      <c r="J2" s="13" t="s">
        <v>7</v>
      </c>
      <c r="K2" s="12" t="s">
        <v>8</v>
      </c>
      <c r="L2" s="13" t="s">
        <v>9</v>
      </c>
      <c r="M2" s="12" t="s">
        <v>10</v>
      </c>
      <c r="N2" s="13" t="s">
        <v>11</v>
      </c>
      <c r="O2" s="12" t="s">
        <v>12</v>
      </c>
      <c r="P2" s="13" t="s">
        <v>13</v>
      </c>
      <c r="Q2" s="12" t="s">
        <v>14</v>
      </c>
      <c r="R2" s="13" t="s">
        <v>15</v>
      </c>
      <c r="S2" s="12" t="s">
        <v>16</v>
      </c>
      <c r="T2" s="13" t="s">
        <v>45</v>
      </c>
      <c r="U2" s="12" t="s">
        <v>61</v>
      </c>
      <c r="V2" s="13" t="s">
        <v>62</v>
      </c>
      <c r="W2" s="12" t="s">
        <v>63</v>
      </c>
      <c r="X2" s="13" t="s">
        <v>64</v>
      </c>
    </row>
    <row r="3" spans="1:24" ht="16.5" customHeight="1" x14ac:dyDescent="0.2">
      <c r="A3" s="96" t="s">
        <v>42</v>
      </c>
      <c r="B3" s="15" t="s">
        <v>54</v>
      </c>
      <c r="C3" s="16">
        <v>99146</v>
      </c>
      <c r="D3" s="17">
        <v>88464</v>
      </c>
      <c r="E3" s="16">
        <v>85544</v>
      </c>
      <c r="F3" s="17">
        <v>86581</v>
      </c>
      <c r="G3" s="16">
        <v>85982</v>
      </c>
      <c r="H3" s="17">
        <v>85337</v>
      </c>
      <c r="I3" s="16">
        <v>81780</v>
      </c>
      <c r="J3" s="17">
        <v>79777</v>
      </c>
      <c r="K3" s="16">
        <v>77581</v>
      </c>
      <c r="L3" s="17">
        <v>74443</v>
      </c>
      <c r="M3" s="16">
        <v>70201</v>
      </c>
      <c r="N3" s="17">
        <v>63939</v>
      </c>
      <c r="O3" s="16">
        <v>60791</v>
      </c>
      <c r="P3" s="17">
        <v>56985</v>
      </c>
      <c r="Q3" s="16">
        <v>58982</v>
      </c>
      <c r="R3" s="17">
        <v>56171</v>
      </c>
      <c r="S3" s="16">
        <v>48919</v>
      </c>
      <c r="T3" s="17">
        <v>36655</v>
      </c>
      <c r="U3" s="16">
        <v>29549</v>
      </c>
      <c r="V3" s="17">
        <v>27145</v>
      </c>
      <c r="W3" s="16">
        <v>25480</v>
      </c>
      <c r="X3" s="17">
        <v>25399</v>
      </c>
    </row>
    <row r="4" spans="1:24" ht="16.5" customHeight="1" x14ac:dyDescent="0.2">
      <c r="A4" s="97"/>
      <c r="B4" s="15" t="s">
        <v>55</v>
      </c>
      <c r="C4" s="16">
        <v>32102</v>
      </c>
      <c r="D4" s="17">
        <v>32119</v>
      </c>
      <c r="E4" s="16">
        <v>32150</v>
      </c>
      <c r="F4" s="17">
        <v>32318</v>
      </c>
      <c r="G4" s="16">
        <v>29830</v>
      </c>
      <c r="H4" s="17">
        <v>29584</v>
      </c>
      <c r="I4" s="16">
        <v>32255</v>
      </c>
      <c r="J4" s="17">
        <v>32217</v>
      </c>
      <c r="K4" s="16">
        <v>28550</v>
      </c>
      <c r="L4" s="17">
        <v>32063</v>
      </c>
      <c r="M4" s="16">
        <v>28356</v>
      </c>
      <c r="N4" s="17">
        <v>28165</v>
      </c>
      <c r="O4" s="16">
        <v>31360</v>
      </c>
      <c r="P4" s="17">
        <v>31197</v>
      </c>
      <c r="Q4" s="16">
        <v>21659</v>
      </c>
      <c r="R4" s="17">
        <v>21526</v>
      </c>
      <c r="S4" s="16">
        <v>21649</v>
      </c>
      <c r="T4" s="17">
        <v>22132</v>
      </c>
      <c r="U4" s="16">
        <v>18413</v>
      </c>
      <c r="V4" s="17">
        <v>22036</v>
      </c>
      <c r="W4" s="16">
        <v>18439</v>
      </c>
      <c r="X4" s="17">
        <v>18385</v>
      </c>
    </row>
    <row r="5" spans="1:24" ht="16.5" customHeight="1" x14ac:dyDescent="0.2">
      <c r="A5" s="97"/>
      <c r="B5" s="15" t="s">
        <v>17</v>
      </c>
      <c r="C5" s="16">
        <v>15797</v>
      </c>
      <c r="D5" s="17">
        <v>15840</v>
      </c>
      <c r="E5" s="16">
        <v>15797</v>
      </c>
      <c r="F5" s="17">
        <v>15797</v>
      </c>
      <c r="G5" s="16">
        <v>15797</v>
      </c>
      <c r="H5" s="17">
        <v>15840</v>
      </c>
      <c r="I5" s="16">
        <v>15729</v>
      </c>
      <c r="J5" s="17">
        <v>15797</v>
      </c>
      <c r="K5" s="16">
        <v>15797</v>
      </c>
      <c r="L5" s="17">
        <v>15840</v>
      </c>
      <c r="M5" s="16">
        <v>15797</v>
      </c>
      <c r="N5" s="17">
        <v>15797</v>
      </c>
      <c r="O5" s="16">
        <v>15797</v>
      </c>
      <c r="P5" s="17">
        <v>15840</v>
      </c>
      <c r="Q5" s="16">
        <v>15797</v>
      </c>
      <c r="R5" s="17">
        <v>15797</v>
      </c>
      <c r="S5" s="16">
        <v>15797</v>
      </c>
      <c r="T5" s="17">
        <v>15840</v>
      </c>
      <c r="U5" s="16">
        <v>15797</v>
      </c>
      <c r="V5" s="17">
        <v>15797</v>
      </c>
      <c r="W5" s="16">
        <v>15797</v>
      </c>
      <c r="X5" s="17">
        <v>15840</v>
      </c>
    </row>
    <row r="6" spans="1:24" ht="16.5" customHeight="1" x14ac:dyDescent="0.2">
      <c r="A6" s="97"/>
      <c r="B6" s="15" t="s">
        <v>44</v>
      </c>
      <c r="C6" s="16">
        <v>11034</v>
      </c>
      <c r="D6" s="17">
        <v>11784</v>
      </c>
      <c r="E6" s="16">
        <v>11732</v>
      </c>
      <c r="F6" s="17">
        <v>7670</v>
      </c>
      <c r="G6" s="16">
        <v>8243</v>
      </c>
      <c r="H6" s="17">
        <v>7892</v>
      </c>
      <c r="I6" s="16">
        <v>3232</v>
      </c>
      <c r="J6" s="17">
        <v>3737</v>
      </c>
      <c r="K6" s="16">
        <v>4618</v>
      </c>
      <c r="L6" s="17">
        <v>3508</v>
      </c>
      <c r="M6" s="16">
        <v>3991</v>
      </c>
      <c r="N6" s="17">
        <v>4639</v>
      </c>
      <c r="O6" s="16">
        <v>3974</v>
      </c>
      <c r="P6" s="17">
        <v>3804</v>
      </c>
      <c r="Q6" s="16">
        <v>3222</v>
      </c>
      <c r="R6" s="17">
        <v>3296</v>
      </c>
      <c r="S6" s="16">
        <v>4777</v>
      </c>
      <c r="T6" s="17">
        <v>7767</v>
      </c>
      <c r="U6" s="16">
        <v>9879</v>
      </c>
      <c r="V6" s="17">
        <v>9531</v>
      </c>
      <c r="W6" s="16">
        <v>10020</v>
      </c>
      <c r="X6" s="17">
        <v>9608</v>
      </c>
    </row>
    <row r="7" spans="1:24" ht="16.5" customHeight="1" x14ac:dyDescent="0.2">
      <c r="A7" s="97"/>
      <c r="B7" s="15" t="s">
        <v>56</v>
      </c>
      <c r="C7" s="16">
        <v>671</v>
      </c>
      <c r="D7" s="17">
        <v>421</v>
      </c>
      <c r="E7" s="16">
        <v>386</v>
      </c>
      <c r="F7" s="17">
        <v>49</v>
      </c>
      <c r="G7" s="16">
        <v>102</v>
      </c>
      <c r="H7" s="17">
        <v>71</v>
      </c>
      <c r="I7" s="16">
        <v>121</v>
      </c>
      <c r="J7" s="17">
        <v>179</v>
      </c>
      <c r="K7" s="16">
        <v>264</v>
      </c>
      <c r="L7" s="17">
        <v>167</v>
      </c>
      <c r="M7" s="16">
        <v>209</v>
      </c>
      <c r="N7" s="17">
        <v>446</v>
      </c>
      <c r="O7" s="16">
        <v>211</v>
      </c>
      <c r="P7" s="17">
        <v>204</v>
      </c>
      <c r="Q7" s="16">
        <v>183</v>
      </c>
      <c r="R7" s="17">
        <v>150</v>
      </c>
      <c r="S7" s="16">
        <v>282</v>
      </c>
      <c r="T7" s="17">
        <v>1465</v>
      </c>
      <c r="U7" s="16">
        <v>3054</v>
      </c>
      <c r="V7" s="17">
        <v>2073</v>
      </c>
      <c r="W7" s="16">
        <v>3720</v>
      </c>
      <c r="X7" s="17">
        <v>3063</v>
      </c>
    </row>
    <row r="8" spans="1:24" ht="16.5" customHeight="1" x14ac:dyDescent="0.2">
      <c r="A8" s="97"/>
      <c r="B8" s="15" t="s">
        <v>18</v>
      </c>
      <c r="C8" s="16">
        <v>18190</v>
      </c>
      <c r="D8" s="17">
        <v>24191</v>
      </c>
      <c r="E8" s="16">
        <v>25968</v>
      </c>
      <c r="F8" s="17">
        <v>26463</v>
      </c>
      <c r="G8" s="16">
        <v>26175</v>
      </c>
      <c r="H8" s="17">
        <v>25055</v>
      </c>
      <c r="I8" s="16">
        <v>30671</v>
      </c>
      <c r="J8" s="17">
        <v>30579</v>
      </c>
      <c r="K8" s="16">
        <v>31518</v>
      </c>
      <c r="L8" s="17">
        <v>30411</v>
      </c>
      <c r="M8" s="16">
        <v>31959</v>
      </c>
      <c r="N8" s="17">
        <v>32568</v>
      </c>
      <c r="O8" s="16">
        <v>30869</v>
      </c>
      <c r="P8" s="17">
        <v>30270</v>
      </c>
      <c r="Q8" s="16">
        <v>31571</v>
      </c>
      <c r="R8" s="17">
        <v>31385</v>
      </c>
      <c r="S8" s="16">
        <v>32101</v>
      </c>
      <c r="T8" s="17">
        <v>33887</v>
      </c>
      <c r="U8" s="16">
        <v>36388</v>
      </c>
      <c r="V8" s="17">
        <v>35808</v>
      </c>
      <c r="W8" s="16">
        <v>37375</v>
      </c>
      <c r="X8" s="17">
        <v>37997</v>
      </c>
    </row>
    <row r="9" spans="1:24" ht="16.5" customHeight="1" x14ac:dyDescent="0.2">
      <c r="A9" s="97"/>
      <c r="B9" s="15" t="s">
        <v>57</v>
      </c>
      <c r="C9" s="16">
        <v>4830</v>
      </c>
      <c r="D9" s="17">
        <v>6157</v>
      </c>
      <c r="E9" s="16">
        <v>6130</v>
      </c>
      <c r="F9" s="17">
        <v>6373</v>
      </c>
      <c r="G9" s="16">
        <v>6766</v>
      </c>
      <c r="H9" s="17">
        <v>8234</v>
      </c>
      <c r="I9" s="16">
        <v>8635</v>
      </c>
      <c r="J9" s="17">
        <v>10245</v>
      </c>
      <c r="K9" s="16">
        <v>12321</v>
      </c>
      <c r="L9" s="17">
        <v>14094</v>
      </c>
      <c r="M9" s="16">
        <v>15416</v>
      </c>
      <c r="N9" s="17">
        <v>16163</v>
      </c>
      <c r="O9" s="16">
        <v>16013</v>
      </c>
      <c r="P9" s="17">
        <v>15843</v>
      </c>
      <c r="Q9" s="16">
        <v>15679</v>
      </c>
      <c r="R9" s="17">
        <v>15214</v>
      </c>
      <c r="S9" s="16">
        <v>14933</v>
      </c>
      <c r="T9" s="17">
        <v>18293</v>
      </c>
      <c r="U9" s="16">
        <v>19654</v>
      </c>
      <c r="V9" s="17">
        <v>19779</v>
      </c>
      <c r="W9" s="16">
        <v>19855</v>
      </c>
      <c r="X9" s="17">
        <v>19842</v>
      </c>
    </row>
    <row r="10" spans="1:24" ht="16.5" customHeight="1" x14ac:dyDescent="0.2">
      <c r="A10" s="97"/>
      <c r="B10" s="15" t="s">
        <v>65</v>
      </c>
      <c r="C10" s="16">
        <v>-118.73640607777777</v>
      </c>
      <c r="D10" s="17">
        <v>-215.47678355555556</v>
      </c>
      <c r="E10" s="16">
        <v>-356.25092888888889</v>
      </c>
      <c r="F10" s="17">
        <v>-534.44437144444441</v>
      </c>
      <c r="G10" s="16">
        <v>-826.75318833333336</v>
      </c>
      <c r="H10" s="17">
        <v>-1038.3633311111112</v>
      </c>
      <c r="I10" s="16">
        <v>-1326.4575863333332</v>
      </c>
      <c r="J10" s="17">
        <v>-1580.1571952222221</v>
      </c>
      <c r="K10" s="16">
        <v>-1883.3905427777777</v>
      </c>
      <c r="L10" s="17">
        <v>-2039.2633515555556</v>
      </c>
      <c r="M10" s="16">
        <v>-2317.8364504444444</v>
      </c>
      <c r="N10" s="17">
        <v>-2617.0146804444444</v>
      </c>
      <c r="O10" s="16">
        <v>-2675.102865444444</v>
      </c>
      <c r="P10" s="17">
        <v>-2864.7822397777777</v>
      </c>
      <c r="Q10" s="16">
        <v>-3068.5382124444445</v>
      </c>
      <c r="R10" s="17">
        <v>-3240.1205833333333</v>
      </c>
      <c r="S10" s="16">
        <v>-3423.3291202222222</v>
      </c>
      <c r="T10" s="17">
        <v>-3561.9010465555552</v>
      </c>
      <c r="U10" s="16">
        <v>-3713.3918354444445</v>
      </c>
      <c r="V10" s="17">
        <v>-3930.390806111111</v>
      </c>
      <c r="W10" s="16">
        <v>-3968.8470397777774</v>
      </c>
      <c r="X10" s="17">
        <v>-4197.6243917777783</v>
      </c>
    </row>
    <row r="11" spans="1:24" ht="16.5" customHeight="1" x14ac:dyDescent="0.2">
      <c r="A11" s="97"/>
      <c r="B11" s="15" t="s">
        <v>66</v>
      </c>
      <c r="C11" s="16">
        <v>1064</v>
      </c>
      <c r="D11" s="17">
        <v>61</v>
      </c>
      <c r="E11" s="16">
        <v>69</v>
      </c>
      <c r="F11" s="17">
        <v>104</v>
      </c>
      <c r="G11" s="16">
        <v>240</v>
      </c>
      <c r="H11" s="17">
        <v>198</v>
      </c>
      <c r="I11" s="16">
        <v>253</v>
      </c>
      <c r="J11" s="17">
        <v>449</v>
      </c>
      <c r="K11" s="16">
        <v>828</v>
      </c>
      <c r="L11" s="17">
        <v>817</v>
      </c>
      <c r="M11" s="16">
        <v>1044</v>
      </c>
      <c r="N11" s="17">
        <v>1269</v>
      </c>
      <c r="O11" s="16">
        <v>1204</v>
      </c>
      <c r="P11" s="17">
        <v>1233</v>
      </c>
      <c r="Q11" s="16">
        <v>1201</v>
      </c>
      <c r="R11" s="17">
        <v>1263</v>
      </c>
      <c r="S11" s="16">
        <v>1417</v>
      </c>
      <c r="T11" s="17">
        <v>4856</v>
      </c>
      <c r="U11" s="16">
        <v>6353</v>
      </c>
      <c r="V11" s="17">
        <v>6496</v>
      </c>
      <c r="W11" s="16">
        <v>7292</v>
      </c>
      <c r="X11" s="17">
        <v>7336</v>
      </c>
    </row>
    <row r="12" spans="1:24" ht="16.5" customHeight="1" x14ac:dyDescent="0.2">
      <c r="A12" s="97"/>
      <c r="B12" s="15" t="s">
        <v>59</v>
      </c>
      <c r="C12" s="16">
        <v>0</v>
      </c>
      <c r="D12" s="17">
        <v>0</v>
      </c>
      <c r="E12" s="16">
        <v>0</v>
      </c>
      <c r="F12" s="17">
        <v>0</v>
      </c>
      <c r="G12" s="16">
        <v>0</v>
      </c>
      <c r="H12" s="17">
        <v>0</v>
      </c>
      <c r="I12" s="16">
        <v>0</v>
      </c>
      <c r="J12" s="17">
        <v>0</v>
      </c>
      <c r="K12" s="16">
        <v>0</v>
      </c>
      <c r="L12" s="17">
        <v>0</v>
      </c>
      <c r="M12" s="16">
        <v>0</v>
      </c>
      <c r="N12" s="17">
        <v>0</v>
      </c>
      <c r="O12" s="16">
        <v>0</v>
      </c>
      <c r="P12" s="17">
        <v>0</v>
      </c>
      <c r="Q12" s="16">
        <v>0</v>
      </c>
      <c r="R12" s="17">
        <v>0</v>
      </c>
      <c r="S12" s="16">
        <v>0</v>
      </c>
      <c r="T12" s="17">
        <v>553</v>
      </c>
      <c r="U12" s="16">
        <v>551</v>
      </c>
      <c r="V12" s="17">
        <v>551</v>
      </c>
      <c r="W12" s="16">
        <v>551</v>
      </c>
      <c r="X12" s="17">
        <v>553</v>
      </c>
    </row>
    <row r="13" spans="1:24" ht="16.5" customHeight="1" x14ac:dyDescent="0.2">
      <c r="A13" s="97"/>
      <c r="B13" s="15" t="s">
        <v>67</v>
      </c>
      <c r="C13" s="16">
        <v>-1330</v>
      </c>
      <c r="D13" s="17">
        <v>-76.25</v>
      </c>
      <c r="E13" s="16">
        <v>-86.25</v>
      </c>
      <c r="F13" s="17">
        <v>-130</v>
      </c>
      <c r="G13" s="16">
        <v>-300</v>
      </c>
      <c r="H13" s="17">
        <v>-247.5</v>
      </c>
      <c r="I13" s="16">
        <v>-316.25</v>
      </c>
      <c r="J13" s="17">
        <v>-561.25</v>
      </c>
      <c r="K13" s="16">
        <v>-1035</v>
      </c>
      <c r="L13" s="17">
        <v>-1021.25</v>
      </c>
      <c r="M13" s="16">
        <v>-1305</v>
      </c>
      <c r="N13" s="17">
        <v>-1586.25</v>
      </c>
      <c r="O13" s="16">
        <v>-1505</v>
      </c>
      <c r="P13" s="17">
        <v>-1541.25</v>
      </c>
      <c r="Q13" s="16">
        <v>-1501.25</v>
      </c>
      <c r="R13" s="17">
        <v>-1578.75</v>
      </c>
      <c r="S13" s="16">
        <v>-1771.25</v>
      </c>
      <c r="T13" s="17">
        <v>-6070</v>
      </c>
      <c r="U13" s="16">
        <v>-7941.25</v>
      </c>
      <c r="V13" s="17">
        <v>-8120</v>
      </c>
      <c r="W13" s="16">
        <v>-9115</v>
      </c>
      <c r="X13" s="17">
        <v>-9170</v>
      </c>
    </row>
    <row r="14" spans="1:24" ht="16.5" customHeight="1" x14ac:dyDescent="0.2">
      <c r="A14" s="97"/>
      <c r="B14" s="15" t="s">
        <v>68</v>
      </c>
      <c r="C14" s="16">
        <v>106.86276547</v>
      </c>
      <c r="D14" s="17">
        <v>193.92910520000001</v>
      </c>
      <c r="E14" s="16">
        <v>320.62583599999999</v>
      </c>
      <c r="F14" s="17">
        <v>480.99993430000001</v>
      </c>
      <c r="G14" s="16">
        <v>744.07786950000002</v>
      </c>
      <c r="H14" s="17">
        <v>934.52699800000005</v>
      </c>
      <c r="I14" s="16">
        <v>1193.8118276999999</v>
      </c>
      <c r="J14" s="17">
        <v>1422.1414757</v>
      </c>
      <c r="K14" s="16">
        <v>1695.0514885</v>
      </c>
      <c r="L14" s="17">
        <v>1835.3370164</v>
      </c>
      <c r="M14" s="16">
        <v>2086.0528054000001</v>
      </c>
      <c r="N14" s="17">
        <v>2355.3132123999999</v>
      </c>
      <c r="O14" s="16">
        <v>2407.5925788999998</v>
      </c>
      <c r="P14" s="17">
        <v>2578.3040157999999</v>
      </c>
      <c r="Q14" s="16">
        <v>2761.6843911999999</v>
      </c>
      <c r="R14" s="17">
        <v>2916.1085250000001</v>
      </c>
      <c r="S14" s="16">
        <v>3080.9962082000002</v>
      </c>
      <c r="T14" s="17">
        <v>3205.7109418999999</v>
      </c>
      <c r="U14" s="16">
        <v>3342.0526519</v>
      </c>
      <c r="V14" s="17">
        <v>3537.3517255000002</v>
      </c>
      <c r="W14" s="16">
        <v>3571.9623357999999</v>
      </c>
      <c r="X14" s="17">
        <v>3777.8619526000002</v>
      </c>
    </row>
    <row r="15" spans="1:24" s="2" customFormat="1" ht="16.5" customHeight="1" x14ac:dyDescent="0.2">
      <c r="A15" s="97"/>
      <c r="B15" s="15" t="s">
        <v>41</v>
      </c>
      <c r="C15" s="16">
        <v>9475</v>
      </c>
      <c r="D15" s="17">
        <v>10796</v>
      </c>
      <c r="E15" s="16">
        <v>12167</v>
      </c>
      <c r="F15" s="17">
        <v>13376</v>
      </c>
      <c r="G15" s="16">
        <v>14355</v>
      </c>
      <c r="H15" s="17">
        <v>16163</v>
      </c>
      <c r="I15" s="16">
        <v>17452</v>
      </c>
      <c r="J15" s="17">
        <v>18649</v>
      </c>
      <c r="K15" s="16">
        <v>19832</v>
      </c>
      <c r="L15" s="17">
        <v>21164</v>
      </c>
      <c r="M15" s="16">
        <v>22247</v>
      </c>
      <c r="N15" s="17">
        <v>23373</v>
      </c>
      <c r="O15" s="16">
        <v>24371</v>
      </c>
      <c r="P15" s="17">
        <v>25416</v>
      </c>
      <c r="Q15" s="16">
        <v>26359</v>
      </c>
      <c r="R15" s="17">
        <v>27143</v>
      </c>
      <c r="S15" s="16">
        <v>27900</v>
      </c>
      <c r="T15" s="17">
        <v>28674</v>
      </c>
      <c r="U15" s="16">
        <v>29301</v>
      </c>
      <c r="V15" s="17">
        <v>29864</v>
      </c>
      <c r="W15" s="16">
        <v>30469</v>
      </c>
      <c r="X15" s="17">
        <v>31010</v>
      </c>
    </row>
    <row r="16" spans="1:24" ht="16.5" customHeight="1" x14ac:dyDescent="0.2">
      <c r="A16" s="97"/>
      <c r="B16" s="23" t="s">
        <v>40</v>
      </c>
      <c r="C16" s="24">
        <f>SUM(C3:C15)</f>
        <v>190967.12635939222</v>
      </c>
      <c r="D16" s="25">
        <f>SUM(D3:D15)</f>
        <v>189735.20232164444</v>
      </c>
      <c r="E16" s="24">
        <f t="shared" ref="E16:X16" si="0">SUM(E3:E15)</f>
        <v>189821.12490711111</v>
      </c>
      <c r="F16" s="25">
        <f t="shared" si="0"/>
        <v>188547.55556285556</v>
      </c>
      <c r="G16" s="24">
        <f t="shared" si="0"/>
        <v>187107.32468116668</v>
      </c>
      <c r="H16" s="25">
        <f t="shared" si="0"/>
        <v>188022.66366688887</v>
      </c>
      <c r="I16" s="24">
        <f t="shared" si="0"/>
        <v>189679.10424136667</v>
      </c>
      <c r="J16" s="25">
        <f t="shared" si="0"/>
        <v>190909.73428047777</v>
      </c>
      <c r="K16" s="24">
        <f t="shared" si="0"/>
        <v>190085.66094572222</v>
      </c>
      <c r="L16" s="25">
        <f t="shared" si="0"/>
        <v>191281.82366484444</v>
      </c>
      <c r="M16" s="24">
        <f t="shared" si="0"/>
        <v>187683.21635495554</v>
      </c>
      <c r="N16" s="25">
        <f t="shared" si="0"/>
        <v>184511.04853195557</v>
      </c>
      <c r="O16" s="24">
        <f t="shared" si="0"/>
        <v>182817.48971345555</v>
      </c>
      <c r="P16" s="25">
        <f t="shared" si="0"/>
        <v>178964.27177602224</v>
      </c>
      <c r="Q16" s="24">
        <f t="shared" si="0"/>
        <v>172844.89617875553</v>
      </c>
      <c r="R16" s="25">
        <f t="shared" si="0"/>
        <v>170042.23794166665</v>
      </c>
      <c r="S16" s="24">
        <f t="shared" si="0"/>
        <v>165661.41708797778</v>
      </c>
      <c r="T16" s="25">
        <f t="shared" si="0"/>
        <v>163695.80989534446</v>
      </c>
      <c r="U16" s="24">
        <f t="shared" si="0"/>
        <v>160626.41081645558</v>
      </c>
      <c r="V16" s="25">
        <f t="shared" si="0"/>
        <v>160566.96091938892</v>
      </c>
      <c r="W16" s="24">
        <f t="shared" si="0"/>
        <v>159486.11529602221</v>
      </c>
      <c r="X16" s="25">
        <f t="shared" si="0"/>
        <v>159443.23756082222</v>
      </c>
    </row>
    <row r="19" spans="1:24" ht="16.5" customHeight="1" x14ac:dyDescent="0.2">
      <c r="C19" s="31"/>
      <c r="D19" s="31"/>
      <c r="E19" s="31"/>
      <c r="F19" s="31"/>
      <c r="G19" s="31"/>
      <c r="H19" s="31"/>
      <c r="I19" s="31"/>
      <c r="J19" s="31"/>
      <c r="K19" s="31"/>
      <c r="L19" s="31"/>
      <c r="M19" s="31"/>
      <c r="N19" s="31"/>
      <c r="O19" s="31"/>
      <c r="P19" s="31"/>
      <c r="Q19" s="31"/>
      <c r="R19" s="31"/>
      <c r="S19" s="31"/>
      <c r="T19" s="31"/>
      <c r="U19" s="31"/>
      <c r="V19" s="31"/>
      <c r="W19" s="31"/>
      <c r="X19" s="31"/>
    </row>
    <row r="20" spans="1:24" s="14" customFormat="1" ht="16.5" customHeight="1" x14ac:dyDescent="0.2">
      <c r="A20" s="30" t="s">
        <v>34</v>
      </c>
      <c r="B20" s="11" t="s">
        <v>20</v>
      </c>
      <c r="C20" s="12" t="s">
        <v>0</v>
      </c>
      <c r="D20" s="13" t="s">
        <v>1</v>
      </c>
      <c r="E20" s="12" t="s">
        <v>2</v>
      </c>
      <c r="F20" s="13" t="s">
        <v>3</v>
      </c>
      <c r="G20" s="12" t="s">
        <v>4</v>
      </c>
      <c r="H20" s="13" t="s">
        <v>5</v>
      </c>
      <c r="I20" s="12" t="s">
        <v>6</v>
      </c>
      <c r="J20" s="13" t="s">
        <v>7</v>
      </c>
      <c r="K20" s="12" t="s">
        <v>8</v>
      </c>
      <c r="L20" s="13" t="s">
        <v>9</v>
      </c>
      <c r="M20" s="12" t="s">
        <v>10</v>
      </c>
      <c r="N20" s="13" t="s">
        <v>11</v>
      </c>
      <c r="O20" s="12" t="s">
        <v>12</v>
      </c>
      <c r="P20" s="13" t="s">
        <v>13</v>
      </c>
      <c r="Q20" s="12" t="s">
        <v>14</v>
      </c>
      <c r="R20" s="13" t="s">
        <v>15</v>
      </c>
      <c r="S20" s="12" t="s">
        <v>16</v>
      </c>
      <c r="T20" s="13" t="s">
        <v>45</v>
      </c>
      <c r="U20" s="12" t="s">
        <v>61</v>
      </c>
      <c r="V20" s="13" t="s">
        <v>62</v>
      </c>
      <c r="W20" s="12" t="s">
        <v>63</v>
      </c>
      <c r="X20" s="13" t="s">
        <v>64</v>
      </c>
    </row>
    <row r="21" spans="1:24" ht="16.5" customHeight="1" x14ac:dyDescent="0.2">
      <c r="A21" s="96" t="s">
        <v>35</v>
      </c>
      <c r="B21" s="15" t="s">
        <v>54</v>
      </c>
      <c r="C21" s="16">
        <v>51220</v>
      </c>
      <c r="D21" s="17">
        <v>49440</v>
      </c>
      <c r="E21" s="16">
        <v>45948</v>
      </c>
      <c r="F21" s="17">
        <v>45707</v>
      </c>
      <c r="G21" s="16">
        <v>40442</v>
      </c>
      <c r="H21" s="17">
        <v>39655</v>
      </c>
      <c r="I21" s="16">
        <v>36992</v>
      </c>
      <c r="J21" s="17">
        <v>34085</v>
      </c>
      <c r="K21" s="16">
        <v>38759</v>
      </c>
      <c r="L21" s="17">
        <v>38490</v>
      </c>
      <c r="M21" s="16">
        <v>33923</v>
      </c>
      <c r="N21" s="17">
        <v>33025</v>
      </c>
      <c r="O21" s="16">
        <v>30279</v>
      </c>
      <c r="P21" s="17">
        <v>29518</v>
      </c>
      <c r="Q21" s="16">
        <v>31624</v>
      </c>
      <c r="R21" s="17">
        <v>28053</v>
      </c>
      <c r="S21" s="16">
        <v>19959</v>
      </c>
      <c r="T21" s="17">
        <v>7114</v>
      </c>
      <c r="U21" s="16">
        <v>7166</v>
      </c>
      <c r="V21" s="17">
        <v>7066</v>
      </c>
      <c r="W21" s="16">
        <v>7125</v>
      </c>
      <c r="X21" s="17">
        <v>7106</v>
      </c>
    </row>
    <row r="22" spans="1:24" ht="16.5" customHeight="1" x14ac:dyDescent="0.2">
      <c r="A22" s="97"/>
      <c r="B22" s="15" t="s">
        <v>55</v>
      </c>
      <c r="C22" s="16">
        <v>0</v>
      </c>
      <c r="D22" s="17">
        <v>0</v>
      </c>
      <c r="E22" s="16">
        <v>0</v>
      </c>
      <c r="F22" s="17">
        <v>0</v>
      </c>
      <c r="G22" s="16">
        <v>0</v>
      </c>
      <c r="H22" s="17">
        <v>0</v>
      </c>
      <c r="I22" s="16">
        <v>0</v>
      </c>
      <c r="J22" s="17">
        <v>0</v>
      </c>
      <c r="K22" s="16">
        <v>0</v>
      </c>
      <c r="L22" s="17">
        <v>0</v>
      </c>
      <c r="M22" s="16">
        <v>0</v>
      </c>
      <c r="N22" s="17">
        <v>0</v>
      </c>
      <c r="O22" s="16">
        <v>0</v>
      </c>
      <c r="P22" s="17">
        <v>0</v>
      </c>
      <c r="Q22" s="16">
        <v>0</v>
      </c>
      <c r="R22" s="17">
        <v>0</v>
      </c>
      <c r="S22" s="16">
        <v>0</v>
      </c>
      <c r="T22" s="17">
        <v>0</v>
      </c>
      <c r="U22" s="16">
        <v>0</v>
      </c>
      <c r="V22" s="17">
        <v>0</v>
      </c>
      <c r="W22" s="16">
        <v>0</v>
      </c>
      <c r="X22" s="17">
        <v>0</v>
      </c>
    </row>
    <row r="23" spans="1:24" ht="16.5" customHeight="1" x14ac:dyDescent="0.2">
      <c r="A23" s="97"/>
      <c r="B23" s="15" t="s">
        <v>17</v>
      </c>
      <c r="C23" s="16">
        <v>3054</v>
      </c>
      <c r="D23" s="17">
        <v>3063</v>
      </c>
      <c r="E23" s="16">
        <v>3054</v>
      </c>
      <c r="F23" s="17">
        <v>3054</v>
      </c>
      <c r="G23" s="16">
        <v>3054</v>
      </c>
      <c r="H23" s="17">
        <v>3063</v>
      </c>
      <c r="I23" s="16">
        <v>3054</v>
      </c>
      <c r="J23" s="17">
        <v>3054</v>
      </c>
      <c r="K23" s="16">
        <v>3054</v>
      </c>
      <c r="L23" s="17">
        <v>3063</v>
      </c>
      <c r="M23" s="16">
        <v>3054</v>
      </c>
      <c r="N23" s="17">
        <v>3054</v>
      </c>
      <c r="O23" s="16">
        <v>3054</v>
      </c>
      <c r="P23" s="17">
        <v>3063</v>
      </c>
      <c r="Q23" s="16">
        <v>3054</v>
      </c>
      <c r="R23" s="17">
        <v>3054</v>
      </c>
      <c r="S23" s="16">
        <v>3054</v>
      </c>
      <c r="T23" s="17">
        <v>3063</v>
      </c>
      <c r="U23" s="16">
        <v>3054</v>
      </c>
      <c r="V23" s="17">
        <v>3054</v>
      </c>
      <c r="W23" s="16">
        <v>3054</v>
      </c>
      <c r="X23" s="17">
        <v>3063</v>
      </c>
    </row>
    <row r="24" spans="1:24" ht="16.5" customHeight="1" x14ac:dyDescent="0.2">
      <c r="A24" s="97"/>
      <c r="B24" s="15" t="s">
        <v>44</v>
      </c>
      <c r="C24" s="16">
        <v>1551</v>
      </c>
      <c r="D24" s="17">
        <v>1551</v>
      </c>
      <c r="E24" s="16">
        <v>1544</v>
      </c>
      <c r="F24" s="17">
        <v>23</v>
      </c>
      <c r="G24" s="16">
        <v>61</v>
      </c>
      <c r="H24" s="17">
        <v>50</v>
      </c>
      <c r="I24" s="16">
        <v>51</v>
      </c>
      <c r="J24" s="17">
        <v>75</v>
      </c>
      <c r="K24" s="16">
        <v>132</v>
      </c>
      <c r="L24" s="17">
        <v>52</v>
      </c>
      <c r="M24" s="16">
        <v>69</v>
      </c>
      <c r="N24" s="17">
        <v>117</v>
      </c>
      <c r="O24" s="16">
        <v>54</v>
      </c>
      <c r="P24" s="17">
        <v>45</v>
      </c>
      <c r="Q24" s="16">
        <v>40</v>
      </c>
      <c r="R24" s="17">
        <v>44</v>
      </c>
      <c r="S24" s="16">
        <v>83</v>
      </c>
      <c r="T24" s="17">
        <v>2094</v>
      </c>
      <c r="U24" s="16">
        <v>2257</v>
      </c>
      <c r="V24" s="17">
        <v>2063</v>
      </c>
      <c r="W24" s="16">
        <v>2220</v>
      </c>
      <c r="X24" s="17">
        <v>2112</v>
      </c>
    </row>
    <row r="25" spans="1:24" ht="16.5" customHeight="1" x14ac:dyDescent="0.2">
      <c r="A25" s="97"/>
      <c r="B25" s="15" t="s">
        <v>56</v>
      </c>
      <c r="C25" s="16">
        <v>34</v>
      </c>
      <c r="D25" s="17">
        <v>15</v>
      </c>
      <c r="E25" s="16">
        <v>6</v>
      </c>
      <c r="F25" s="17">
        <v>3</v>
      </c>
      <c r="G25" s="16">
        <v>36</v>
      </c>
      <c r="H25" s="17">
        <v>21</v>
      </c>
      <c r="I25" s="16">
        <v>37</v>
      </c>
      <c r="J25" s="17">
        <v>71</v>
      </c>
      <c r="K25" s="16">
        <v>60</v>
      </c>
      <c r="L25" s="17">
        <v>27</v>
      </c>
      <c r="M25" s="16">
        <v>50</v>
      </c>
      <c r="N25" s="17">
        <v>43</v>
      </c>
      <c r="O25" s="16">
        <v>17</v>
      </c>
      <c r="P25" s="17">
        <v>16</v>
      </c>
      <c r="Q25" s="16">
        <v>20</v>
      </c>
      <c r="R25" s="17">
        <v>32</v>
      </c>
      <c r="S25" s="16">
        <v>89</v>
      </c>
      <c r="T25" s="17">
        <v>346</v>
      </c>
      <c r="U25" s="16">
        <v>465</v>
      </c>
      <c r="V25" s="17">
        <v>143</v>
      </c>
      <c r="W25" s="16">
        <v>564</v>
      </c>
      <c r="X25" s="17">
        <v>504</v>
      </c>
    </row>
    <row r="26" spans="1:24" ht="16.5" customHeight="1" x14ac:dyDescent="0.2">
      <c r="A26" s="97"/>
      <c r="B26" s="15" t="s">
        <v>18</v>
      </c>
      <c r="C26" s="16">
        <v>4177</v>
      </c>
      <c r="D26" s="17">
        <v>4971</v>
      </c>
      <c r="E26" s="16">
        <v>4928</v>
      </c>
      <c r="F26" s="17">
        <v>4976</v>
      </c>
      <c r="G26" s="16">
        <v>4964</v>
      </c>
      <c r="H26" s="17">
        <v>5038</v>
      </c>
      <c r="I26" s="16">
        <v>4961</v>
      </c>
      <c r="J26" s="17">
        <v>4931</v>
      </c>
      <c r="K26" s="16">
        <v>4954</v>
      </c>
      <c r="L26" s="17">
        <v>4936</v>
      </c>
      <c r="M26" s="16">
        <v>4903</v>
      </c>
      <c r="N26" s="17">
        <v>4802</v>
      </c>
      <c r="O26" s="16">
        <v>4730</v>
      </c>
      <c r="P26" s="17">
        <v>4647</v>
      </c>
      <c r="Q26" s="16">
        <v>4627</v>
      </c>
      <c r="R26" s="17">
        <v>4585</v>
      </c>
      <c r="S26" s="16">
        <v>4625</v>
      </c>
      <c r="T26" s="17">
        <v>5130</v>
      </c>
      <c r="U26" s="16">
        <v>6773</v>
      </c>
      <c r="V26" s="17">
        <v>6666</v>
      </c>
      <c r="W26" s="16">
        <v>6937</v>
      </c>
      <c r="X26" s="17">
        <v>6988</v>
      </c>
    </row>
    <row r="27" spans="1:24" ht="16.5" customHeight="1" x14ac:dyDescent="0.2">
      <c r="A27" s="97"/>
      <c r="B27" s="15" t="s">
        <v>57</v>
      </c>
      <c r="C27" s="16">
        <v>826</v>
      </c>
      <c r="D27" s="17">
        <v>1084</v>
      </c>
      <c r="E27" s="16">
        <v>1083</v>
      </c>
      <c r="F27" s="17">
        <v>1078</v>
      </c>
      <c r="G27" s="16">
        <v>1083</v>
      </c>
      <c r="H27" s="17">
        <v>1082</v>
      </c>
      <c r="I27" s="16">
        <v>1081</v>
      </c>
      <c r="J27" s="17">
        <v>1081</v>
      </c>
      <c r="K27" s="16">
        <v>1080</v>
      </c>
      <c r="L27" s="17">
        <v>1078</v>
      </c>
      <c r="M27" s="16">
        <v>1074</v>
      </c>
      <c r="N27" s="17">
        <v>1062</v>
      </c>
      <c r="O27" s="16">
        <v>1055</v>
      </c>
      <c r="P27" s="17">
        <v>1044</v>
      </c>
      <c r="Q27" s="16">
        <v>1028</v>
      </c>
      <c r="R27" s="17">
        <v>1035</v>
      </c>
      <c r="S27" s="16">
        <v>1044</v>
      </c>
      <c r="T27" s="17">
        <v>2310</v>
      </c>
      <c r="U27" s="16">
        <v>2457</v>
      </c>
      <c r="V27" s="17">
        <v>2448</v>
      </c>
      <c r="W27" s="16">
        <v>2452</v>
      </c>
      <c r="X27" s="17">
        <v>2456</v>
      </c>
    </row>
    <row r="28" spans="1:24" ht="16.5" customHeight="1" x14ac:dyDescent="0.2">
      <c r="A28" s="97"/>
      <c r="B28" s="15" t="s">
        <v>65</v>
      </c>
      <c r="C28" s="16">
        <v>-49.560972723429089</v>
      </c>
      <c r="D28" s="17">
        <v>-82.71258991327646</v>
      </c>
      <c r="E28" s="16">
        <v>-131.59624640090584</v>
      </c>
      <c r="F28" s="17">
        <v>-190.09477706175309</v>
      </c>
      <c r="G28" s="16">
        <v>-370.35782857025202</v>
      </c>
      <c r="H28" s="17">
        <v>-455.01298316285397</v>
      </c>
      <c r="I28" s="16">
        <v>-586.45962650012666</v>
      </c>
      <c r="J28" s="17">
        <v>-713.60911529062992</v>
      </c>
      <c r="K28" s="16">
        <v>-874.29206139706423</v>
      </c>
      <c r="L28" s="17">
        <v>-941.17130065070114</v>
      </c>
      <c r="M28" s="16">
        <v>-1056.9435450265778</v>
      </c>
      <c r="N28" s="17">
        <v>-1171.1480770918874</v>
      </c>
      <c r="O28" s="16">
        <v>-1250.8820359545871</v>
      </c>
      <c r="P28" s="17">
        <v>-1335.3897641669737</v>
      </c>
      <c r="Q28" s="16">
        <v>-1410.5497755197068</v>
      </c>
      <c r="R28" s="17">
        <v>-1483.7207360342456</v>
      </c>
      <c r="S28" s="16">
        <v>-1554.7166096406199</v>
      </c>
      <c r="T28" s="17">
        <v>-1613.7767016948312</v>
      </c>
      <c r="U28" s="16">
        <v>-1685.1157324543599</v>
      </c>
      <c r="V28" s="17">
        <v>-1792.1070503725641</v>
      </c>
      <c r="W28" s="16">
        <v>-1779.6133704513582</v>
      </c>
      <c r="X28" s="17">
        <v>-1899.5486355252576</v>
      </c>
    </row>
    <row r="29" spans="1:24" ht="16.5" customHeight="1" x14ac:dyDescent="0.2">
      <c r="A29" s="97"/>
      <c r="B29" s="15" t="s">
        <v>66</v>
      </c>
      <c r="C29" s="16">
        <v>306</v>
      </c>
      <c r="D29" s="17">
        <v>18</v>
      </c>
      <c r="E29" s="16">
        <v>13</v>
      </c>
      <c r="F29" s="17">
        <v>15</v>
      </c>
      <c r="G29" s="16">
        <v>75</v>
      </c>
      <c r="H29" s="17">
        <v>46</v>
      </c>
      <c r="I29" s="16">
        <v>58</v>
      </c>
      <c r="J29" s="17">
        <v>162</v>
      </c>
      <c r="K29" s="16">
        <v>189</v>
      </c>
      <c r="L29" s="17">
        <v>166</v>
      </c>
      <c r="M29" s="16">
        <v>244</v>
      </c>
      <c r="N29" s="17">
        <v>320</v>
      </c>
      <c r="O29" s="16">
        <v>307</v>
      </c>
      <c r="P29" s="17">
        <v>321</v>
      </c>
      <c r="Q29" s="16">
        <v>308</v>
      </c>
      <c r="R29" s="17">
        <v>333</v>
      </c>
      <c r="S29" s="16">
        <v>418</v>
      </c>
      <c r="T29" s="17">
        <v>1944</v>
      </c>
      <c r="U29" s="16">
        <v>2012</v>
      </c>
      <c r="V29" s="17">
        <v>2078</v>
      </c>
      <c r="W29" s="16">
        <v>2060</v>
      </c>
      <c r="X29" s="17">
        <v>2092</v>
      </c>
    </row>
    <row r="30" spans="1:24" ht="16.5" customHeight="1" x14ac:dyDescent="0.2">
      <c r="A30" s="97"/>
      <c r="B30" s="15" t="s">
        <v>59</v>
      </c>
      <c r="C30" s="16">
        <v>0</v>
      </c>
      <c r="D30" s="17">
        <v>0</v>
      </c>
      <c r="E30" s="16">
        <v>0</v>
      </c>
      <c r="F30" s="17">
        <v>0</v>
      </c>
      <c r="G30" s="16">
        <v>0</v>
      </c>
      <c r="H30" s="17">
        <v>0</v>
      </c>
      <c r="I30" s="16">
        <v>0</v>
      </c>
      <c r="J30" s="17">
        <v>0</v>
      </c>
      <c r="K30" s="16">
        <v>0</v>
      </c>
      <c r="L30" s="17">
        <v>0</v>
      </c>
      <c r="M30" s="16">
        <v>0</v>
      </c>
      <c r="N30" s="17">
        <v>0</v>
      </c>
      <c r="O30" s="16">
        <v>0</v>
      </c>
      <c r="P30" s="17">
        <v>0</v>
      </c>
      <c r="Q30" s="16">
        <v>0</v>
      </c>
      <c r="R30" s="17">
        <v>0</v>
      </c>
      <c r="S30" s="16">
        <v>0</v>
      </c>
      <c r="T30" s="17">
        <v>439</v>
      </c>
      <c r="U30" s="16">
        <v>438</v>
      </c>
      <c r="V30" s="17">
        <v>438</v>
      </c>
      <c r="W30" s="16">
        <v>438</v>
      </c>
      <c r="X30" s="17">
        <v>439</v>
      </c>
    </row>
    <row r="31" spans="1:24" ht="16.5" customHeight="1" x14ac:dyDescent="0.2">
      <c r="A31" s="97"/>
      <c r="B31" s="15" t="s">
        <v>67</v>
      </c>
      <c r="C31" s="16">
        <v>-382.5</v>
      </c>
      <c r="D31" s="17">
        <v>-22.5</v>
      </c>
      <c r="E31" s="16">
        <v>-16.25</v>
      </c>
      <c r="F31" s="17">
        <v>-18.75</v>
      </c>
      <c r="G31" s="16">
        <v>-93.75</v>
      </c>
      <c r="H31" s="17">
        <v>-57.5</v>
      </c>
      <c r="I31" s="16">
        <v>-72.5</v>
      </c>
      <c r="J31" s="17">
        <v>-202.5</v>
      </c>
      <c r="K31" s="16">
        <v>-236.25</v>
      </c>
      <c r="L31" s="17">
        <v>-207.5</v>
      </c>
      <c r="M31" s="16">
        <v>-305</v>
      </c>
      <c r="N31" s="17">
        <v>-400</v>
      </c>
      <c r="O31" s="16">
        <v>-383.75</v>
      </c>
      <c r="P31" s="17">
        <v>-401.25</v>
      </c>
      <c r="Q31" s="16">
        <v>-385</v>
      </c>
      <c r="R31" s="17">
        <v>-416.25</v>
      </c>
      <c r="S31" s="16">
        <v>-522.5</v>
      </c>
      <c r="T31" s="17">
        <v>-2430</v>
      </c>
      <c r="U31" s="16">
        <v>-2515</v>
      </c>
      <c r="V31" s="17">
        <v>-2597.5</v>
      </c>
      <c r="W31" s="16">
        <v>-2575</v>
      </c>
      <c r="X31" s="17">
        <v>-2615</v>
      </c>
    </row>
    <row r="32" spans="1:24" ht="16.5" customHeight="1" x14ac:dyDescent="0.2">
      <c r="A32" s="97"/>
      <c r="B32" s="15" t="s">
        <v>68</v>
      </c>
      <c r="C32" s="16">
        <v>44.60487545108618</v>
      </c>
      <c r="D32" s="17">
        <v>74.441330921948818</v>
      </c>
      <c r="E32" s="16">
        <v>118.43662176081527</v>
      </c>
      <c r="F32" s="17">
        <v>171.08529935557777</v>
      </c>
      <c r="G32" s="16">
        <v>333.32204571322683</v>
      </c>
      <c r="H32" s="17">
        <v>409.51168484656858</v>
      </c>
      <c r="I32" s="16">
        <v>527.81366385011404</v>
      </c>
      <c r="J32" s="17">
        <v>642.24820376156697</v>
      </c>
      <c r="K32" s="16">
        <v>786.86285525735786</v>
      </c>
      <c r="L32" s="17">
        <v>847.05417058563103</v>
      </c>
      <c r="M32" s="16">
        <v>951.24919052392011</v>
      </c>
      <c r="N32" s="17">
        <v>1054.0332693826988</v>
      </c>
      <c r="O32" s="16">
        <v>1125.7938323591284</v>
      </c>
      <c r="P32" s="17">
        <v>1201.8507877502764</v>
      </c>
      <c r="Q32" s="16">
        <v>1269.4947979677361</v>
      </c>
      <c r="R32" s="17">
        <v>1335.3486624308212</v>
      </c>
      <c r="S32" s="16">
        <v>1399.2449486765579</v>
      </c>
      <c r="T32" s="17">
        <v>1452.3990315253482</v>
      </c>
      <c r="U32" s="16">
        <v>1516.6041592089239</v>
      </c>
      <c r="V32" s="17">
        <v>1612.8963453353078</v>
      </c>
      <c r="W32" s="16">
        <v>1601.6520334062225</v>
      </c>
      <c r="X32" s="17">
        <v>1709.5937719727319</v>
      </c>
    </row>
    <row r="33" spans="1:24" ht="16.5" customHeight="1" thickBot="1" x14ac:dyDescent="0.25">
      <c r="A33" s="98"/>
      <c r="B33" s="15" t="s">
        <v>41</v>
      </c>
      <c r="C33" s="16">
        <v>2723</v>
      </c>
      <c r="D33" s="17">
        <v>3226</v>
      </c>
      <c r="E33" s="16">
        <v>3765</v>
      </c>
      <c r="F33" s="17">
        <v>4312</v>
      </c>
      <c r="G33" s="16">
        <v>4845</v>
      </c>
      <c r="H33" s="17">
        <v>5397</v>
      </c>
      <c r="I33" s="16">
        <v>5950</v>
      </c>
      <c r="J33" s="17">
        <v>6470</v>
      </c>
      <c r="K33" s="16">
        <v>6985</v>
      </c>
      <c r="L33" s="17">
        <v>7556</v>
      </c>
      <c r="M33" s="16">
        <v>8049</v>
      </c>
      <c r="N33" s="17">
        <v>8553</v>
      </c>
      <c r="O33" s="16">
        <v>8991</v>
      </c>
      <c r="P33" s="17">
        <v>9475</v>
      </c>
      <c r="Q33" s="16">
        <v>9889</v>
      </c>
      <c r="R33" s="17">
        <v>10231</v>
      </c>
      <c r="S33" s="16">
        <v>10571</v>
      </c>
      <c r="T33" s="17">
        <v>10930</v>
      </c>
      <c r="U33" s="16">
        <v>11249</v>
      </c>
      <c r="V33" s="17">
        <v>11514</v>
      </c>
      <c r="W33" s="16">
        <v>11791</v>
      </c>
      <c r="X33" s="17">
        <v>12047</v>
      </c>
    </row>
    <row r="34" spans="1:24" ht="16.5" customHeight="1" x14ac:dyDescent="0.2">
      <c r="A34" s="99" t="s">
        <v>36</v>
      </c>
      <c r="B34" s="32" t="s">
        <v>54</v>
      </c>
      <c r="C34" s="17">
        <v>47926</v>
      </c>
      <c r="D34" s="16">
        <v>39024</v>
      </c>
      <c r="E34" s="17">
        <v>39597</v>
      </c>
      <c r="F34" s="16">
        <v>40874</v>
      </c>
      <c r="G34" s="17">
        <v>45540</v>
      </c>
      <c r="H34" s="16">
        <v>45682</v>
      </c>
      <c r="I34" s="17">
        <v>44788</v>
      </c>
      <c r="J34" s="16">
        <v>45691</v>
      </c>
      <c r="K34" s="17">
        <v>38821</v>
      </c>
      <c r="L34" s="16">
        <v>35953</v>
      </c>
      <c r="M34" s="17">
        <v>36279</v>
      </c>
      <c r="N34" s="16">
        <v>30914</v>
      </c>
      <c r="O34" s="17">
        <v>30512</v>
      </c>
      <c r="P34" s="16">
        <v>27467</v>
      </c>
      <c r="Q34" s="17">
        <v>27358</v>
      </c>
      <c r="R34" s="16">
        <v>28118</v>
      </c>
      <c r="S34" s="17">
        <v>28961</v>
      </c>
      <c r="T34" s="16">
        <v>29541</v>
      </c>
      <c r="U34" s="17">
        <v>22383</v>
      </c>
      <c r="V34" s="16">
        <v>20079</v>
      </c>
      <c r="W34" s="17">
        <v>18355</v>
      </c>
      <c r="X34" s="16">
        <v>18292</v>
      </c>
    </row>
    <row r="35" spans="1:24" ht="16.5" customHeight="1" x14ac:dyDescent="0.2">
      <c r="A35" s="100"/>
      <c r="B35" s="32" t="s">
        <v>55</v>
      </c>
      <c r="C35" s="17">
        <v>0</v>
      </c>
      <c r="D35" s="16">
        <v>0</v>
      </c>
      <c r="E35" s="17">
        <v>0</v>
      </c>
      <c r="F35" s="16">
        <v>0</v>
      </c>
      <c r="G35" s="17">
        <v>0</v>
      </c>
      <c r="H35" s="16">
        <v>0</v>
      </c>
      <c r="I35" s="17">
        <v>0</v>
      </c>
      <c r="J35" s="16">
        <v>0</v>
      </c>
      <c r="K35" s="17">
        <v>0</v>
      </c>
      <c r="L35" s="16">
        <v>0</v>
      </c>
      <c r="M35" s="17">
        <v>0</v>
      </c>
      <c r="N35" s="16">
        <v>0</v>
      </c>
      <c r="O35" s="17">
        <v>0</v>
      </c>
      <c r="P35" s="16">
        <v>0</v>
      </c>
      <c r="Q35" s="17">
        <v>0</v>
      </c>
      <c r="R35" s="16">
        <v>0</v>
      </c>
      <c r="S35" s="17">
        <v>0</v>
      </c>
      <c r="T35" s="16">
        <v>0</v>
      </c>
      <c r="U35" s="17">
        <v>0</v>
      </c>
      <c r="V35" s="16">
        <v>0</v>
      </c>
      <c r="W35" s="17">
        <v>0</v>
      </c>
      <c r="X35" s="16">
        <v>0</v>
      </c>
    </row>
    <row r="36" spans="1:24" ht="16.5" customHeight="1" x14ac:dyDescent="0.2">
      <c r="A36" s="100"/>
      <c r="B36" s="32" t="s">
        <v>17</v>
      </c>
      <c r="C36" s="17">
        <v>707</v>
      </c>
      <c r="D36" s="16">
        <v>709</v>
      </c>
      <c r="E36" s="17">
        <v>707</v>
      </c>
      <c r="F36" s="16">
        <v>707</v>
      </c>
      <c r="G36" s="17">
        <v>707</v>
      </c>
      <c r="H36" s="16">
        <v>709</v>
      </c>
      <c r="I36" s="17">
        <v>707</v>
      </c>
      <c r="J36" s="16">
        <v>707</v>
      </c>
      <c r="K36" s="17">
        <v>707</v>
      </c>
      <c r="L36" s="16">
        <v>709</v>
      </c>
      <c r="M36" s="17">
        <v>707</v>
      </c>
      <c r="N36" s="16">
        <v>707</v>
      </c>
      <c r="O36" s="17">
        <v>707</v>
      </c>
      <c r="P36" s="16">
        <v>709</v>
      </c>
      <c r="Q36" s="17">
        <v>707</v>
      </c>
      <c r="R36" s="16">
        <v>707</v>
      </c>
      <c r="S36" s="17">
        <v>707</v>
      </c>
      <c r="T36" s="16">
        <v>709</v>
      </c>
      <c r="U36" s="17">
        <v>707</v>
      </c>
      <c r="V36" s="16">
        <v>707</v>
      </c>
      <c r="W36" s="17">
        <v>707</v>
      </c>
      <c r="X36" s="16">
        <v>709</v>
      </c>
    </row>
    <row r="37" spans="1:24" ht="16.5" customHeight="1" x14ac:dyDescent="0.2">
      <c r="A37" s="100"/>
      <c r="B37" s="32" t="s">
        <v>44</v>
      </c>
      <c r="C37" s="17">
        <v>4924</v>
      </c>
      <c r="D37" s="16">
        <v>5688</v>
      </c>
      <c r="E37" s="17">
        <v>5672</v>
      </c>
      <c r="F37" s="16">
        <v>3130</v>
      </c>
      <c r="G37" s="17">
        <v>3660</v>
      </c>
      <c r="H37" s="16">
        <v>3324</v>
      </c>
      <c r="I37" s="17">
        <v>3156</v>
      </c>
      <c r="J37" s="16">
        <v>3634</v>
      </c>
      <c r="K37" s="17">
        <v>4454</v>
      </c>
      <c r="L37" s="16">
        <v>3442</v>
      </c>
      <c r="M37" s="17">
        <v>3900</v>
      </c>
      <c r="N37" s="16">
        <v>4493</v>
      </c>
      <c r="O37" s="17">
        <v>3900</v>
      </c>
      <c r="P37" s="16">
        <v>3760</v>
      </c>
      <c r="Q37" s="17">
        <v>3181</v>
      </c>
      <c r="R37" s="16">
        <v>3253</v>
      </c>
      <c r="S37" s="17">
        <v>4694</v>
      </c>
      <c r="T37" s="16">
        <v>5673</v>
      </c>
      <c r="U37" s="17">
        <v>7622</v>
      </c>
      <c r="V37" s="16">
        <v>7468</v>
      </c>
      <c r="W37" s="17">
        <v>7800</v>
      </c>
      <c r="X37" s="16">
        <v>7496</v>
      </c>
    </row>
    <row r="38" spans="1:24" ht="16.5" customHeight="1" x14ac:dyDescent="0.2">
      <c r="A38" s="100"/>
      <c r="B38" s="32" t="s">
        <v>56</v>
      </c>
      <c r="C38" s="17">
        <v>19</v>
      </c>
      <c r="D38" s="16">
        <v>6</v>
      </c>
      <c r="E38" s="17">
        <v>2</v>
      </c>
      <c r="F38" s="16">
        <v>2</v>
      </c>
      <c r="G38" s="17">
        <v>6</v>
      </c>
      <c r="H38" s="16">
        <v>5</v>
      </c>
      <c r="I38" s="17">
        <v>5</v>
      </c>
      <c r="J38" s="16">
        <v>8</v>
      </c>
      <c r="K38" s="17">
        <v>91</v>
      </c>
      <c r="L38" s="16">
        <v>56</v>
      </c>
      <c r="M38" s="17">
        <v>65</v>
      </c>
      <c r="N38" s="16">
        <v>307</v>
      </c>
      <c r="O38" s="17">
        <v>141</v>
      </c>
      <c r="P38" s="16">
        <v>135</v>
      </c>
      <c r="Q38" s="17">
        <v>94</v>
      </c>
      <c r="R38" s="16">
        <v>52</v>
      </c>
      <c r="S38" s="17">
        <v>75</v>
      </c>
      <c r="T38" s="16">
        <v>430</v>
      </c>
      <c r="U38" s="17">
        <v>1742</v>
      </c>
      <c r="V38" s="16">
        <v>1428</v>
      </c>
      <c r="W38" s="17">
        <v>2333</v>
      </c>
      <c r="X38" s="16">
        <v>1830</v>
      </c>
    </row>
    <row r="39" spans="1:24" ht="16.5" customHeight="1" x14ac:dyDescent="0.2">
      <c r="A39" s="100"/>
      <c r="B39" s="32" t="s">
        <v>18</v>
      </c>
      <c r="C39" s="17">
        <v>878</v>
      </c>
      <c r="D39" s="16">
        <v>2745</v>
      </c>
      <c r="E39" s="17">
        <v>2750</v>
      </c>
      <c r="F39" s="16">
        <v>2746</v>
      </c>
      <c r="G39" s="17">
        <v>2756</v>
      </c>
      <c r="H39" s="16">
        <v>2788</v>
      </c>
      <c r="I39" s="17">
        <v>2742</v>
      </c>
      <c r="J39" s="16">
        <v>2753</v>
      </c>
      <c r="K39" s="17">
        <v>2763</v>
      </c>
      <c r="L39" s="16">
        <v>2875</v>
      </c>
      <c r="M39" s="17">
        <v>3420</v>
      </c>
      <c r="N39" s="16">
        <v>4725</v>
      </c>
      <c r="O39" s="17">
        <v>4100</v>
      </c>
      <c r="P39" s="16">
        <v>3985</v>
      </c>
      <c r="Q39" s="17">
        <v>3794</v>
      </c>
      <c r="R39" s="16">
        <v>3636</v>
      </c>
      <c r="S39" s="17">
        <v>3456</v>
      </c>
      <c r="T39" s="16">
        <v>3545</v>
      </c>
      <c r="U39" s="17">
        <v>4039</v>
      </c>
      <c r="V39" s="16">
        <v>4042</v>
      </c>
      <c r="W39" s="17">
        <v>4190</v>
      </c>
      <c r="X39" s="16">
        <v>4227</v>
      </c>
    </row>
    <row r="40" spans="1:24" ht="16.5" customHeight="1" x14ac:dyDescent="0.2">
      <c r="A40" s="100"/>
      <c r="B40" s="32" t="s">
        <v>57</v>
      </c>
      <c r="C40" s="17">
        <v>2730</v>
      </c>
      <c r="D40" s="16">
        <v>3152</v>
      </c>
      <c r="E40" s="17">
        <v>3131</v>
      </c>
      <c r="F40" s="16">
        <v>3144</v>
      </c>
      <c r="G40" s="17">
        <v>3133</v>
      </c>
      <c r="H40" s="16">
        <v>3154</v>
      </c>
      <c r="I40" s="17">
        <v>3145</v>
      </c>
      <c r="J40" s="16">
        <v>4747</v>
      </c>
      <c r="K40" s="17">
        <v>6837</v>
      </c>
      <c r="L40" s="16">
        <v>8625</v>
      </c>
      <c r="M40" s="17">
        <v>9980</v>
      </c>
      <c r="N40" s="16">
        <v>10775</v>
      </c>
      <c r="O40" s="17">
        <v>10635</v>
      </c>
      <c r="P40" s="16">
        <v>10520</v>
      </c>
      <c r="Q40" s="17">
        <v>10364</v>
      </c>
      <c r="R40" s="16">
        <v>9916</v>
      </c>
      <c r="S40" s="17">
        <v>9643</v>
      </c>
      <c r="T40" s="16">
        <v>9772</v>
      </c>
      <c r="U40" s="17">
        <v>10564</v>
      </c>
      <c r="V40" s="16">
        <v>10692</v>
      </c>
      <c r="W40" s="17">
        <v>10795</v>
      </c>
      <c r="X40" s="16">
        <v>10768</v>
      </c>
    </row>
    <row r="41" spans="1:24" ht="16.5" customHeight="1" x14ac:dyDescent="0.2">
      <c r="A41" s="100"/>
      <c r="B41" s="32" t="s">
        <v>65</v>
      </c>
      <c r="C41" s="17">
        <v>-26.343247366768217</v>
      </c>
      <c r="D41" s="16">
        <v>-48.120050275495458</v>
      </c>
      <c r="E41" s="17">
        <v>-79.75345213077496</v>
      </c>
      <c r="F41" s="16">
        <v>-132.8764866802799</v>
      </c>
      <c r="G41" s="17">
        <v>-196.10196750687027</v>
      </c>
      <c r="H41" s="16">
        <v>-252.33695122249324</v>
      </c>
      <c r="I41" s="17">
        <v>-303.86648024756863</v>
      </c>
      <c r="J41" s="16">
        <v>-361.15313559106016</v>
      </c>
      <c r="K41" s="17">
        <v>-407.24910729306447</v>
      </c>
      <c r="L41" s="16">
        <v>-450.29477745782054</v>
      </c>
      <c r="M41" s="17">
        <v>-546.01140104586455</v>
      </c>
      <c r="N41" s="16">
        <v>-651.20907986773773</v>
      </c>
      <c r="O41" s="17">
        <v>-586.00152813943407</v>
      </c>
      <c r="P41" s="16">
        <v>-633.81297052118373</v>
      </c>
      <c r="Q41" s="17">
        <v>-679.03573621609473</v>
      </c>
      <c r="R41" s="16">
        <v>-724.09855512456761</v>
      </c>
      <c r="S41" s="17">
        <v>-770.16296089319144</v>
      </c>
      <c r="T41" s="16">
        <v>-817.02724781612835</v>
      </c>
      <c r="U41" s="17">
        <v>-855.91076082532879</v>
      </c>
      <c r="V41" s="16">
        <v>-897.98077702854164</v>
      </c>
      <c r="W41" s="17">
        <v>-934.33034118862349</v>
      </c>
      <c r="X41" s="16">
        <v>-975.11788886824797</v>
      </c>
    </row>
    <row r="42" spans="1:24" ht="16.5" customHeight="1" x14ac:dyDescent="0.2">
      <c r="A42" s="100"/>
      <c r="B42" s="32" t="s">
        <v>66</v>
      </c>
      <c r="C42" s="17">
        <v>734</v>
      </c>
      <c r="D42" s="16">
        <v>11</v>
      </c>
      <c r="E42" s="17">
        <v>18</v>
      </c>
      <c r="F42" s="16">
        <v>40</v>
      </c>
      <c r="G42" s="17">
        <v>119</v>
      </c>
      <c r="H42" s="16">
        <v>102</v>
      </c>
      <c r="I42" s="17">
        <v>125</v>
      </c>
      <c r="J42" s="16">
        <v>213</v>
      </c>
      <c r="K42" s="17">
        <v>560</v>
      </c>
      <c r="L42" s="16">
        <v>575</v>
      </c>
      <c r="M42" s="17">
        <v>724</v>
      </c>
      <c r="N42" s="16">
        <v>868</v>
      </c>
      <c r="O42" s="17">
        <v>819</v>
      </c>
      <c r="P42" s="16">
        <v>833</v>
      </c>
      <c r="Q42" s="17">
        <v>817</v>
      </c>
      <c r="R42" s="16">
        <v>851</v>
      </c>
      <c r="S42" s="17">
        <v>918</v>
      </c>
      <c r="T42" s="16">
        <v>937</v>
      </c>
      <c r="U42" s="17">
        <v>2299</v>
      </c>
      <c r="V42" s="16">
        <v>2297</v>
      </c>
      <c r="W42" s="17">
        <v>3132</v>
      </c>
      <c r="X42" s="16">
        <v>3122</v>
      </c>
    </row>
    <row r="43" spans="1:24" ht="16.5" customHeight="1" x14ac:dyDescent="0.2">
      <c r="A43" s="100"/>
      <c r="B43" s="32" t="s">
        <v>59</v>
      </c>
      <c r="C43" s="17">
        <v>0</v>
      </c>
      <c r="D43" s="16">
        <v>0</v>
      </c>
      <c r="E43" s="17">
        <v>0</v>
      </c>
      <c r="F43" s="16">
        <v>0</v>
      </c>
      <c r="G43" s="17">
        <v>0</v>
      </c>
      <c r="H43" s="16">
        <v>0</v>
      </c>
      <c r="I43" s="17">
        <v>0</v>
      </c>
      <c r="J43" s="16">
        <v>0</v>
      </c>
      <c r="K43" s="17">
        <v>0</v>
      </c>
      <c r="L43" s="16">
        <v>0</v>
      </c>
      <c r="M43" s="17">
        <v>0</v>
      </c>
      <c r="N43" s="16">
        <v>0</v>
      </c>
      <c r="O43" s="17">
        <v>0</v>
      </c>
      <c r="P43" s="16">
        <v>0</v>
      </c>
      <c r="Q43" s="17">
        <v>0</v>
      </c>
      <c r="R43" s="16">
        <v>0</v>
      </c>
      <c r="S43" s="17">
        <v>0</v>
      </c>
      <c r="T43" s="16">
        <v>0</v>
      </c>
      <c r="U43" s="17">
        <v>0</v>
      </c>
      <c r="V43" s="16">
        <v>0</v>
      </c>
      <c r="W43" s="17">
        <v>0</v>
      </c>
      <c r="X43" s="16">
        <v>0</v>
      </c>
    </row>
    <row r="44" spans="1:24" ht="16.5" customHeight="1" x14ac:dyDescent="0.2">
      <c r="A44" s="100"/>
      <c r="B44" s="32" t="s">
        <v>67</v>
      </c>
      <c r="C44" s="17">
        <v>-917.5</v>
      </c>
      <c r="D44" s="16">
        <v>-13.75</v>
      </c>
      <c r="E44" s="17">
        <v>-22.5</v>
      </c>
      <c r="F44" s="16">
        <v>-50</v>
      </c>
      <c r="G44" s="17">
        <v>-148.75</v>
      </c>
      <c r="H44" s="16">
        <v>-127.5</v>
      </c>
      <c r="I44" s="17">
        <v>-156.25</v>
      </c>
      <c r="J44" s="16">
        <v>-266.25</v>
      </c>
      <c r="K44" s="17">
        <v>-700</v>
      </c>
      <c r="L44" s="16">
        <v>-718.75</v>
      </c>
      <c r="M44" s="17">
        <v>-905</v>
      </c>
      <c r="N44" s="16">
        <v>-1085</v>
      </c>
      <c r="O44" s="17">
        <v>-1023.75</v>
      </c>
      <c r="P44" s="16">
        <v>-1041.25</v>
      </c>
      <c r="Q44" s="17">
        <v>-1021.25</v>
      </c>
      <c r="R44" s="16">
        <v>-1063.75</v>
      </c>
      <c r="S44" s="17">
        <v>-1147.5</v>
      </c>
      <c r="T44" s="16">
        <v>-1171.25</v>
      </c>
      <c r="U44" s="17">
        <v>-2873.75</v>
      </c>
      <c r="V44" s="16">
        <v>-2871.25</v>
      </c>
      <c r="W44" s="17">
        <v>-3915</v>
      </c>
      <c r="X44" s="16">
        <v>-3902.5</v>
      </c>
    </row>
    <row r="45" spans="1:24" ht="16.5" customHeight="1" x14ac:dyDescent="0.2">
      <c r="A45" s="100"/>
      <c r="B45" s="32" t="s">
        <v>68</v>
      </c>
      <c r="C45" s="17">
        <v>23.708922630091397</v>
      </c>
      <c r="D45" s="16">
        <v>43.308045247945913</v>
      </c>
      <c r="E45" s="17">
        <v>71.778106917697471</v>
      </c>
      <c r="F45" s="16">
        <v>119.58883801225191</v>
      </c>
      <c r="G45" s="17">
        <v>176.49177075618326</v>
      </c>
      <c r="H45" s="16">
        <v>227.10325610024393</v>
      </c>
      <c r="I45" s="17">
        <v>273.47983222281175</v>
      </c>
      <c r="J45" s="16">
        <v>325.03782203195414</v>
      </c>
      <c r="K45" s="17">
        <v>366.52419656375804</v>
      </c>
      <c r="L45" s="16">
        <v>405.26529971203848</v>
      </c>
      <c r="M45" s="17">
        <v>491.41026094127812</v>
      </c>
      <c r="N45" s="16">
        <v>586.08817188096396</v>
      </c>
      <c r="O45" s="17">
        <v>527.40137532549068</v>
      </c>
      <c r="P45" s="16">
        <v>570.43167346906534</v>
      </c>
      <c r="Q45" s="17">
        <v>611.13216259448529</v>
      </c>
      <c r="R45" s="16">
        <v>651.6886996121109</v>
      </c>
      <c r="S45" s="17">
        <v>693.14666480387234</v>
      </c>
      <c r="T45" s="16">
        <v>735.32452303451555</v>
      </c>
      <c r="U45" s="17">
        <v>770.31968474279597</v>
      </c>
      <c r="V45" s="16">
        <v>808.18269932568751</v>
      </c>
      <c r="W45" s="17">
        <v>840.89730706976115</v>
      </c>
      <c r="X45" s="16">
        <v>877.6060999814232</v>
      </c>
    </row>
    <row r="46" spans="1:24" ht="16.5" customHeight="1" thickBot="1" x14ac:dyDescent="0.25">
      <c r="A46" s="101"/>
      <c r="B46" s="32" t="s">
        <v>41</v>
      </c>
      <c r="C46" s="17">
        <v>3319</v>
      </c>
      <c r="D46" s="16">
        <v>3691</v>
      </c>
      <c r="E46" s="17">
        <v>4068</v>
      </c>
      <c r="F46" s="16">
        <v>4443</v>
      </c>
      <c r="G46" s="17">
        <v>4783</v>
      </c>
      <c r="H46" s="16">
        <v>5131</v>
      </c>
      <c r="I46" s="17">
        <v>5446</v>
      </c>
      <c r="J46" s="16">
        <v>5754</v>
      </c>
      <c r="K46" s="17">
        <v>6046</v>
      </c>
      <c r="L46" s="16">
        <v>6401</v>
      </c>
      <c r="M46" s="17">
        <v>6682</v>
      </c>
      <c r="N46" s="16">
        <v>6959</v>
      </c>
      <c r="O46" s="17">
        <v>7227</v>
      </c>
      <c r="P46" s="16">
        <v>7498</v>
      </c>
      <c r="Q46" s="17">
        <v>7728</v>
      </c>
      <c r="R46" s="16">
        <v>7911</v>
      </c>
      <c r="S46" s="17">
        <v>8096</v>
      </c>
      <c r="T46" s="16">
        <v>8273</v>
      </c>
      <c r="U46" s="17">
        <v>8393</v>
      </c>
      <c r="V46" s="16">
        <v>8504</v>
      </c>
      <c r="W46" s="17">
        <v>8624</v>
      </c>
      <c r="X46" s="16">
        <v>8728</v>
      </c>
    </row>
    <row r="47" spans="1:24" ht="16.5" customHeight="1" x14ac:dyDescent="0.2">
      <c r="A47" s="96" t="s">
        <v>38</v>
      </c>
      <c r="B47" s="15" t="s">
        <v>54</v>
      </c>
      <c r="C47" s="16">
        <v>0</v>
      </c>
      <c r="D47" s="17">
        <v>0</v>
      </c>
      <c r="E47" s="16">
        <v>0</v>
      </c>
      <c r="F47" s="17">
        <v>0</v>
      </c>
      <c r="G47" s="16">
        <v>0</v>
      </c>
      <c r="H47" s="17">
        <v>0</v>
      </c>
      <c r="I47" s="16">
        <v>0</v>
      </c>
      <c r="J47" s="17">
        <v>0</v>
      </c>
      <c r="K47" s="16">
        <v>0</v>
      </c>
      <c r="L47" s="17">
        <v>0</v>
      </c>
      <c r="M47" s="16">
        <v>0</v>
      </c>
      <c r="N47" s="17">
        <v>0</v>
      </c>
      <c r="O47" s="16">
        <v>0</v>
      </c>
      <c r="P47" s="17">
        <v>0</v>
      </c>
      <c r="Q47" s="16">
        <v>0</v>
      </c>
      <c r="R47" s="17">
        <v>0</v>
      </c>
      <c r="S47" s="16">
        <v>0</v>
      </c>
      <c r="T47" s="17">
        <v>0</v>
      </c>
      <c r="U47" s="16">
        <v>0</v>
      </c>
      <c r="V47" s="17">
        <v>0</v>
      </c>
      <c r="W47" s="16">
        <v>0</v>
      </c>
      <c r="X47" s="17">
        <v>0</v>
      </c>
    </row>
    <row r="48" spans="1:24" ht="16.5" customHeight="1" x14ac:dyDescent="0.2">
      <c r="A48" s="97"/>
      <c r="B48" s="15" t="s">
        <v>55</v>
      </c>
      <c r="C48" s="16">
        <v>0</v>
      </c>
      <c r="D48" s="17">
        <v>0</v>
      </c>
      <c r="E48" s="16">
        <v>0</v>
      </c>
      <c r="F48" s="17">
        <v>0</v>
      </c>
      <c r="G48" s="16">
        <v>0</v>
      </c>
      <c r="H48" s="17">
        <v>0</v>
      </c>
      <c r="I48" s="16">
        <v>0</v>
      </c>
      <c r="J48" s="17">
        <v>0</v>
      </c>
      <c r="K48" s="16">
        <v>0</v>
      </c>
      <c r="L48" s="17">
        <v>0</v>
      </c>
      <c r="M48" s="16">
        <v>0</v>
      </c>
      <c r="N48" s="17">
        <v>0</v>
      </c>
      <c r="O48" s="16">
        <v>0</v>
      </c>
      <c r="P48" s="17">
        <v>0</v>
      </c>
      <c r="Q48" s="16">
        <v>0</v>
      </c>
      <c r="R48" s="17">
        <v>0</v>
      </c>
      <c r="S48" s="16">
        <v>0</v>
      </c>
      <c r="T48" s="17">
        <v>0</v>
      </c>
      <c r="U48" s="16">
        <v>0</v>
      </c>
      <c r="V48" s="17">
        <v>0</v>
      </c>
      <c r="W48" s="16">
        <v>0</v>
      </c>
      <c r="X48" s="17">
        <v>0</v>
      </c>
    </row>
    <row r="49" spans="1:24" ht="16.5" customHeight="1" x14ac:dyDescent="0.2">
      <c r="A49" s="97"/>
      <c r="B49" s="15" t="s">
        <v>17</v>
      </c>
      <c r="C49" s="16">
        <v>0</v>
      </c>
      <c r="D49" s="17">
        <v>0</v>
      </c>
      <c r="E49" s="16">
        <v>0</v>
      </c>
      <c r="F49" s="17">
        <v>0</v>
      </c>
      <c r="G49" s="16">
        <v>0</v>
      </c>
      <c r="H49" s="17">
        <v>0</v>
      </c>
      <c r="I49" s="16">
        <v>0</v>
      </c>
      <c r="J49" s="17">
        <v>0</v>
      </c>
      <c r="K49" s="16">
        <v>0</v>
      </c>
      <c r="L49" s="17">
        <v>0</v>
      </c>
      <c r="M49" s="16">
        <v>0</v>
      </c>
      <c r="N49" s="17">
        <v>0</v>
      </c>
      <c r="O49" s="16">
        <v>0</v>
      </c>
      <c r="P49" s="17">
        <v>0</v>
      </c>
      <c r="Q49" s="16">
        <v>0</v>
      </c>
      <c r="R49" s="17">
        <v>0</v>
      </c>
      <c r="S49" s="16">
        <v>0</v>
      </c>
      <c r="T49" s="17">
        <v>0</v>
      </c>
      <c r="U49" s="16">
        <v>0</v>
      </c>
      <c r="V49" s="17">
        <v>0</v>
      </c>
      <c r="W49" s="16">
        <v>0</v>
      </c>
      <c r="X49" s="17">
        <v>0</v>
      </c>
    </row>
    <row r="50" spans="1:24" ht="16.5" customHeight="1" x14ac:dyDescent="0.2">
      <c r="A50" s="97"/>
      <c r="B50" s="15" t="s">
        <v>44</v>
      </c>
      <c r="C50" s="16">
        <v>4498</v>
      </c>
      <c r="D50" s="17">
        <v>4505</v>
      </c>
      <c r="E50" s="16">
        <v>4483</v>
      </c>
      <c r="F50" s="17">
        <v>4490</v>
      </c>
      <c r="G50" s="16">
        <v>4489</v>
      </c>
      <c r="H50" s="17">
        <v>4494</v>
      </c>
      <c r="I50" s="16">
        <v>0</v>
      </c>
      <c r="J50" s="17">
        <v>0</v>
      </c>
      <c r="K50" s="16">
        <v>0</v>
      </c>
      <c r="L50" s="17">
        <v>0</v>
      </c>
      <c r="M50" s="16">
        <v>0</v>
      </c>
      <c r="N50" s="17">
        <v>0</v>
      </c>
      <c r="O50" s="16">
        <v>0</v>
      </c>
      <c r="P50" s="17">
        <v>0</v>
      </c>
      <c r="Q50" s="16">
        <v>0</v>
      </c>
      <c r="R50" s="17">
        <v>0</v>
      </c>
      <c r="S50" s="16">
        <v>0</v>
      </c>
      <c r="T50" s="17">
        <v>0</v>
      </c>
      <c r="U50" s="16">
        <v>0</v>
      </c>
      <c r="V50" s="17">
        <v>0</v>
      </c>
      <c r="W50" s="16">
        <v>0</v>
      </c>
      <c r="X50" s="17">
        <v>0</v>
      </c>
    </row>
    <row r="51" spans="1:24" ht="16.5" customHeight="1" x14ac:dyDescent="0.2">
      <c r="A51" s="97"/>
      <c r="B51" s="15" t="s">
        <v>56</v>
      </c>
      <c r="C51" s="16">
        <v>533</v>
      </c>
      <c r="D51" s="17">
        <v>347</v>
      </c>
      <c r="E51" s="16">
        <v>340</v>
      </c>
      <c r="F51" s="17">
        <v>27</v>
      </c>
      <c r="G51" s="16">
        <v>26</v>
      </c>
      <c r="H51" s="17">
        <v>19</v>
      </c>
      <c r="I51" s="16">
        <v>51</v>
      </c>
      <c r="J51" s="17">
        <v>65</v>
      </c>
      <c r="K51" s="16">
        <v>68</v>
      </c>
      <c r="L51" s="17">
        <v>53</v>
      </c>
      <c r="M51" s="16">
        <v>47</v>
      </c>
      <c r="N51" s="17">
        <v>57</v>
      </c>
      <c r="O51" s="16">
        <v>34</v>
      </c>
      <c r="P51" s="17">
        <v>30</v>
      </c>
      <c r="Q51" s="16">
        <v>32</v>
      </c>
      <c r="R51" s="17">
        <v>31</v>
      </c>
      <c r="S51" s="16">
        <v>61</v>
      </c>
      <c r="T51" s="17">
        <v>591</v>
      </c>
      <c r="U51" s="16">
        <v>736</v>
      </c>
      <c r="V51" s="17">
        <v>413</v>
      </c>
      <c r="W51" s="16">
        <v>723</v>
      </c>
      <c r="X51" s="17">
        <v>627</v>
      </c>
    </row>
    <row r="52" spans="1:24" ht="16.5" customHeight="1" x14ac:dyDescent="0.2">
      <c r="A52" s="97"/>
      <c r="B52" s="15" t="s">
        <v>18</v>
      </c>
      <c r="C52" s="16">
        <v>6646</v>
      </c>
      <c r="D52" s="17">
        <v>6414</v>
      </c>
      <c r="E52" s="16">
        <v>6273</v>
      </c>
      <c r="F52" s="17">
        <v>6161</v>
      </c>
      <c r="G52" s="16">
        <v>6192</v>
      </c>
      <c r="H52" s="17">
        <v>6113</v>
      </c>
      <c r="I52" s="16">
        <v>6682</v>
      </c>
      <c r="J52" s="17">
        <v>6652</v>
      </c>
      <c r="K52" s="16">
        <v>6645</v>
      </c>
      <c r="L52" s="17">
        <v>6562</v>
      </c>
      <c r="M52" s="16">
        <v>6609</v>
      </c>
      <c r="N52" s="17">
        <v>6444</v>
      </c>
      <c r="O52" s="16">
        <v>6304</v>
      </c>
      <c r="P52" s="17">
        <v>6212</v>
      </c>
      <c r="Q52" s="16">
        <v>6136</v>
      </c>
      <c r="R52" s="17">
        <v>6172</v>
      </c>
      <c r="S52" s="16">
        <v>6199</v>
      </c>
      <c r="T52" s="17">
        <v>6404</v>
      </c>
      <c r="U52" s="16">
        <v>6342</v>
      </c>
      <c r="V52" s="17">
        <v>6251</v>
      </c>
      <c r="W52" s="16">
        <v>6356</v>
      </c>
      <c r="X52" s="17">
        <v>6505</v>
      </c>
    </row>
    <row r="53" spans="1:24" ht="16.5" customHeight="1" x14ac:dyDescent="0.2">
      <c r="A53" s="97"/>
      <c r="B53" s="15" t="s">
        <v>57</v>
      </c>
      <c r="C53" s="16">
        <v>413</v>
      </c>
      <c r="D53" s="17">
        <v>849</v>
      </c>
      <c r="E53" s="16">
        <v>845</v>
      </c>
      <c r="F53" s="17">
        <v>842</v>
      </c>
      <c r="G53" s="16">
        <v>846</v>
      </c>
      <c r="H53" s="17">
        <v>848</v>
      </c>
      <c r="I53" s="16">
        <v>848</v>
      </c>
      <c r="J53" s="17">
        <v>846</v>
      </c>
      <c r="K53" s="16">
        <v>845</v>
      </c>
      <c r="L53" s="17">
        <v>841</v>
      </c>
      <c r="M53" s="16">
        <v>845</v>
      </c>
      <c r="N53" s="17">
        <v>842</v>
      </c>
      <c r="O53" s="16">
        <v>842</v>
      </c>
      <c r="P53" s="17">
        <v>837</v>
      </c>
      <c r="Q53" s="16">
        <v>834</v>
      </c>
      <c r="R53" s="17">
        <v>839</v>
      </c>
      <c r="S53" s="16">
        <v>837</v>
      </c>
      <c r="T53" s="17">
        <v>2660</v>
      </c>
      <c r="U53" s="16">
        <v>3073</v>
      </c>
      <c r="V53" s="17">
        <v>3080</v>
      </c>
      <c r="W53" s="16">
        <v>3061</v>
      </c>
      <c r="X53" s="17">
        <v>3078</v>
      </c>
    </row>
    <row r="54" spans="1:24" ht="16.5" customHeight="1" x14ac:dyDescent="0.2">
      <c r="A54" s="97"/>
      <c r="B54" s="15" t="s">
        <v>65</v>
      </c>
      <c r="C54" s="16">
        <v>-9.6688343771347363</v>
      </c>
      <c r="D54" s="17">
        <v>-19.377950295148388</v>
      </c>
      <c r="E54" s="16">
        <v>-36.772167050831413</v>
      </c>
      <c r="F54" s="17">
        <v>-54.989672919536993</v>
      </c>
      <c r="G54" s="16">
        <v>-73.160266637358561</v>
      </c>
      <c r="H54" s="17">
        <v>-93.702846104671636</v>
      </c>
      <c r="I54" s="16">
        <v>-128.10878156619995</v>
      </c>
      <c r="J54" s="17">
        <v>-152.91472870729601</v>
      </c>
      <c r="K54" s="16">
        <v>-181.56543024340095</v>
      </c>
      <c r="L54" s="17">
        <v>-201.93874258706299</v>
      </c>
      <c r="M54" s="16">
        <v>-224.12435052695574</v>
      </c>
      <c r="N54" s="17">
        <v>-251.52671977237364</v>
      </c>
      <c r="O54" s="16">
        <v>-271.84440776989783</v>
      </c>
      <c r="P54" s="17">
        <v>-291.6953536495393</v>
      </c>
      <c r="Q54" s="16">
        <v>-314.50657616785332</v>
      </c>
      <c r="R54" s="17">
        <v>-330.02178701534757</v>
      </c>
      <c r="S54" s="16">
        <v>-347.57237073457003</v>
      </c>
      <c r="T54" s="17">
        <v>-359.62286265107787</v>
      </c>
      <c r="U54" s="16">
        <v>-372.70416309228648</v>
      </c>
      <c r="V54" s="17">
        <v>-389.19048164547337</v>
      </c>
      <c r="W54" s="16">
        <v>-403.51382607423608</v>
      </c>
      <c r="X54" s="17">
        <v>-420.13217412489286</v>
      </c>
    </row>
    <row r="55" spans="1:24" ht="16.5" customHeight="1" x14ac:dyDescent="0.2">
      <c r="A55" s="97"/>
      <c r="B55" s="15" t="s">
        <v>66</v>
      </c>
      <c r="C55" s="16">
        <v>15</v>
      </c>
      <c r="D55" s="17">
        <v>17</v>
      </c>
      <c r="E55" s="16">
        <v>20</v>
      </c>
      <c r="F55" s="17">
        <v>26</v>
      </c>
      <c r="G55" s="16">
        <v>24</v>
      </c>
      <c r="H55" s="17">
        <v>26</v>
      </c>
      <c r="I55" s="16">
        <v>38</v>
      </c>
      <c r="J55" s="17">
        <v>40</v>
      </c>
      <c r="K55" s="16">
        <v>42</v>
      </c>
      <c r="L55" s="17">
        <v>41</v>
      </c>
      <c r="M55" s="16">
        <v>41</v>
      </c>
      <c r="N55" s="17">
        <v>43</v>
      </c>
      <c r="O55" s="16">
        <v>43</v>
      </c>
      <c r="P55" s="17">
        <v>43</v>
      </c>
      <c r="Q55" s="16">
        <v>40</v>
      </c>
      <c r="R55" s="17">
        <v>41</v>
      </c>
      <c r="S55" s="16">
        <v>42</v>
      </c>
      <c r="T55" s="17">
        <v>1378</v>
      </c>
      <c r="U55" s="16">
        <v>1426</v>
      </c>
      <c r="V55" s="17">
        <v>1485</v>
      </c>
      <c r="W55" s="16">
        <v>1466</v>
      </c>
      <c r="X55" s="17">
        <v>1485</v>
      </c>
    </row>
    <row r="56" spans="1:24" ht="16.5" customHeight="1" x14ac:dyDescent="0.2">
      <c r="A56" s="97"/>
      <c r="B56" s="15" t="s">
        <v>59</v>
      </c>
      <c r="C56" s="16">
        <v>0</v>
      </c>
      <c r="D56" s="17">
        <v>0</v>
      </c>
      <c r="E56" s="16">
        <v>0</v>
      </c>
      <c r="F56" s="17">
        <v>0</v>
      </c>
      <c r="G56" s="16">
        <v>0</v>
      </c>
      <c r="H56" s="17">
        <v>0</v>
      </c>
      <c r="I56" s="16">
        <v>0</v>
      </c>
      <c r="J56" s="17">
        <v>0</v>
      </c>
      <c r="K56" s="16">
        <v>0</v>
      </c>
      <c r="L56" s="17">
        <v>0</v>
      </c>
      <c r="M56" s="16">
        <v>0</v>
      </c>
      <c r="N56" s="17">
        <v>0</v>
      </c>
      <c r="O56" s="16">
        <v>0</v>
      </c>
      <c r="P56" s="17">
        <v>0</v>
      </c>
      <c r="Q56" s="16">
        <v>0</v>
      </c>
      <c r="R56" s="17">
        <v>0</v>
      </c>
      <c r="S56" s="16">
        <v>0</v>
      </c>
      <c r="T56" s="17">
        <v>0</v>
      </c>
      <c r="U56" s="16">
        <v>0</v>
      </c>
      <c r="V56" s="17">
        <v>0</v>
      </c>
      <c r="W56" s="16">
        <v>0</v>
      </c>
      <c r="X56" s="17">
        <v>0</v>
      </c>
    </row>
    <row r="57" spans="1:24" ht="16.5" customHeight="1" x14ac:dyDescent="0.2">
      <c r="A57" s="97"/>
      <c r="B57" s="15" t="s">
        <v>67</v>
      </c>
      <c r="C57" s="16">
        <v>-18.75</v>
      </c>
      <c r="D57" s="17">
        <v>-21.25</v>
      </c>
      <c r="E57" s="16">
        <v>-25</v>
      </c>
      <c r="F57" s="17">
        <v>-32.5</v>
      </c>
      <c r="G57" s="16">
        <v>-30</v>
      </c>
      <c r="H57" s="17">
        <v>-32.5</v>
      </c>
      <c r="I57" s="16">
        <v>-47.5</v>
      </c>
      <c r="J57" s="17">
        <v>-50</v>
      </c>
      <c r="K57" s="16">
        <v>-52.5</v>
      </c>
      <c r="L57" s="17">
        <v>-51.25</v>
      </c>
      <c r="M57" s="16">
        <v>-51.25</v>
      </c>
      <c r="N57" s="17">
        <v>-53.75</v>
      </c>
      <c r="O57" s="16">
        <v>-53.75</v>
      </c>
      <c r="P57" s="17">
        <v>-53.75</v>
      </c>
      <c r="Q57" s="16">
        <v>-50</v>
      </c>
      <c r="R57" s="17">
        <v>-51.25</v>
      </c>
      <c r="S57" s="16">
        <v>-52.5</v>
      </c>
      <c r="T57" s="17">
        <v>-1722.5</v>
      </c>
      <c r="U57" s="16">
        <v>-1782.5</v>
      </c>
      <c r="V57" s="17">
        <v>-1856.25</v>
      </c>
      <c r="W57" s="16">
        <v>-1832.5</v>
      </c>
      <c r="X57" s="17">
        <v>-1856.25</v>
      </c>
    </row>
    <row r="58" spans="1:24" ht="16.5" customHeight="1" x14ac:dyDescent="0.2">
      <c r="A58" s="97"/>
      <c r="B58" s="15" t="s">
        <v>68</v>
      </c>
      <c r="C58" s="16">
        <v>8.7019509394212626</v>
      </c>
      <c r="D58" s="17">
        <v>17.44015526563355</v>
      </c>
      <c r="E58" s="16">
        <v>33.094950345748273</v>
      </c>
      <c r="F58" s="17">
        <v>49.490705627583296</v>
      </c>
      <c r="G58" s="16">
        <v>65.844239973622706</v>
      </c>
      <c r="H58" s="17">
        <v>84.332561494204469</v>
      </c>
      <c r="I58" s="16">
        <v>115.29790340957996</v>
      </c>
      <c r="J58" s="17">
        <v>137.62325583656641</v>
      </c>
      <c r="K58" s="16">
        <v>163.40888721906086</v>
      </c>
      <c r="L58" s="17">
        <v>181.74486832835669</v>
      </c>
      <c r="M58" s="16">
        <v>201.71191547426017</v>
      </c>
      <c r="N58" s="17">
        <v>226.37404779513628</v>
      </c>
      <c r="O58" s="16">
        <v>244.65996699290804</v>
      </c>
      <c r="P58" s="17">
        <v>262.5258182845854</v>
      </c>
      <c r="Q58" s="16">
        <v>283.05591855106798</v>
      </c>
      <c r="R58" s="17">
        <v>297.0196083138128</v>
      </c>
      <c r="S58" s="16">
        <v>312.81513366111301</v>
      </c>
      <c r="T58" s="17">
        <v>323.6605763859701</v>
      </c>
      <c r="U58" s="16">
        <v>335.43374678305781</v>
      </c>
      <c r="V58" s="17">
        <v>350.27143348092602</v>
      </c>
      <c r="W58" s="16">
        <v>363.16244346681248</v>
      </c>
      <c r="X58" s="17">
        <v>378.11895671240359</v>
      </c>
    </row>
    <row r="59" spans="1:24" ht="16.5" customHeight="1" thickBot="1" x14ac:dyDescent="0.25">
      <c r="A59" s="98"/>
      <c r="B59" s="15" t="s">
        <v>41</v>
      </c>
      <c r="C59" s="16">
        <v>1285</v>
      </c>
      <c r="D59" s="17">
        <v>1390</v>
      </c>
      <c r="E59" s="16">
        <v>1504</v>
      </c>
      <c r="F59" s="17">
        <v>1460</v>
      </c>
      <c r="G59" s="16">
        <v>1251</v>
      </c>
      <c r="H59" s="17">
        <v>1857</v>
      </c>
      <c r="I59" s="16">
        <v>1976</v>
      </c>
      <c r="J59" s="17">
        <v>2085</v>
      </c>
      <c r="K59" s="16">
        <v>2201</v>
      </c>
      <c r="L59" s="17">
        <v>2333</v>
      </c>
      <c r="M59" s="16">
        <v>2450</v>
      </c>
      <c r="N59" s="17">
        <v>2566</v>
      </c>
      <c r="O59" s="16">
        <v>2672</v>
      </c>
      <c r="P59" s="17">
        <v>2790</v>
      </c>
      <c r="Q59" s="16">
        <v>2900</v>
      </c>
      <c r="R59" s="17">
        <v>3002</v>
      </c>
      <c r="S59" s="16">
        <v>3096</v>
      </c>
      <c r="T59" s="17">
        <v>3195</v>
      </c>
      <c r="U59" s="16">
        <v>3275</v>
      </c>
      <c r="V59" s="17">
        <v>3360</v>
      </c>
      <c r="W59" s="16">
        <v>3447</v>
      </c>
      <c r="X59" s="17">
        <v>3525</v>
      </c>
    </row>
    <row r="60" spans="1:24" ht="16.5" customHeight="1" x14ac:dyDescent="0.2">
      <c r="A60" s="99" t="s">
        <v>37</v>
      </c>
      <c r="B60" s="32" t="s">
        <v>54</v>
      </c>
      <c r="C60" s="17">
        <v>0</v>
      </c>
      <c r="D60" s="16">
        <v>0</v>
      </c>
      <c r="E60" s="17">
        <v>0</v>
      </c>
      <c r="F60" s="16">
        <v>0</v>
      </c>
      <c r="G60" s="17">
        <v>0</v>
      </c>
      <c r="H60" s="16">
        <v>0</v>
      </c>
      <c r="I60" s="17">
        <v>0</v>
      </c>
      <c r="J60" s="16">
        <v>0</v>
      </c>
      <c r="K60" s="17">
        <v>0</v>
      </c>
      <c r="L60" s="16">
        <v>0</v>
      </c>
      <c r="M60" s="17">
        <v>0</v>
      </c>
      <c r="N60" s="16">
        <v>0</v>
      </c>
      <c r="O60" s="17">
        <v>0</v>
      </c>
      <c r="P60" s="16">
        <v>0</v>
      </c>
      <c r="Q60" s="17">
        <v>0</v>
      </c>
      <c r="R60" s="16">
        <v>0</v>
      </c>
      <c r="S60" s="17">
        <v>0</v>
      </c>
      <c r="T60" s="16">
        <v>0</v>
      </c>
      <c r="U60" s="17">
        <v>0</v>
      </c>
      <c r="V60" s="16">
        <v>0</v>
      </c>
      <c r="W60" s="17">
        <v>0</v>
      </c>
      <c r="X60" s="16">
        <v>0</v>
      </c>
    </row>
    <row r="61" spans="1:24" ht="16.5" customHeight="1" x14ac:dyDescent="0.2">
      <c r="A61" s="100"/>
      <c r="B61" s="32" t="s">
        <v>55</v>
      </c>
      <c r="C61" s="17">
        <v>32102</v>
      </c>
      <c r="D61" s="16">
        <v>32119</v>
      </c>
      <c r="E61" s="17">
        <v>32150</v>
      </c>
      <c r="F61" s="16">
        <v>32318</v>
      </c>
      <c r="G61" s="17">
        <v>29830</v>
      </c>
      <c r="H61" s="16">
        <v>29584</v>
      </c>
      <c r="I61" s="17">
        <v>32255</v>
      </c>
      <c r="J61" s="16">
        <v>32217</v>
      </c>
      <c r="K61" s="17">
        <v>28550</v>
      </c>
      <c r="L61" s="16">
        <v>32063</v>
      </c>
      <c r="M61" s="17">
        <v>28356</v>
      </c>
      <c r="N61" s="16">
        <v>28165</v>
      </c>
      <c r="O61" s="17">
        <v>31360</v>
      </c>
      <c r="P61" s="16">
        <v>31197</v>
      </c>
      <c r="Q61" s="17">
        <v>21659</v>
      </c>
      <c r="R61" s="16">
        <v>21526</v>
      </c>
      <c r="S61" s="17">
        <v>21649</v>
      </c>
      <c r="T61" s="16">
        <v>22132</v>
      </c>
      <c r="U61" s="17">
        <v>18413</v>
      </c>
      <c r="V61" s="16">
        <v>22036</v>
      </c>
      <c r="W61" s="17">
        <v>18439</v>
      </c>
      <c r="X61" s="16">
        <v>18385</v>
      </c>
    </row>
    <row r="62" spans="1:24" ht="16.5" customHeight="1" x14ac:dyDescent="0.2">
      <c r="A62" s="100"/>
      <c r="B62" s="32" t="s">
        <v>17</v>
      </c>
      <c r="C62" s="17">
        <v>3363</v>
      </c>
      <c r="D62" s="16">
        <v>3372</v>
      </c>
      <c r="E62" s="17">
        <v>3363</v>
      </c>
      <c r="F62" s="16">
        <v>3363</v>
      </c>
      <c r="G62" s="17">
        <v>3363</v>
      </c>
      <c r="H62" s="16">
        <v>3372</v>
      </c>
      <c r="I62" s="17">
        <v>3363</v>
      </c>
      <c r="J62" s="16">
        <v>3363</v>
      </c>
      <c r="K62" s="17">
        <v>3363</v>
      </c>
      <c r="L62" s="16">
        <v>3372</v>
      </c>
      <c r="M62" s="17">
        <v>3363</v>
      </c>
      <c r="N62" s="16">
        <v>3363</v>
      </c>
      <c r="O62" s="17">
        <v>3363</v>
      </c>
      <c r="P62" s="16">
        <v>3372</v>
      </c>
      <c r="Q62" s="17">
        <v>3363</v>
      </c>
      <c r="R62" s="16">
        <v>3363</v>
      </c>
      <c r="S62" s="17">
        <v>3363</v>
      </c>
      <c r="T62" s="16">
        <v>3372</v>
      </c>
      <c r="U62" s="17">
        <v>3363</v>
      </c>
      <c r="V62" s="16">
        <v>3363</v>
      </c>
      <c r="W62" s="17">
        <v>3363</v>
      </c>
      <c r="X62" s="16">
        <v>3372</v>
      </c>
    </row>
    <row r="63" spans="1:24" ht="16.5" customHeight="1" x14ac:dyDescent="0.2">
      <c r="A63" s="100"/>
      <c r="B63" s="32" t="s">
        <v>44</v>
      </c>
      <c r="C63" s="17">
        <v>60</v>
      </c>
      <c r="D63" s="16">
        <v>41</v>
      </c>
      <c r="E63" s="17">
        <v>34</v>
      </c>
      <c r="F63" s="16">
        <v>28</v>
      </c>
      <c r="G63" s="17">
        <v>33</v>
      </c>
      <c r="H63" s="16">
        <v>24</v>
      </c>
      <c r="I63" s="17">
        <v>24</v>
      </c>
      <c r="J63" s="16">
        <v>28</v>
      </c>
      <c r="K63" s="17">
        <v>32</v>
      </c>
      <c r="L63" s="16">
        <v>14</v>
      </c>
      <c r="M63" s="17">
        <v>22</v>
      </c>
      <c r="N63" s="16">
        <v>29</v>
      </c>
      <c r="O63" s="17">
        <v>20</v>
      </c>
      <c r="P63" s="16">
        <v>0</v>
      </c>
      <c r="Q63" s="17">
        <v>0</v>
      </c>
      <c r="R63" s="16">
        <v>0</v>
      </c>
      <c r="S63" s="17">
        <v>0</v>
      </c>
      <c r="T63" s="16">
        <v>0</v>
      </c>
      <c r="U63" s="17">
        <v>0</v>
      </c>
      <c r="V63" s="16">
        <v>0</v>
      </c>
      <c r="W63" s="17">
        <v>0</v>
      </c>
      <c r="X63" s="16">
        <v>0</v>
      </c>
    </row>
    <row r="64" spans="1:24" ht="16.5" customHeight="1" x14ac:dyDescent="0.2">
      <c r="A64" s="100"/>
      <c r="B64" s="32" t="s">
        <v>56</v>
      </c>
      <c r="C64" s="17">
        <v>85</v>
      </c>
      <c r="D64" s="16">
        <v>53</v>
      </c>
      <c r="E64" s="17">
        <v>38</v>
      </c>
      <c r="F64" s="16">
        <v>18</v>
      </c>
      <c r="G64" s="17">
        <v>34</v>
      </c>
      <c r="H64" s="16">
        <v>26</v>
      </c>
      <c r="I64" s="17">
        <v>29</v>
      </c>
      <c r="J64" s="16">
        <v>36</v>
      </c>
      <c r="K64" s="17">
        <v>45</v>
      </c>
      <c r="L64" s="16">
        <v>31</v>
      </c>
      <c r="M64" s="17">
        <v>47</v>
      </c>
      <c r="N64" s="16">
        <v>38</v>
      </c>
      <c r="O64" s="17">
        <v>18</v>
      </c>
      <c r="P64" s="16">
        <v>23</v>
      </c>
      <c r="Q64" s="17">
        <v>36</v>
      </c>
      <c r="R64" s="16">
        <v>35</v>
      </c>
      <c r="S64" s="17">
        <v>56</v>
      </c>
      <c r="T64" s="16">
        <v>98</v>
      </c>
      <c r="U64" s="17">
        <v>110</v>
      </c>
      <c r="V64" s="16">
        <v>89</v>
      </c>
      <c r="W64" s="17">
        <v>100</v>
      </c>
      <c r="X64" s="16">
        <v>102</v>
      </c>
    </row>
    <row r="65" spans="1:24" ht="16.5" customHeight="1" x14ac:dyDescent="0.2">
      <c r="A65" s="100"/>
      <c r="B65" s="32" t="s">
        <v>18</v>
      </c>
      <c r="C65" s="17">
        <v>5437</v>
      </c>
      <c r="D65" s="16">
        <v>8994</v>
      </c>
      <c r="E65" s="17">
        <v>10965</v>
      </c>
      <c r="F65" s="16">
        <v>11525</v>
      </c>
      <c r="G65" s="17">
        <v>11212</v>
      </c>
      <c r="H65" s="16">
        <v>10054</v>
      </c>
      <c r="I65" s="17">
        <v>15224</v>
      </c>
      <c r="J65" s="16">
        <v>15183</v>
      </c>
      <c r="K65" s="17">
        <v>16100</v>
      </c>
      <c r="L65" s="16">
        <v>14978</v>
      </c>
      <c r="M65" s="17">
        <v>15969</v>
      </c>
      <c r="N65" s="16">
        <v>15546</v>
      </c>
      <c r="O65" s="17">
        <v>14673</v>
      </c>
      <c r="P65" s="16">
        <v>14358</v>
      </c>
      <c r="Q65" s="17">
        <v>15958</v>
      </c>
      <c r="R65" s="16">
        <v>15941</v>
      </c>
      <c r="S65" s="17">
        <v>16763</v>
      </c>
      <c r="T65" s="16">
        <v>17745</v>
      </c>
      <c r="U65" s="17">
        <v>18173</v>
      </c>
      <c r="V65" s="16">
        <v>17796</v>
      </c>
      <c r="W65" s="17">
        <v>18837</v>
      </c>
      <c r="X65" s="16">
        <v>19215</v>
      </c>
    </row>
    <row r="66" spans="1:24" ht="16.5" customHeight="1" x14ac:dyDescent="0.2">
      <c r="A66" s="100"/>
      <c r="B66" s="32" t="s">
        <v>57</v>
      </c>
      <c r="C66" s="17">
        <v>862</v>
      </c>
      <c r="D66" s="16">
        <v>1072</v>
      </c>
      <c r="E66" s="17">
        <v>1071</v>
      </c>
      <c r="F66" s="16">
        <v>1308</v>
      </c>
      <c r="G66" s="17">
        <v>1704</v>
      </c>
      <c r="H66" s="16">
        <v>3150</v>
      </c>
      <c r="I66" s="17">
        <v>3561</v>
      </c>
      <c r="J66" s="16">
        <v>3570</v>
      </c>
      <c r="K66" s="17">
        <v>3558</v>
      </c>
      <c r="L66" s="16">
        <v>3550</v>
      </c>
      <c r="M66" s="17">
        <v>3518</v>
      </c>
      <c r="N66" s="16">
        <v>3484</v>
      </c>
      <c r="O66" s="17">
        <v>3480</v>
      </c>
      <c r="P66" s="16">
        <v>3443</v>
      </c>
      <c r="Q66" s="17">
        <v>3453</v>
      </c>
      <c r="R66" s="16">
        <v>3424</v>
      </c>
      <c r="S66" s="17">
        <v>3409</v>
      </c>
      <c r="T66" s="16">
        <v>3552</v>
      </c>
      <c r="U66" s="17">
        <v>3560</v>
      </c>
      <c r="V66" s="16">
        <v>3558</v>
      </c>
      <c r="W66" s="17">
        <v>3546</v>
      </c>
      <c r="X66" s="16">
        <v>3539</v>
      </c>
    </row>
    <row r="67" spans="1:24" ht="16.5" customHeight="1" x14ac:dyDescent="0.2">
      <c r="A67" s="100"/>
      <c r="B67" s="32" t="s">
        <v>65</v>
      </c>
      <c r="C67" s="17">
        <v>-31.11765905371837</v>
      </c>
      <c r="D67" s="16">
        <v>-61.741647670041047</v>
      </c>
      <c r="E67" s="17">
        <v>-103.06968025208877</v>
      </c>
      <c r="F67" s="16">
        <v>-150.32924705465354</v>
      </c>
      <c r="G67" s="17">
        <v>-179.9814581779369</v>
      </c>
      <c r="H67" s="16">
        <v>-230.00320351140044</v>
      </c>
      <c r="I67" s="17">
        <v>-300.85644558330898</v>
      </c>
      <c r="J67" s="16">
        <v>-345.70823592064835</v>
      </c>
      <c r="K67" s="17">
        <v>-413.87833794095559</v>
      </c>
      <c r="L67" s="16">
        <v>-439.82790492027902</v>
      </c>
      <c r="M67" s="17">
        <v>-485.10297166088714</v>
      </c>
      <c r="N67" s="16">
        <v>-537.81056864564846</v>
      </c>
      <c r="O67" s="17">
        <v>-561.36005850954109</v>
      </c>
      <c r="P67" s="16">
        <v>-599.14901726952974</v>
      </c>
      <c r="Q67" s="17">
        <v>-659.96774571298727</v>
      </c>
      <c r="R67" s="16">
        <v>-698.03723094912095</v>
      </c>
      <c r="S67" s="17">
        <v>-746.85235778081176</v>
      </c>
      <c r="T67" s="16">
        <v>-767.64997755084244</v>
      </c>
      <c r="U67" s="17">
        <v>-796.02209268354341</v>
      </c>
      <c r="V67" s="16">
        <v>-847.64459333009449</v>
      </c>
      <c r="W67" s="17">
        <v>-848.0801352698677</v>
      </c>
      <c r="X67" s="16">
        <v>-899.66278001752573</v>
      </c>
    </row>
    <row r="68" spans="1:24" ht="16.5" customHeight="1" x14ac:dyDescent="0.2">
      <c r="A68" s="100"/>
      <c r="B68" s="32" t="s">
        <v>66</v>
      </c>
      <c r="C68" s="17">
        <v>9</v>
      </c>
      <c r="D68" s="16">
        <v>14</v>
      </c>
      <c r="E68" s="17">
        <v>18</v>
      </c>
      <c r="F68" s="16">
        <v>22</v>
      </c>
      <c r="G68" s="17">
        <v>21</v>
      </c>
      <c r="H68" s="16">
        <v>23</v>
      </c>
      <c r="I68" s="17">
        <v>32</v>
      </c>
      <c r="J68" s="16">
        <v>34</v>
      </c>
      <c r="K68" s="17">
        <v>36</v>
      </c>
      <c r="L68" s="16">
        <v>35</v>
      </c>
      <c r="M68" s="17">
        <v>35</v>
      </c>
      <c r="N68" s="16">
        <v>37</v>
      </c>
      <c r="O68" s="17">
        <v>36</v>
      </c>
      <c r="P68" s="16">
        <v>36</v>
      </c>
      <c r="Q68" s="17">
        <v>36</v>
      </c>
      <c r="R68" s="16">
        <v>38</v>
      </c>
      <c r="S68" s="17">
        <v>39</v>
      </c>
      <c r="T68" s="16">
        <v>596</v>
      </c>
      <c r="U68" s="17">
        <v>616</v>
      </c>
      <c r="V68" s="16">
        <v>637</v>
      </c>
      <c r="W68" s="17">
        <v>633</v>
      </c>
      <c r="X68" s="16">
        <v>638</v>
      </c>
    </row>
    <row r="69" spans="1:24" ht="16.5" customHeight="1" x14ac:dyDescent="0.2">
      <c r="A69" s="100"/>
      <c r="B69" s="32" t="s">
        <v>59</v>
      </c>
      <c r="C69" s="17">
        <v>0</v>
      </c>
      <c r="D69" s="16">
        <v>0</v>
      </c>
      <c r="E69" s="17">
        <v>0</v>
      </c>
      <c r="F69" s="16">
        <v>0</v>
      </c>
      <c r="G69" s="17">
        <v>0</v>
      </c>
      <c r="H69" s="16">
        <v>0</v>
      </c>
      <c r="I69" s="17">
        <v>0</v>
      </c>
      <c r="J69" s="16">
        <v>0</v>
      </c>
      <c r="K69" s="17">
        <v>0</v>
      </c>
      <c r="L69" s="16">
        <v>0</v>
      </c>
      <c r="M69" s="17">
        <v>0</v>
      </c>
      <c r="N69" s="16">
        <v>0</v>
      </c>
      <c r="O69" s="17">
        <v>0</v>
      </c>
      <c r="P69" s="16">
        <v>0</v>
      </c>
      <c r="Q69" s="17">
        <v>0</v>
      </c>
      <c r="R69" s="16">
        <v>0</v>
      </c>
      <c r="S69" s="17">
        <v>0</v>
      </c>
      <c r="T69" s="16">
        <v>114</v>
      </c>
      <c r="U69" s="17">
        <v>113</v>
      </c>
      <c r="V69" s="16">
        <v>113</v>
      </c>
      <c r="W69" s="17">
        <v>113</v>
      </c>
      <c r="X69" s="16">
        <v>114</v>
      </c>
    </row>
    <row r="70" spans="1:24" ht="16.5" customHeight="1" x14ac:dyDescent="0.2">
      <c r="A70" s="100"/>
      <c r="B70" s="32" t="s">
        <v>67</v>
      </c>
      <c r="C70" s="17">
        <v>-11.25</v>
      </c>
      <c r="D70" s="16">
        <v>-17.5</v>
      </c>
      <c r="E70" s="17">
        <v>-22.5</v>
      </c>
      <c r="F70" s="16">
        <v>-27.5</v>
      </c>
      <c r="G70" s="17">
        <v>-26.25</v>
      </c>
      <c r="H70" s="16">
        <v>-28.75</v>
      </c>
      <c r="I70" s="17">
        <v>-40</v>
      </c>
      <c r="J70" s="16">
        <v>-42.5</v>
      </c>
      <c r="K70" s="17">
        <v>-45</v>
      </c>
      <c r="L70" s="16">
        <v>-43.75</v>
      </c>
      <c r="M70" s="17">
        <v>-43.75</v>
      </c>
      <c r="N70" s="16">
        <v>-46.25</v>
      </c>
      <c r="O70" s="17">
        <v>-45</v>
      </c>
      <c r="P70" s="16">
        <v>-45</v>
      </c>
      <c r="Q70" s="17">
        <v>-45</v>
      </c>
      <c r="R70" s="16">
        <v>-47.5</v>
      </c>
      <c r="S70" s="17">
        <v>-48.75</v>
      </c>
      <c r="T70" s="16">
        <v>-745</v>
      </c>
      <c r="U70" s="17">
        <v>-770</v>
      </c>
      <c r="V70" s="16">
        <v>-796.25</v>
      </c>
      <c r="W70" s="17">
        <v>-791.25</v>
      </c>
      <c r="X70" s="16">
        <v>-797.5</v>
      </c>
    </row>
    <row r="71" spans="1:24" ht="16.5" customHeight="1" x14ac:dyDescent="0.2">
      <c r="A71" s="100"/>
      <c r="B71" s="32" t="s">
        <v>68</v>
      </c>
      <c r="C71" s="17">
        <v>28.005893148346534</v>
      </c>
      <c r="D71" s="16">
        <v>55.567482903036947</v>
      </c>
      <c r="E71" s="17">
        <v>92.762712226879898</v>
      </c>
      <c r="F71" s="16">
        <v>135.29632234918819</v>
      </c>
      <c r="G71" s="17">
        <v>161.9833123601432</v>
      </c>
      <c r="H71" s="16">
        <v>207.00288316026041</v>
      </c>
      <c r="I71" s="17">
        <v>270.77080102497808</v>
      </c>
      <c r="J71" s="16">
        <v>311.13741232858354</v>
      </c>
      <c r="K71" s="17">
        <v>372.49050414686002</v>
      </c>
      <c r="L71" s="16">
        <v>395.84511442825112</v>
      </c>
      <c r="M71" s="17">
        <v>436.59267449479842</v>
      </c>
      <c r="N71" s="16">
        <v>484.02951178108361</v>
      </c>
      <c r="O71" s="17">
        <v>505.22405265858697</v>
      </c>
      <c r="P71" s="16">
        <v>539.23411554257677</v>
      </c>
      <c r="Q71" s="17">
        <v>593.97097114168855</v>
      </c>
      <c r="R71" s="16">
        <v>628.23350785420882</v>
      </c>
      <c r="S71" s="17">
        <v>672.16712200273059</v>
      </c>
      <c r="T71" s="16">
        <v>690.88497979575823</v>
      </c>
      <c r="U71" s="17">
        <v>716.41988341518913</v>
      </c>
      <c r="V71" s="16">
        <v>762.88013399708507</v>
      </c>
      <c r="W71" s="17">
        <v>763.27212174288093</v>
      </c>
      <c r="X71" s="16">
        <v>809.69650201577315</v>
      </c>
    </row>
    <row r="72" spans="1:24" ht="16.5" customHeight="1" thickBot="1" x14ac:dyDescent="0.25">
      <c r="A72" s="101"/>
      <c r="B72" s="32" t="s">
        <v>41</v>
      </c>
      <c r="C72" s="17">
        <v>1970</v>
      </c>
      <c r="D72" s="16">
        <v>2286</v>
      </c>
      <c r="E72" s="17">
        <v>2604</v>
      </c>
      <c r="F72" s="16">
        <v>2913</v>
      </c>
      <c r="G72" s="17">
        <v>3212</v>
      </c>
      <c r="H72" s="16">
        <v>3505</v>
      </c>
      <c r="I72" s="17">
        <v>3799</v>
      </c>
      <c r="J72" s="16">
        <v>4056</v>
      </c>
      <c r="K72" s="17">
        <v>4312</v>
      </c>
      <c r="L72" s="16">
        <v>4582</v>
      </c>
      <c r="M72" s="17">
        <v>4803</v>
      </c>
      <c r="N72" s="16">
        <v>4997</v>
      </c>
      <c r="O72" s="17">
        <v>5181</v>
      </c>
      <c r="P72" s="16">
        <v>5366</v>
      </c>
      <c r="Q72" s="17">
        <v>5535</v>
      </c>
      <c r="R72" s="16">
        <v>5689</v>
      </c>
      <c r="S72" s="17">
        <v>5824</v>
      </c>
      <c r="T72" s="16">
        <v>5959</v>
      </c>
      <c r="U72" s="17">
        <v>6065</v>
      </c>
      <c r="V72" s="16">
        <v>6165</v>
      </c>
      <c r="W72" s="17">
        <v>6280</v>
      </c>
      <c r="X72" s="16">
        <v>6381</v>
      </c>
    </row>
    <row r="73" spans="1:24" ht="16.5" customHeight="1" x14ac:dyDescent="0.2">
      <c r="A73" s="96" t="s">
        <v>39</v>
      </c>
      <c r="B73" s="15" t="s">
        <v>54</v>
      </c>
      <c r="C73" s="16">
        <v>0</v>
      </c>
      <c r="D73" s="17">
        <v>0</v>
      </c>
      <c r="E73" s="16">
        <v>0</v>
      </c>
      <c r="F73" s="17">
        <v>0</v>
      </c>
      <c r="G73" s="16">
        <v>0</v>
      </c>
      <c r="H73" s="17">
        <v>0</v>
      </c>
      <c r="I73" s="16">
        <v>0</v>
      </c>
      <c r="J73" s="17">
        <v>0</v>
      </c>
      <c r="K73" s="16">
        <v>0</v>
      </c>
      <c r="L73" s="17">
        <v>0</v>
      </c>
      <c r="M73" s="16">
        <v>0</v>
      </c>
      <c r="N73" s="17">
        <v>0</v>
      </c>
      <c r="O73" s="16">
        <v>0</v>
      </c>
      <c r="P73" s="17">
        <v>0</v>
      </c>
      <c r="Q73" s="16">
        <v>0</v>
      </c>
      <c r="R73" s="17">
        <v>0</v>
      </c>
      <c r="S73" s="16">
        <v>0</v>
      </c>
      <c r="T73" s="17">
        <v>0</v>
      </c>
      <c r="U73" s="16">
        <v>0</v>
      </c>
      <c r="V73" s="17">
        <v>0</v>
      </c>
      <c r="W73" s="16">
        <v>0</v>
      </c>
      <c r="X73" s="17">
        <v>0</v>
      </c>
    </row>
    <row r="74" spans="1:24" ht="16.5" customHeight="1" x14ac:dyDescent="0.2">
      <c r="A74" s="97"/>
      <c r="B74" s="15" t="s">
        <v>55</v>
      </c>
      <c r="C74" s="16">
        <v>0</v>
      </c>
      <c r="D74" s="17">
        <v>0</v>
      </c>
      <c r="E74" s="16">
        <v>0</v>
      </c>
      <c r="F74" s="17">
        <v>0</v>
      </c>
      <c r="G74" s="16">
        <v>0</v>
      </c>
      <c r="H74" s="17">
        <v>0</v>
      </c>
      <c r="I74" s="16">
        <v>0</v>
      </c>
      <c r="J74" s="17">
        <v>0</v>
      </c>
      <c r="K74" s="16">
        <v>0</v>
      </c>
      <c r="L74" s="17">
        <v>0</v>
      </c>
      <c r="M74" s="16">
        <v>0</v>
      </c>
      <c r="N74" s="17">
        <v>0</v>
      </c>
      <c r="O74" s="16">
        <v>0</v>
      </c>
      <c r="P74" s="17">
        <v>0</v>
      </c>
      <c r="Q74" s="16">
        <v>0</v>
      </c>
      <c r="R74" s="17">
        <v>0</v>
      </c>
      <c r="S74" s="16">
        <v>0</v>
      </c>
      <c r="T74" s="17">
        <v>0</v>
      </c>
      <c r="U74" s="16">
        <v>0</v>
      </c>
      <c r="V74" s="17">
        <v>0</v>
      </c>
      <c r="W74" s="16">
        <v>0</v>
      </c>
      <c r="X74" s="17">
        <v>0</v>
      </c>
    </row>
    <row r="75" spans="1:24" ht="16.5" customHeight="1" x14ac:dyDescent="0.2">
      <c r="A75" s="97"/>
      <c r="B75" s="15" t="s">
        <v>17</v>
      </c>
      <c r="C75" s="16">
        <v>8673</v>
      </c>
      <c r="D75" s="17">
        <v>8697</v>
      </c>
      <c r="E75" s="16">
        <v>8673</v>
      </c>
      <c r="F75" s="17">
        <v>8673</v>
      </c>
      <c r="G75" s="16">
        <v>8673</v>
      </c>
      <c r="H75" s="17">
        <v>8697</v>
      </c>
      <c r="I75" s="16">
        <v>8605</v>
      </c>
      <c r="J75" s="17">
        <v>8673</v>
      </c>
      <c r="K75" s="16">
        <v>8673</v>
      </c>
      <c r="L75" s="17">
        <v>8697</v>
      </c>
      <c r="M75" s="16">
        <v>8673</v>
      </c>
      <c r="N75" s="17">
        <v>8673</v>
      </c>
      <c r="O75" s="16">
        <v>8673</v>
      </c>
      <c r="P75" s="17">
        <v>8697</v>
      </c>
      <c r="Q75" s="16">
        <v>8673</v>
      </c>
      <c r="R75" s="17">
        <v>8673</v>
      </c>
      <c r="S75" s="16">
        <v>8673</v>
      </c>
      <c r="T75" s="17">
        <v>8697</v>
      </c>
      <c r="U75" s="16">
        <v>8673</v>
      </c>
      <c r="V75" s="17">
        <v>8673</v>
      </c>
      <c r="W75" s="16">
        <v>8673</v>
      </c>
      <c r="X75" s="17">
        <v>8697</v>
      </c>
    </row>
    <row r="76" spans="1:24" ht="16.5" customHeight="1" x14ac:dyDescent="0.2">
      <c r="A76" s="97"/>
      <c r="B76" s="15" t="s">
        <v>44</v>
      </c>
      <c r="C76" s="16">
        <v>0</v>
      </c>
      <c r="D76" s="17">
        <v>0</v>
      </c>
      <c r="E76" s="16">
        <v>0</v>
      </c>
      <c r="F76" s="17">
        <v>0</v>
      </c>
      <c r="G76" s="16">
        <v>0</v>
      </c>
      <c r="H76" s="17">
        <v>0</v>
      </c>
      <c r="I76" s="16">
        <v>0</v>
      </c>
      <c r="J76" s="17">
        <v>0</v>
      </c>
      <c r="K76" s="16">
        <v>0</v>
      </c>
      <c r="L76" s="17">
        <v>0</v>
      </c>
      <c r="M76" s="16">
        <v>0</v>
      </c>
      <c r="N76" s="17">
        <v>0</v>
      </c>
      <c r="O76" s="16">
        <v>0</v>
      </c>
      <c r="P76" s="17">
        <v>0</v>
      </c>
      <c r="Q76" s="16">
        <v>0</v>
      </c>
      <c r="R76" s="17">
        <v>0</v>
      </c>
      <c r="S76" s="16">
        <v>0</v>
      </c>
      <c r="T76" s="17">
        <v>0</v>
      </c>
      <c r="U76" s="16">
        <v>0</v>
      </c>
      <c r="V76" s="17">
        <v>0</v>
      </c>
      <c r="W76" s="16">
        <v>0</v>
      </c>
      <c r="X76" s="17">
        <v>0</v>
      </c>
    </row>
    <row r="77" spans="1:24" ht="16.5" customHeight="1" x14ac:dyDescent="0.2">
      <c r="A77" s="97"/>
      <c r="B77" s="15" t="s">
        <v>56</v>
      </c>
      <c r="C77" s="16">
        <v>0</v>
      </c>
      <c r="D77" s="17">
        <v>0</v>
      </c>
      <c r="E77" s="16">
        <v>0</v>
      </c>
      <c r="F77" s="17">
        <v>0</v>
      </c>
      <c r="G77" s="16">
        <v>0</v>
      </c>
      <c r="H77" s="17">
        <v>0</v>
      </c>
      <c r="I77" s="16">
        <v>0</v>
      </c>
      <c r="J77" s="17">
        <v>0</v>
      </c>
      <c r="K77" s="16">
        <v>0</v>
      </c>
      <c r="L77" s="17">
        <v>0</v>
      </c>
      <c r="M77" s="16">
        <v>0</v>
      </c>
      <c r="N77" s="17">
        <v>0</v>
      </c>
      <c r="O77" s="16">
        <v>0</v>
      </c>
      <c r="P77" s="17">
        <v>0</v>
      </c>
      <c r="Q77" s="16">
        <v>0</v>
      </c>
      <c r="R77" s="17">
        <v>0</v>
      </c>
      <c r="S77" s="16">
        <v>0</v>
      </c>
      <c r="T77" s="17">
        <v>0</v>
      </c>
      <c r="U77" s="16">
        <v>0</v>
      </c>
      <c r="V77" s="17">
        <v>0</v>
      </c>
      <c r="W77" s="16">
        <v>0</v>
      </c>
      <c r="X77" s="17">
        <v>0</v>
      </c>
    </row>
    <row r="78" spans="1:24" ht="16.5" customHeight="1" x14ac:dyDescent="0.2">
      <c r="A78" s="97"/>
      <c r="B78" s="15" t="s">
        <v>18</v>
      </c>
      <c r="C78" s="16">
        <v>1052</v>
      </c>
      <c r="D78" s="17">
        <v>1066</v>
      </c>
      <c r="E78" s="16">
        <v>1053</v>
      </c>
      <c r="F78" s="17">
        <v>1055</v>
      </c>
      <c r="G78" s="16">
        <v>1052</v>
      </c>
      <c r="H78" s="17">
        <v>1061</v>
      </c>
      <c r="I78" s="16">
        <v>1062</v>
      </c>
      <c r="J78" s="17">
        <v>1060</v>
      </c>
      <c r="K78" s="16">
        <v>1057</v>
      </c>
      <c r="L78" s="17">
        <v>1060</v>
      </c>
      <c r="M78" s="16">
        <v>1057</v>
      </c>
      <c r="N78" s="17">
        <v>1052</v>
      </c>
      <c r="O78" s="16">
        <v>1062</v>
      </c>
      <c r="P78" s="17">
        <v>1068</v>
      </c>
      <c r="Q78" s="16">
        <v>1055</v>
      </c>
      <c r="R78" s="17">
        <v>1052</v>
      </c>
      <c r="S78" s="16">
        <v>1058</v>
      </c>
      <c r="T78" s="17">
        <v>1064</v>
      </c>
      <c r="U78" s="16">
        <v>1060</v>
      </c>
      <c r="V78" s="17">
        <v>1052</v>
      </c>
      <c r="W78" s="16">
        <v>1055</v>
      </c>
      <c r="X78" s="17">
        <v>1063</v>
      </c>
    </row>
    <row r="79" spans="1:24" ht="16.5" customHeight="1" x14ac:dyDescent="0.2">
      <c r="A79" s="97"/>
      <c r="B79" s="15" t="s">
        <v>57</v>
      </c>
      <c r="C79" s="16">
        <v>0</v>
      </c>
      <c r="D79" s="17">
        <v>0</v>
      </c>
      <c r="E79" s="16">
        <v>0</v>
      </c>
      <c r="F79" s="17">
        <v>0</v>
      </c>
      <c r="G79" s="16">
        <v>0</v>
      </c>
      <c r="H79" s="17">
        <v>0</v>
      </c>
      <c r="I79" s="16">
        <v>0</v>
      </c>
      <c r="J79" s="17">
        <v>0</v>
      </c>
      <c r="K79" s="16">
        <v>0</v>
      </c>
      <c r="L79" s="17">
        <v>0</v>
      </c>
      <c r="M79" s="16">
        <v>0</v>
      </c>
      <c r="N79" s="17">
        <v>0</v>
      </c>
      <c r="O79" s="16">
        <v>0</v>
      </c>
      <c r="P79" s="17">
        <v>0</v>
      </c>
      <c r="Q79" s="16">
        <v>0</v>
      </c>
      <c r="R79" s="17">
        <v>0</v>
      </c>
      <c r="S79" s="16">
        <v>0</v>
      </c>
      <c r="T79" s="17">
        <v>0</v>
      </c>
      <c r="U79" s="16">
        <v>0</v>
      </c>
      <c r="V79" s="17">
        <v>0</v>
      </c>
      <c r="W79" s="16">
        <v>0</v>
      </c>
      <c r="X79" s="17">
        <v>0</v>
      </c>
    </row>
    <row r="80" spans="1:24" ht="16.5" customHeight="1" x14ac:dyDescent="0.2">
      <c r="A80" s="97"/>
      <c r="B80" s="15" t="s">
        <v>65</v>
      </c>
      <c r="C80" s="16">
        <v>-2.0456925567273752</v>
      </c>
      <c r="D80" s="17">
        <v>-3.5245454015941857</v>
      </c>
      <c r="E80" s="16">
        <v>-5.0593830542878395</v>
      </c>
      <c r="F80" s="17">
        <v>-6.1541877282209088</v>
      </c>
      <c r="G80" s="16">
        <v>-7.1516674409155705</v>
      </c>
      <c r="H80" s="17">
        <v>-7.3073471096917801</v>
      </c>
      <c r="I80" s="16">
        <v>-7.1662524361291418</v>
      </c>
      <c r="J80" s="17">
        <v>-6.7719797125877932</v>
      </c>
      <c r="K80" s="16">
        <v>-6.4056059032924608</v>
      </c>
      <c r="L80" s="17">
        <v>-6.0306259396918849</v>
      </c>
      <c r="M80" s="16">
        <v>-5.6541821841591071</v>
      </c>
      <c r="N80" s="17">
        <v>-5.3202350667970784</v>
      </c>
      <c r="O80" s="16">
        <v>-5.0148350709843807</v>
      </c>
      <c r="P80" s="17">
        <v>-4.7351341705512739</v>
      </c>
      <c r="Q80" s="16">
        <v>-4.4783788278021328</v>
      </c>
      <c r="R80" s="17">
        <v>-4.2422742100515389</v>
      </c>
      <c r="S80" s="16">
        <v>-4.0248211730290606</v>
      </c>
      <c r="T80" s="17">
        <v>-3.8242568426757311</v>
      </c>
      <c r="U80" s="16">
        <v>-3.6390863889255378</v>
      </c>
      <c r="V80" s="17">
        <v>-3.4679037344372752</v>
      </c>
      <c r="W80" s="16">
        <v>-3.3093667936920439</v>
      </c>
      <c r="X80" s="17">
        <v>-3.1629132418534542</v>
      </c>
    </row>
    <row r="81" spans="1:24" ht="16.5" customHeight="1" x14ac:dyDescent="0.2">
      <c r="A81" s="97"/>
      <c r="B81" s="15" t="s">
        <v>66</v>
      </c>
      <c r="C81" s="16">
        <v>0</v>
      </c>
      <c r="D81" s="17">
        <v>0</v>
      </c>
      <c r="E81" s="16">
        <v>0</v>
      </c>
      <c r="F81" s="17">
        <v>0</v>
      </c>
      <c r="G81" s="16">
        <v>0</v>
      </c>
      <c r="H81" s="17">
        <v>0</v>
      </c>
      <c r="I81" s="16">
        <v>0</v>
      </c>
      <c r="J81" s="17">
        <v>0</v>
      </c>
      <c r="K81" s="16">
        <v>0</v>
      </c>
      <c r="L81" s="17">
        <v>0</v>
      </c>
      <c r="M81" s="16">
        <v>0</v>
      </c>
      <c r="N81" s="17">
        <v>0</v>
      </c>
      <c r="O81" s="16">
        <v>0</v>
      </c>
      <c r="P81" s="17">
        <v>0</v>
      </c>
      <c r="Q81" s="16">
        <v>0</v>
      </c>
      <c r="R81" s="17">
        <v>0</v>
      </c>
      <c r="S81" s="16">
        <v>0</v>
      </c>
      <c r="T81" s="17">
        <v>0</v>
      </c>
      <c r="U81" s="16">
        <v>0</v>
      </c>
      <c r="V81" s="17">
        <v>0</v>
      </c>
      <c r="W81" s="16">
        <v>0</v>
      </c>
      <c r="X81" s="17">
        <v>0</v>
      </c>
    </row>
    <row r="82" spans="1:24" ht="16.5" customHeight="1" x14ac:dyDescent="0.2">
      <c r="A82" s="97"/>
      <c r="B82" s="15" t="s">
        <v>59</v>
      </c>
      <c r="C82" s="16">
        <v>0</v>
      </c>
      <c r="D82" s="17">
        <v>0</v>
      </c>
      <c r="E82" s="16">
        <v>0</v>
      </c>
      <c r="F82" s="17">
        <v>0</v>
      </c>
      <c r="G82" s="16">
        <v>0</v>
      </c>
      <c r="H82" s="17">
        <v>0</v>
      </c>
      <c r="I82" s="16">
        <v>0</v>
      </c>
      <c r="J82" s="17">
        <v>0</v>
      </c>
      <c r="K82" s="16">
        <v>0</v>
      </c>
      <c r="L82" s="17">
        <v>0</v>
      </c>
      <c r="M82" s="16">
        <v>0</v>
      </c>
      <c r="N82" s="17">
        <v>0</v>
      </c>
      <c r="O82" s="16">
        <v>0</v>
      </c>
      <c r="P82" s="17">
        <v>0</v>
      </c>
      <c r="Q82" s="16">
        <v>0</v>
      </c>
      <c r="R82" s="17">
        <v>0</v>
      </c>
      <c r="S82" s="16">
        <v>0</v>
      </c>
      <c r="T82" s="17">
        <v>0</v>
      </c>
      <c r="U82" s="16">
        <v>0</v>
      </c>
      <c r="V82" s="17">
        <v>0</v>
      </c>
      <c r="W82" s="16">
        <v>0</v>
      </c>
      <c r="X82" s="17">
        <v>0</v>
      </c>
    </row>
    <row r="83" spans="1:24" ht="16.5" customHeight="1" x14ac:dyDescent="0.2">
      <c r="A83" s="97"/>
      <c r="B83" s="15" t="s">
        <v>67</v>
      </c>
      <c r="C83" s="16">
        <v>0</v>
      </c>
      <c r="D83" s="17">
        <v>0</v>
      </c>
      <c r="E83" s="16">
        <v>0</v>
      </c>
      <c r="F83" s="17">
        <v>0</v>
      </c>
      <c r="G83" s="16">
        <v>0</v>
      </c>
      <c r="H83" s="17">
        <v>0</v>
      </c>
      <c r="I83" s="16">
        <v>0</v>
      </c>
      <c r="J83" s="17">
        <v>0</v>
      </c>
      <c r="K83" s="16">
        <v>0</v>
      </c>
      <c r="L83" s="17">
        <v>0</v>
      </c>
      <c r="M83" s="16">
        <v>0</v>
      </c>
      <c r="N83" s="17">
        <v>0</v>
      </c>
      <c r="O83" s="16">
        <v>0</v>
      </c>
      <c r="P83" s="17">
        <v>0</v>
      </c>
      <c r="Q83" s="16">
        <v>0</v>
      </c>
      <c r="R83" s="17">
        <v>0</v>
      </c>
      <c r="S83" s="16">
        <v>0</v>
      </c>
      <c r="T83" s="17">
        <v>0</v>
      </c>
      <c r="U83" s="16">
        <v>0</v>
      </c>
      <c r="V83" s="17">
        <v>0</v>
      </c>
      <c r="W83" s="16">
        <v>0</v>
      </c>
      <c r="X83" s="17">
        <v>0</v>
      </c>
    </row>
    <row r="84" spans="1:24" ht="16.5" customHeight="1" x14ac:dyDescent="0.2">
      <c r="A84" s="97"/>
      <c r="B84" s="15" t="s">
        <v>68</v>
      </c>
      <c r="C84" s="16">
        <v>1.8411233010546375</v>
      </c>
      <c r="D84" s="17">
        <v>3.1720908614347674</v>
      </c>
      <c r="E84" s="16">
        <v>4.5534447488590555</v>
      </c>
      <c r="F84" s="17">
        <v>5.538768955398818</v>
      </c>
      <c r="G84" s="16">
        <v>6.4365006968240133</v>
      </c>
      <c r="H84" s="17">
        <v>6.5766123987226024</v>
      </c>
      <c r="I84" s="16">
        <v>6.4496271925162274</v>
      </c>
      <c r="J84" s="17">
        <v>6.0947817413290144</v>
      </c>
      <c r="K84" s="16">
        <v>5.7650453129632151</v>
      </c>
      <c r="L84" s="17">
        <v>5.4275633457226968</v>
      </c>
      <c r="M84" s="16">
        <v>5.0887639657431967</v>
      </c>
      <c r="N84" s="17">
        <v>4.7882115601173707</v>
      </c>
      <c r="O84" s="16">
        <v>4.5133515638859425</v>
      </c>
      <c r="P84" s="17">
        <v>4.261620753496147</v>
      </c>
      <c r="Q84" s="16">
        <v>4.0305409450219196</v>
      </c>
      <c r="R84" s="17">
        <v>3.8180467890463854</v>
      </c>
      <c r="S84" s="16">
        <v>3.6223390557261546</v>
      </c>
      <c r="T84" s="17">
        <v>3.4418311584081582</v>
      </c>
      <c r="U84" s="16">
        <v>3.2751777500329839</v>
      </c>
      <c r="V84" s="17">
        <v>3.1211133609935477</v>
      </c>
      <c r="W84" s="16">
        <v>2.9784301143228396</v>
      </c>
      <c r="X84" s="17">
        <v>2.8466219176681089</v>
      </c>
    </row>
    <row r="85" spans="1:24" ht="16.5" customHeight="1" thickBot="1" x14ac:dyDescent="0.25">
      <c r="A85" s="98"/>
      <c r="B85" s="15" t="s">
        <v>41</v>
      </c>
      <c r="C85" s="16">
        <v>178</v>
      </c>
      <c r="D85" s="17">
        <v>202</v>
      </c>
      <c r="E85" s="16">
        <v>226</v>
      </c>
      <c r="F85" s="17">
        <v>249</v>
      </c>
      <c r="G85" s="16">
        <v>265</v>
      </c>
      <c r="H85" s="17">
        <v>274</v>
      </c>
      <c r="I85" s="16">
        <v>281</v>
      </c>
      <c r="J85" s="17">
        <v>284</v>
      </c>
      <c r="K85" s="16">
        <v>287</v>
      </c>
      <c r="L85" s="17">
        <v>292</v>
      </c>
      <c r="M85" s="16">
        <v>263</v>
      </c>
      <c r="N85" s="17">
        <v>298</v>
      </c>
      <c r="O85" s="16">
        <v>300</v>
      </c>
      <c r="P85" s="17">
        <v>287</v>
      </c>
      <c r="Q85" s="16">
        <v>307</v>
      </c>
      <c r="R85" s="17">
        <v>310</v>
      </c>
      <c r="S85" s="16">
        <v>313</v>
      </c>
      <c r="T85" s="17">
        <v>317</v>
      </c>
      <c r="U85" s="16">
        <v>320</v>
      </c>
      <c r="V85" s="17">
        <v>322</v>
      </c>
      <c r="W85" s="16">
        <v>326</v>
      </c>
      <c r="X85" s="17">
        <v>329</v>
      </c>
    </row>
  </sheetData>
  <mergeCells count="6">
    <mergeCell ref="A73:A85"/>
    <mergeCell ref="A3:A16"/>
    <mergeCell ref="A21:A33"/>
    <mergeCell ref="A34:A46"/>
    <mergeCell ref="A47:A59"/>
    <mergeCell ref="A60:A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17"/>
  <sheetViews>
    <sheetView zoomScaleNormal="100" workbookViewId="0"/>
  </sheetViews>
  <sheetFormatPr defaultColWidth="9.140625" defaultRowHeight="15.75" customHeight="1" x14ac:dyDescent="0.2"/>
  <cols>
    <col min="1" max="1" width="28.5703125" style="1" customWidth="1"/>
    <col min="2" max="21" width="11.42578125" style="1" customWidth="1"/>
    <col min="22" max="16384" width="9.140625" style="1"/>
  </cols>
  <sheetData>
    <row r="1" spans="1:23" s="19" customFormat="1" ht="15.75" customHeight="1" x14ac:dyDescent="0.25">
      <c r="A1" s="10" t="s">
        <v>21</v>
      </c>
      <c r="G1" s="20"/>
      <c r="H1" s="21"/>
      <c r="I1" s="21"/>
      <c r="J1" s="21"/>
      <c r="K1" s="21"/>
      <c r="L1" s="21"/>
      <c r="M1" s="21"/>
    </row>
    <row r="2" spans="1:23" s="14" customFormat="1" ht="16.5" customHeight="1" x14ac:dyDescent="0.2">
      <c r="A2" s="11" t="s">
        <v>20</v>
      </c>
      <c r="B2" s="12" t="s">
        <v>0</v>
      </c>
      <c r="C2" s="13" t="s">
        <v>1</v>
      </c>
      <c r="D2" s="12" t="s">
        <v>2</v>
      </c>
      <c r="E2" s="13" t="s">
        <v>3</v>
      </c>
      <c r="F2" s="12" t="s">
        <v>4</v>
      </c>
      <c r="G2" s="13" t="s">
        <v>5</v>
      </c>
      <c r="H2" s="12" t="s">
        <v>6</v>
      </c>
      <c r="I2" s="13" t="s">
        <v>7</v>
      </c>
      <c r="J2" s="12" t="s">
        <v>8</v>
      </c>
      <c r="K2" s="13" t="s">
        <v>9</v>
      </c>
      <c r="L2" s="12" t="s">
        <v>10</v>
      </c>
      <c r="M2" s="13" t="s">
        <v>11</v>
      </c>
      <c r="N2" s="12" t="s">
        <v>12</v>
      </c>
      <c r="O2" s="13" t="s">
        <v>13</v>
      </c>
      <c r="P2" s="12" t="s">
        <v>14</v>
      </c>
      <c r="Q2" s="13" t="s">
        <v>15</v>
      </c>
      <c r="R2" s="12" t="s">
        <v>16</v>
      </c>
      <c r="S2" s="13" t="s">
        <v>45</v>
      </c>
      <c r="T2" s="12" t="s">
        <v>61</v>
      </c>
      <c r="U2" s="13" t="s">
        <v>62</v>
      </c>
      <c r="V2" s="12" t="s">
        <v>63</v>
      </c>
      <c r="W2" s="13" t="s">
        <v>64</v>
      </c>
    </row>
    <row r="3" spans="1:23" s="22" customFormat="1" ht="15.75" customHeight="1" x14ac:dyDescent="0.2">
      <c r="A3" s="15" t="s">
        <v>54</v>
      </c>
      <c r="B3" s="16">
        <v>0</v>
      </c>
      <c r="C3" s="17">
        <v>0</v>
      </c>
      <c r="D3" s="16">
        <v>0</v>
      </c>
      <c r="E3" s="17">
        <v>0</v>
      </c>
      <c r="F3" s="16">
        <v>-1800</v>
      </c>
      <c r="G3" s="17">
        <v>-1800</v>
      </c>
      <c r="H3" s="16">
        <v>-1800</v>
      </c>
      <c r="I3" s="17">
        <v>-1800</v>
      </c>
      <c r="J3" s="16">
        <v>-3260</v>
      </c>
      <c r="K3" s="17">
        <v>-3260</v>
      </c>
      <c r="L3" s="16">
        <v>-4580</v>
      </c>
      <c r="M3" s="17">
        <v>-6260</v>
      </c>
      <c r="N3" s="16">
        <v>-6260</v>
      </c>
      <c r="O3" s="17">
        <v>-6260</v>
      </c>
      <c r="P3" s="16">
        <v>-6260</v>
      </c>
      <c r="Q3" s="17">
        <v>-6260</v>
      </c>
      <c r="R3" s="16">
        <v>-9140</v>
      </c>
      <c r="S3" s="17">
        <v>-11780</v>
      </c>
      <c r="T3" s="16">
        <v>-13180</v>
      </c>
      <c r="U3" s="17">
        <v>-13180</v>
      </c>
      <c r="V3" s="16">
        <v>-13880</v>
      </c>
      <c r="W3" s="17">
        <v>-13880</v>
      </c>
    </row>
    <row r="4" spans="1:23" s="22" customFormat="1" ht="15.75" customHeight="1" x14ac:dyDescent="0.2">
      <c r="A4" s="15" t="s">
        <v>55</v>
      </c>
      <c r="B4" s="16">
        <v>0</v>
      </c>
      <c r="C4" s="17">
        <v>0</v>
      </c>
      <c r="D4" s="16">
        <v>0</v>
      </c>
      <c r="E4" s="17">
        <v>0</v>
      </c>
      <c r="F4" s="16">
        <v>0</v>
      </c>
      <c r="G4" s="17">
        <v>0</v>
      </c>
      <c r="H4" s="16">
        <v>0</v>
      </c>
      <c r="I4" s="17">
        <v>0</v>
      </c>
      <c r="J4" s="16">
        <v>0</v>
      </c>
      <c r="K4" s="17">
        <v>0</v>
      </c>
      <c r="L4" s="16">
        <v>0</v>
      </c>
      <c r="M4" s="17">
        <v>0</v>
      </c>
      <c r="N4" s="16">
        <v>0</v>
      </c>
      <c r="O4" s="17">
        <v>0</v>
      </c>
      <c r="P4" s="16">
        <v>-1528</v>
      </c>
      <c r="Q4" s="17">
        <v>-1528</v>
      </c>
      <c r="R4" s="16">
        <v>-1528</v>
      </c>
      <c r="S4" s="17">
        <v>-1528</v>
      </c>
      <c r="T4" s="16">
        <v>-1528</v>
      </c>
      <c r="U4" s="17">
        <v>-1528</v>
      </c>
      <c r="V4" s="16">
        <v>-1528</v>
      </c>
      <c r="W4" s="17">
        <v>-1528</v>
      </c>
    </row>
    <row r="5" spans="1:23" s="22" customFormat="1" ht="15.75" customHeight="1" x14ac:dyDescent="0.2">
      <c r="A5" s="15" t="s">
        <v>17</v>
      </c>
      <c r="B5" s="16">
        <v>0</v>
      </c>
      <c r="C5" s="17">
        <v>0</v>
      </c>
      <c r="D5" s="16">
        <v>0</v>
      </c>
      <c r="E5" s="17">
        <v>0</v>
      </c>
      <c r="F5" s="16">
        <v>0</v>
      </c>
      <c r="G5" s="17">
        <v>0</v>
      </c>
      <c r="H5" s="16">
        <v>0</v>
      </c>
      <c r="I5" s="17">
        <v>0</v>
      </c>
      <c r="J5" s="16">
        <v>0</v>
      </c>
      <c r="K5" s="17">
        <v>0</v>
      </c>
      <c r="L5" s="16">
        <v>0</v>
      </c>
      <c r="M5" s="17">
        <v>0</v>
      </c>
      <c r="N5" s="16">
        <v>0</v>
      </c>
      <c r="O5" s="17">
        <v>0</v>
      </c>
      <c r="P5" s="16">
        <v>0</v>
      </c>
      <c r="Q5" s="17">
        <v>0</v>
      </c>
      <c r="R5" s="16">
        <v>0</v>
      </c>
      <c r="S5" s="17">
        <v>0</v>
      </c>
      <c r="T5" s="16">
        <v>0</v>
      </c>
      <c r="U5" s="17">
        <v>0</v>
      </c>
      <c r="V5" s="16">
        <v>0</v>
      </c>
      <c r="W5" s="17">
        <v>0</v>
      </c>
    </row>
    <row r="6" spans="1:23" s="22" customFormat="1" ht="15.75" customHeight="1" x14ac:dyDescent="0.2">
      <c r="A6" s="15" t="s">
        <v>44</v>
      </c>
      <c r="B6" s="16">
        <v>0</v>
      </c>
      <c r="C6" s="17">
        <v>0</v>
      </c>
      <c r="D6" s="16">
        <v>0</v>
      </c>
      <c r="E6" s="17">
        <v>0</v>
      </c>
      <c r="F6" s="16">
        <v>0</v>
      </c>
      <c r="G6" s="17">
        <v>0</v>
      </c>
      <c r="H6" s="16">
        <v>-1462</v>
      </c>
      <c r="I6" s="17">
        <v>-1462</v>
      </c>
      <c r="J6" s="16">
        <v>-1462</v>
      </c>
      <c r="K6" s="17">
        <v>-1462</v>
      </c>
      <c r="L6" s="16">
        <v>-1462</v>
      </c>
      <c r="M6" s="17">
        <v>-1462</v>
      </c>
      <c r="N6" s="16">
        <v>-1462</v>
      </c>
      <c r="O6" s="17">
        <v>-1972</v>
      </c>
      <c r="P6" s="16">
        <v>-1972</v>
      </c>
      <c r="Q6" s="17">
        <v>-1972</v>
      </c>
      <c r="R6" s="16">
        <v>-1972</v>
      </c>
      <c r="S6" s="17">
        <v>-1972</v>
      </c>
      <c r="T6" s="16">
        <v>-1972</v>
      </c>
      <c r="U6" s="17">
        <v>-1972</v>
      </c>
      <c r="V6" s="16">
        <v>-1972</v>
      </c>
      <c r="W6" s="17">
        <v>-1972</v>
      </c>
    </row>
    <row r="7" spans="1:23" s="22" customFormat="1" ht="15.75" customHeight="1" x14ac:dyDescent="0.2">
      <c r="A7" s="15" t="s">
        <v>56</v>
      </c>
      <c r="B7" s="16">
        <v>0</v>
      </c>
      <c r="C7" s="17">
        <v>-24</v>
      </c>
      <c r="D7" s="16">
        <v>-24</v>
      </c>
      <c r="E7" s="17">
        <v>-298</v>
      </c>
      <c r="F7" s="16">
        <v>-298</v>
      </c>
      <c r="G7" s="17">
        <v>-298</v>
      </c>
      <c r="H7" s="16">
        <v>-298</v>
      </c>
      <c r="I7" s="17">
        <v>-298</v>
      </c>
      <c r="J7" s="16">
        <v>-298</v>
      </c>
      <c r="K7" s="17">
        <v>-298</v>
      </c>
      <c r="L7" s="16">
        <v>-298</v>
      </c>
      <c r="M7" s="17">
        <v>-298</v>
      </c>
      <c r="N7" s="16">
        <v>-298</v>
      </c>
      <c r="O7" s="17">
        <v>-298</v>
      </c>
      <c r="P7" s="16">
        <v>-298</v>
      </c>
      <c r="Q7" s="17">
        <v>-298</v>
      </c>
      <c r="R7" s="16">
        <v>-298</v>
      </c>
      <c r="S7" s="17">
        <v>-298</v>
      </c>
      <c r="T7" s="16">
        <v>-298</v>
      </c>
      <c r="U7" s="17">
        <v>-298</v>
      </c>
      <c r="V7" s="16">
        <v>-298</v>
      </c>
      <c r="W7" s="17">
        <v>-298</v>
      </c>
    </row>
    <row r="8" spans="1:23" s="22" customFormat="1" ht="15.75" customHeight="1" x14ac:dyDescent="0.2">
      <c r="A8" s="15" t="s">
        <v>18</v>
      </c>
      <c r="B8" s="16">
        <v>0</v>
      </c>
      <c r="C8" s="17">
        <v>1894</v>
      </c>
      <c r="D8" s="16">
        <v>2294</v>
      </c>
      <c r="E8" s="17">
        <v>2694</v>
      </c>
      <c r="F8" s="16">
        <v>3094</v>
      </c>
      <c r="G8" s="17">
        <v>3987</v>
      </c>
      <c r="H8" s="16">
        <v>4387</v>
      </c>
      <c r="I8" s="17">
        <v>4387</v>
      </c>
      <c r="J8" s="16">
        <v>4387</v>
      </c>
      <c r="K8" s="17">
        <v>4416</v>
      </c>
      <c r="L8" s="16">
        <v>4555</v>
      </c>
      <c r="M8" s="17">
        <v>4852</v>
      </c>
      <c r="N8" s="16">
        <v>4852</v>
      </c>
      <c r="O8" s="17">
        <v>4852</v>
      </c>
      <c r="P8" s="16">
        <v>4852</v>
      </c>
      <c r="Q8" s="17">
        <v>4852</v>
      </c>
      <c r="R8" s="16">
        <v>4852</v>
      </c>
      <c r="S8" s="17">
        <v>4939</v>
      </c>
      <c r="T8" s="16">
        <v>5591</v>
      </c>
      <c r="U8" s="17">
        <v>5591</v>
      </c>
      <c r="V8" s="16">
        <v>5832</v>
      </c>
      <c r="W8" s="17">
        <v>5832</v>
      </c>
    </row>
    <row r="9" spans="1:23" s="22" customFormat="1" ht="15.75" customHeight="1" x14ac:dyDescent="0.2">
      <c r="A9" s="15" t="s">
        <v>57</v>
      </c>
      <c r="B9" s="16">
        <v>0</v>
      </c>
      <c r="C9" s="17">
        <v>200</v>
      </c>
      <c r="D9" s="16">
        <v>200</v>
      </c>
      <c r="E9" s="17">
        <v>296</v>
      </c>
      <c r="F9" s="16">
        <v>456</v>
      </c>
      <c r="G9" s="17">
        <v>1040</v>
      </c>
      <c r="H9" s="16">
        <v>1200</v>
      </c>
      <c r="I9" s="17">
        <v>1778</v>
      </c>
      <c r="J9" s="16">
        <v>2515</v>
      </c>
      <c r="K9" s="17">
        <v>3131</v>
      </c>
      <c r="L9" s="16">
        <v>3637</v>
      </c>
      <c r="M9" s="17">
        <v>3914</v>
      </c>
      <c r="N9" s="16">
        <v>3914</v>
      </c>
      <c r="O9" s="17">
        <v>3914</v>
      </c>
      <c r="P9" s="16">
        <v>3914</v>
      </c>
      <c r="Q9" s="17">
        <v>3914</v>
      </c>
      <c r="R9" s="16">
        <v>3914</v>
      </c>
      <c r="S9" s="17">
        <v>5012</v>
      </c>
      <c r="T9" s="16">
        <v>5212</v>
      </c>
      <c r="U9" s="17">
        <v>5212</v>
      </c>
      <c r="V9" s="16">
        <v>5212</v>
      </c>
      <c r="W9" s="17">
        <v>5212</v>
      </c>
    </row>
    <row r="10" spans="1:23" s="22" customFormat="1" ht="15.75" customHeight="1" x14ac:dyDescent="0.2">
      <c r="A10" s="15" t="s">
        <v>58</v>
      </c>
      <c r="B10" s="16">
        <v>0</v>
      </c>
      <c r="C10" s="17">
        <v>20</v>
      </c>
      <c r="D10" s="16">
        <v>120</v>
      </c>
      <c r="E10" s="17">
        <v>120</v>
      </c>
      <c r="F10" s="16">
        <v>120</v>
      </c>
      <c r="G10" s="17">
        <v>120</v>
      </c>
      <c r="H10" s="16">
        <v>120</v>
      </c>
      <c r="I10" s="17">
        <v>120</v>
      </c>
      <c r="J10" s="16">
        <v>120</v>
      </c>
      <c r="K10" s="17">
        <v>120</v>
      </c>
      <c r="L10" s="16">
        <v>120</v>
      </c>
      <c r="M10" s="17">
        <v>120</v>
      </c>
      <c r="N10" s="16">
        <v>120</v>
      </c>
      <c r="O10" s="17">
        <v>120</v>
      </c>
      <c r="P10" s="16">
        <v>120</v>
      </c>
      <c r="Q10" s="17">
        <v>120</v>
      </c>
      <c r="R10" s="16">
        <v>120</v>
      </c>
      <c r="S10" s="17">
        <v>2155</v>
      </c>
      <c r="T10" s="16">
        <v>2817</v>
      </c>
      <c r="U10" s="17">
        <v>2817</v>
      </c>
      <c r="V10" s="16">
        <v>3215</v>
      </c>
      <c r="W10" s="17">
        <v>3215</v>
      </c>
    </row>
    <row r="11" spans="1:23" s="22" customFormat="1" ht="15.75" customHeight="1" x14ac:dyDescent="0.2">
      <c r="A11" s="15" t="s">
        <v>59</v>
      </c>
      <c r="B11" s="16">
        <v>0</v>
      </c>
      <c r="C11" s="17">
        <v>0</v>
      </c>
      <c r="D11" s="16">
        <v>0</v>
      </c>
      <c r="E11" s="17">
        <v>0</v>
      </c>
      <c r="F11" s="16">
        <v>0</v>
      </c>
      <c r="G11" s="17">
        <v>0</v>
      </c>
      <c r="H11" s="16">
        <v>0</v>
      </c>
      <c r="I11" s="17">
        <v>0</v>
      </c>
      <c r="J11" s="16">
        <v>0</v>
      </c>
      <c r="K11" s="17">
        <v>0</v>
      </c>
      <c r="L11" s="16">
        <v>0</v>
      </c>
      <c r="M11" s="17">
        <v>0</v>
      </c>
      <c r="N11" s="16">
        <v>0</v>
      </c>
      <c r="O11" s="17">
        <v>0</v>
      </c>
      <c r="P11" s="16">
        <v>0</v>
      </c>
      <c r="Q11" s="17">
        <v>0</v>
      </c>
      <c r="R11" s="16">
        <v>0</v>
      </c>
      <c r="S11" s="17">
        <v>126</v>
      </c>
      <c r="T11" s="16">
        <v>126</v>
      </c>
      <c r="U11" s="17">
        <v>126</v>
      </c>
      <c r="V11" s="16">
        <v>126</v>
      </c>
      <c r="W11" s="17">
        <v>126</v>
      </c>
    </row>
    <row r="12" spans="1:23" s="19" customFormat="1" ht="15.75" customHeight="1" x14ac:dyDescent="0.2">
      <c r="A12" s="15" t="s">
        <v>60</v>
      </c>
      <c r="B12" s="16">
        <v>0</v>
      </c>
      <c r="C12" s="17">
        <v>288.88</v>
      </c>
      <c r="D12" s="16">
        <v>665.11</v>
      </c>
      <c r="E12" s="17">
        <v>1011.3399999999999</v>
      </c>
      <c r="F12" s="16">
        <v>1343.9</v>
      </c>
      <c r="G12" s="17">
        <v>1663.06</v>
      </c>
      <c r="H12" s="16">
        <v>1976.1000000000001</v>
      </c>
      <c r="I12" s="17">
        <v>2275.6899999999996</v>
      </c>
      <c r="J12" s="16">
        <v>2568.8599999999997</v>
      </c>
      <c r="K12" s="17">
        <v>2854.41</v>
      </c>
      <c r="L12" s="16">
        <v>3133.92</v>
      </c>
      <c r="M12" s="17">
        <v>3411.12</v>
      </c>
      <c r="N12" s="16">
        <v>3667.8199999999997</v>
      </c>
      <c r="O12" s="17">
        <v>3900.08</v>
      </c>
      <c r="P12" s="16">
        <v>4123.63</v>
      </c>
      <c r="Q12" s="17">
        <v>4339.12</v>
      </c>
      <c r="R12" s="16">
        <v>4548.2699999999995</v>
      </c>
      <c r="S12" s="17">
        <v>4753.29</v>
      </c>
      <c r="T12" s="16">
        <v>4949.6899999999996</v>
      </c>
      <c r="U12" s="17">
        <v>5139.84</v>
      </c>
      <c r="V12" s="16">
        <v>5280.4</v>
      </c>
      <c r="W12" s="17">
        <v>5461.92</v>
      </c>
    </row>
    <row r="13" spans="1:23" s="19" customFormat="1" ht="15.75" customHeight="1" x14ac:dyDescent="0.2">
      <c r="A13" s="15" t="s">
        <v>41</v>
      </c>
      <c r="B13" s="16">
        <v>0</v>
      </c>
      <c r="C13" s="17">
        <v>940</v>
      </c>
      <c r="D13" s="16">
        <v>1862</v>
      </c>
      <c r="E13" s="17">
        <v>2758</v>
      </c>
      <c r="F13" s="16">
        <v>3634</v>
      </c>
      <c r="G13" s="17">
        <v>4493</v>
      </c>
      <c r="H13" s="16">
        <v>5327</v>
      </c>
      <c r="I13" s="17">
        <v>6135</v>
      </c>
      <c r="J13" s="16">
        <v>6924</v>
      </c>
      <c r="K13" s="17">
        <v>7686</v>
      </c>
      <c r="L13" s="16">
        <v>8415</v>
      </c>
      <c r="M13" s="17">
        <v>9115</v>
      </c>
      <c r="N13" s="16">
        <v>9768</v>
      </c>
      <c r="O13" s="17">
        <v>10377</v>
      </c>
      <c r="P13" s="16">
        <v>10921</v>
      </c>
      <c r="Q13" s="17">
        <v>11420</v>
      </c>
      <c r="R13" s="16">
        <v>11890</v>
      </c>
      <c r="S13" s="17">
        <v>12331</v>
      </c>
      <c r="T13" s="16">
        <v>12734</v>
      </c>
      <c r="U13" s="17">
        <v>13062</v>
      </c>
      <c r="V13" s="16">
        <v>13400</v>
      </c>
      <c r="W13" s="17">
        <v>13694</v>
      </c>
    </row>
    <row r="14" spans="1:23" s="26" customFormat="1" ht="15.75" customHeight="1" x14ac:dyDescent="0.25">
      <c r="A14" s="23" t="s">
        <v>19</v>
      </c>
      <c r="B14" s="24">
        <f t="shared" ref="B14:U14" si="0">SUM(B3:B13)</f>
        <v>0</v>
      </c>
      <c r="C14" s="25">
        <f t="shared" si="0"/>
        <v>3318.88</v>
      </c>
      <c r="D14" s="24">
        <f t="shared" si="0"/>
        <v>5117.1100000000006</v>
      </c>
      <c r="E14" s="25">
        <f t="shared" si="0"/>
        <v>6581.34</v>
      </c>
      <c r="F14" s="24">
        <f t="shared" si="0"/>
        <v>6549.9</v>
      </c>
      <c r="G14" s="25">
        <f t="shared" si="0"/>
        <v>9205.06</v>
      </c>
      <c r="H14" s="24">
        <f t="shared" si="0"/>
        <v>9450.1</v>
      </c>
      <c r="I14" s="25">
        <f t="shared" si="0"/>
        <v>11135.689999999999</v>
      </c>
      <c r="J14" s="24">
        <f t="shared" si="0"/>
        <v>11494.86</v>
      </c>
      <c r="K14" s="25">
        <f t="shared" si="0"/>
        <v>13187.41</v>
      </c>
      <c r="L14" s="24">
        <f t="shared" si="0"/>
        <v>13520.92</v>
      </c>
      <c r="M14" s="25">
        <f t="shared" si="0"/>
        <v>13392.119999999999</v>
      </c>
      <c r="N14" s="24">
        <f t="shared" si="0"/>
        <v>14301.82</v>
      </c>
      <c r="O14" s="25">
        <f t="shared" si="0"/>
        <v>14633.08</v>
      </c>
      <c r="P14" s="24">
        <f t="shared" si="0"/>
        <v>13872.630000000001</v>
      </c>
      <c r="Q14" s="25">
        <f>SUM(Q3:Q13)</f>
        <v>14587.119999999999</v>
      </c>
      <c r="R14" s="24">
        <f t="shared" si="0"/>
        <v>12386.27</v>
      </c>
      <c r="S14" s="25">
        <f t="shared" si="0"/>
        <v>13738.29</v>
      </c>
      <c r="T14" s="24">
        <f t="shared" si="0"/>
        <v>14451.689999999999</v>
      </c>
      <c r="U14" s="25">
        <f t="shared" si="0"/>
        <v>14969.84</v>
      </c>
      <c r="V14" s="24">
        <f t="shared" ref="V14:W14" si="1">SUM(V3:V13)</f>
        <v>15387.4</v>
      </c>
      <c r="W14" s="25">
        <f t="shared" si="1"/>
        <v>15862.92</v>
      </c>
    </row>
    <row r="15" spans="1:23" s="19" customFormat="1" ht="15.75" customHeight="1" x14ac:dyDescent="0.2">
      <c r="B15" s="27"/>
      <c r="C15" s="27"/>
    </row>
    <row r="16" spans="1:23" ht="15.75" customHeight="1" x14ac:dyDescent="0.2">
      <c r="B16" s="3"/>
      <c r="C16" s="3"/>
    </row>
    <row r="17" spans="2:3" ht="15.75" customHeight="1" x14ac:dyDescent="0.2">
      <c r="B17" s="3"/>
      <c r="C17"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9"/>
  <sheetViews>
    <sheetView workbookViewId="0"/>
  </sheetViews>
  <sheetFormatPr defaultRowHeight="12.75" x14ac:dyDescent="0.2"/>
  <cols>
    <col min="1" max="1" width="13.85546875" bestFit="1" customWidth="1"/>
    <col min="2" max="4" width="9.28515625" bestFit="1" customWidth="1"/>
    <col min="5" max="6" width="10.42578125" bestFit="1" customWidth="1"/>
    <col min="7" max="17" width="9.28515625" bestFit="1" customWidth="1"/>
    <col min="18" max="23" width="9.5703125" bestFit="1" customWidth="1"/>
  </cols>
  <sheetData>
    <row r="1" spans="1:23" s="4" customFormat="1" ht="15.75" x14ac:dyDescent="0.25">
      <c r="A1" s="10" t="s">
        <v>70</v>
      </c>
    </row>
    <row r="2" spans="1:23" s="14" customFormat="1" ht="15.75" customHeight="1" x14ac:dyDescent="0.2">
      <c r="A2" s="11" t="s">
        <v>34</v>
      </c>
      <c r="B2" s="12" t="s">
        <v>0</v>
      </c>
      <c r="C2" s="13" t="s">
        <v>1</v>
      </c>
      <c r="D2" s="12" t="s">
        <v>2</v>
      </c>
      <c r="E2" s="13" t="s">
        <v>3</v>
      </c>
      <c r="F2" s="12" t="s">
        <v>4</v>
      </c>
      <c r="G2" s="13" t="s">
        <v>5</v>
      </c>
      <c r="H2" s="12" t="s">
        <v>6</v>
      </c>
      <c r="I2" s="13" t="s">
        <v>7</v>
      </c>
      <c r="J2" s="12" t="s">
        <v>8</v>
      </c>
      <c r="K2" s="13" t="s">
        <v>9</v>
      </c>
      <c r="L2" s="12" t="s">
        <v>10</v>
      </c>
      <c r="M2" s="13" t="s">
        <v>11</v>
      </c>
      <c r="N2" s="12" t="s">
        <v>12</v>
      </c>
      <c r="O2" s="13" t="s">
        <v>13</v>
      </c>
      <c r="P2" s="12" t="s">
        <v>14</v>
      </c>
      <c r="Q2" s="13" t="s">
        <v>15</v>
      </c>
      <c r="R2" s="12" t="s">
        <v>16</v>
      </c>
      <c r="S2" s="13" t="s">
        <v>45</v>
      </c>
      <c r="T2" s="12" t="s">
        <v>61</v>
      </c>
      <c r="U2" s="13" t="s">
        <v>62</v>
      </c>
      <c r="V2" s="12" t="s">
        <v>63</v>
      </c>
      <c r="W2" s="13" t="s">
        <v>64</v>
      </c>
    </row>
    <row r="3" spans="1:23" s="7" customFormat="1" ht="15.75" customHeight="1" x14ac:dyDescent="0.2">
      <c r="A3" s="15" t="s">
        <v>35</v>
      </c>
      <c r="B3" s="16">
        <v>0</v>
      </c>
      <c r="C3" s="17">
        <v>0</v>
      </c>
      <c r="D3" s="16">
        <v>0</v>
      </c>
      <c r="E3" s="17">
        <v>0</v>
      </c>
      <c r="F3" s="16">
        <v>0</v>
      </c>
      <c r="G3" s="17">
        <v>0</v>
      </c>
      <c r="H3" s="16">
        <v>0</v>
      </c>
      <c r="I3" s="17">
        <v>0</v>
      </c>
      <c r="J3" s="16">
        <v>0</v>
      </c>
      <c r="K3" s="17">
        <v>0</v>
      </c>
      <c r="L3" s="16">
        <v>0</v>
      </c>
      <c r="M3" s="17">
        <v>0</v>
      </c>
      <c r="N3" s="16">
        <v>0</v>
      </c>
      <c r="O3" s="17">
        <v>0</v>
      </c>
      <c r="P3" s="16">
        <v>0</v>
      </c>
      <c r="Q3" s="17">
        <v>0</v>
      </c>
      <c r="R3" s="16">
        <v>0</v>
      </c>
      <c r="S3" s="17">
        <v>183.91456564987152</v>
      </c>
      <c r="T3" s="16">
        <v>272.44289994385724</v>
      </c>
      <c r="U3" s="17">
        <v>272.44289994385724</v>
      </c>
      <c r="V3" s="16">
        <v>277.61951077767367</v>
      </c>
      <c r="W3" s="17">
        <v>277.61951077767367</v>
      </c>
    </row>
    <row r="4" spans="1:23" s="7" customFormat="1" ht="15.75" customHeight="1" x14ac:dyDescent="0.2">
      <c r="A4" s="15" t="s">
        <v>36</v>
      </c>
      <c r="B4" s="16">
        <v>0</v>
      </c>
      <c r="C4" s="17">
        <v>0</v>
      </c>
      <c r="D4" s="16">
        <v>0</v>
      </c>
      <c r="E4" s="17">
        <v>0</v>
      </c>
      <c r="F4" s="16">
        <v>0</v>
      </c>
      <c r="G4" s="17">
        <v>0</v>
      </c>
      <c r="H4" s="16">
        <v>0</v>
      </c>
      <c r="I4" s="17">
        <v>69.761109737744306</v>
      </c>
      <c r="J4" s="16">
        <v>157.57402072865148</v>
      </c>
      <c r="K4" s="17">
        <v>235.1844989513983</v>
      </c>
      <c r="L4" s="16">
        <v>318.16288172806708</v>
      </c>
      <c r="M4" s="17">
        <v>401.76245622454576</v>
      </c>
      <c r="N4" s="16">
        <v>401.76245622454576</v>
      </c>
      <c r="O4" s="17">
        <v>401.76245622454576</v>
      </c>
      <c r="P4" s="16">
        <v>401.76245622454576</v>
      </c>
      <c r="Q4" s="17">
        <v>401.76245622454576</v>
      </c>
      <c r="R4" s="16">
        <v>401.76245622454576</v>
      </c>
      <c r="S4" s="17">
        <v>401.76245622454576</v>
      </c>
      <c r="T4" s="16">
        <v>467.26358976610823</v>
      </c>
      <c r="U4" s="17">
        <v>467.26358976610823</v>
      </c>
      <c r="V4" s="16">
        <v>506.27669972442555</v>
      </c>
      <c r="W4" s="17">
        <v>506.27669972442555</v>
      </c>
    </row>
    <row r="5" spans="1:23" s="7" customFormat="1" ht="15.75" customHeight="1" x14ac:dyDescent="0.2">
      <c r="A5" s="15" t="s">
        <v>37</v>
      </c>
      <c r="B5" s="16">
        <v>0</v>
      </c>
      <c r="C5" s="17">
        <v>1.2517836661858959</v>
      </c>
      <c r="D5" s="16">
        <v>72.622747379758763</v>
      </c>
      <c r="E5" s="17">
        <v>156.40096634148682</v>
      </c>
      <c r="F5" s="16">
        <v>247.89690897175305</v>
      </c>
      <c r="G5" s="17">
        <v>480.01243685234317</v>
      </c>
      <c r="H5" s="16">
        <v>570.92609811404054</v>
      </c>
      <c r="I5" s="17">
        <v>570.92609811404054</v>
      </c>
      <c r="J5" s="16">
        <v>570.92609811404054</v>
      </c>
      <c r="K5" s="17">
        <v>570.92609811404054</v>
      </c>
      <c r="L5" s="16">
        <v>570.92609811404054</v>
      </c>
      <c r="M5" s="17">
        <v>570.92609811404054</v>
      </c>
      <c r="N5" s="16">
        <v>570.92609811404054</v>
      </c>
      <c r="O5" s="17">
        <v>570.92609811404054</v>
      </c>
      <c r="P5" s="16">
        <v>570.92609811404054</v>
      </c>
      <c r="Q5" s="17">
        <v>570.92609811404054</v>
      </c>
      <c r="R5" s="16">
        <v>570.92609811404054</v>
      </c>
      <c r="S5" s="17">
        <v>611.04983435598979</v>
      </c>
      <c r="T5" s="16">
        <v>639.01480042712899</v>
      </c>
      <c r="U5" s="17">
        <v>639.01480042712899</v>
      </c>
      <c r="V5" s="16">
        <v>674.84214410715151</v>
      </c>
      <c r="W5" s="17">
        <v>673.59036044096547</v>
      </c>
    </row>
    <row r="6" spans="1:23" s="7" customFormat="1" ht="15.75" customHeight="1" x14ac:dyDescent="0.2">
      <c r="A6" s="15" t="s">
        <v>38</v>
      </c>
      <c r="B6" s="16">
        <v>0</v>
      </c>
      <c r="C6" s="17">
        <v>0</v>
      </c>
      <c r="D6" s="16">
        <v>0</v>
      </c>
      <c r="E6" s="17">
        <v>0</v>
      </c>
      <c r="F6" s="16">
        <v>0</v>
      </c>
      <c r="G6" s="17">
        <v>0</v>
      </c>
      <c r="H6" s="16">
        <v>0</v>
      </c>
      <c r="I6" s="17">
        <v>0</v>
      </c>
      <c r="J6" s="16">
        <v>0</v>
      </c>
      <c r="K6" s="17">
        <v>0</v>
      </c>
      <c r="L6" s="16">
        <v>0</v>
      </c>
      <c r="M6" s="17">
        <v>0</v>
      </c>
      <c r="N6" s="16">
        <v>0</v>
      </c>
      <c r="O6" s="17">
        <v>0</v>
      </c>
      <c r="P6" s="16">
        <v>0</v>
      </c>
      <c r="Q6" s="17">
        <v>0</v>
      </c>
      <c r="R6" s="16">
        <v>0</v>
      </c>
      <c r="S6" s="17">
        <v>145.42455017017659</v>
      </c>
      <c r="T6" s="16">
        <v>161.278925498733</v>
      </c>
      <c r="U6" s="17">
        <v>161.278925498733</v>
      </c>
      <c r="V6" s="16">
        <v>161.278925498733</v>
      </c>
      <c r="W6" s="17">
        <v>161.278925498733</v>
      </c>
    </row>
    <row r="7" spans="1:23" s="7" customFormat="1" ht="15.75" customHeight="1" x14ac:dyDescent="0.2">
      <c r="A7" s="15" t="s">
        <v>39</v>
      </c>
      <c r="B7" s="16">
        <f t="shared" ref="B7:W7" si="0">(0*(1/1000))/1000</f>
        <v>0</v>
      </c>
      <c r="C7" s="17">
        <f t="shared" si="0"/>
        <v>0</v>
      </c>
      <c r="D7" s="16">
        <f t="shared" si="0"/>
        <v>0</v>
      </c>
      <c r="E7" s="17">
        <f t="shared" si="0"/>
        <v>0</v>
      </c>
      <c r="F7" s="16">
        <f t="shared" si="0"/>
        <v>0</v>
      </c>
      <c r="G7" s="17">
        <f t="shared" si="0"/>
        <v>0</v>
      </c>
      <c r="H7" s="16">
        <f t="shared" si="0"/>
        <v>0</v>
      </c>
      <c r="I7" s="17">
        <f t="shared" si="0"/>
        <v>0</v>
      </c>
      <c r="J7" s="16">
        <f t="shared" si="0"/>
        <v>0</v>
      </c>
      <c r="K7" s="17">
        <f t="shared" si="0"/>
        <v>0</v>
      </c>
      <c r="L7" s="16">
        <f t="shared" si="0"/>
        <v>0</v>
      </c>
      <c r="M7" s="17">
        <f t="shared" si="0"/>
        <v>0</v>
      </c>
      <c r="N7" s="16">
        <f t="shared" si="0"/>
        <v>0</v>
      </c>
      <c r="O7" s="17">
        <f t="shared" si="0"/>
        <v>0</v>
      </c>
      <c r="P7" s="16">
        <f t="shared" si="0"/>
        <v>0</v>
      </c>
      <c r="Q7" s="17">
        <f t="shared" si="0"/>
        <v>0</v>
      </c>
      <c r="R7" s="16">
        <f t="shared" si="0"/>
        <v>0</v>
      </c>
      <c r="S7" s="17">
        <f t="shared" si="0"/>
        <v>0</v>
      </c>
      <c r="T7" s="16">
        <f t="shared" si="0"/>
        <v>0</v>
      </c>
      <c r="U7" s="17">
        <f t="shared" si="0"/>
        <v>0</v>
      </c>
      <c r="V7" s="16">
        <f t="shared" si="0"/>
        <v>0</v>
      </c>
      <c r="W7" s="17">
        <f t="shared" si="0"/>
        <v>0</v>
      </c>
    </row>
    <row r="8" spans="1:23" s="4" customFormat="1" x14ac:dyDescent="0.2">
      <c r="A8" s="18" t="s">
        <v>75</v>
      </c>
      <c r="B8" s="8"/>
      <c r="C8" s="8"/>
      <c r="D8" s="8"/>
      <c r="E8" s="8"/>
      <c r="F8" s="8"/>
      <c r="G8" s="8"/>
      <c r="H8" s="8"/>
      <c r="I8" s="8"/>
      <c r="J8" s="8"/>
      <c r="K8" s="8"/>
      <c r="L8" s="8"/>
      <c r="M8" s="8"/>
      <c r="N8" s="8"/>
      <c r="O8" s="8"/>
      <c r="P8" s="8"/>
      <c r="Q8" s="8"/>
      <c r="R8" s="8"/>
      <c r="S8" s="8"/>
      <c r="T8" s="8"/>
      <c r="U8" s="8"/>
      <c r="V8" s="8"/>
      <c r="W8" s="8"/>
    </row>
    <row r="9" spans="1:23" s="4" customFormat="1"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E2FDD9A15D549AEA83EA1B400EBDA" ma:contentTypeVersion="0" ma:contentTypeDescription="Create a new document." ma:contentTypeScope="" ma:versionID="ad79084dcdd2c6282bac2fbd9f324cf9">
  <xsd:schema xmlns:xsd="http://www.w3.org/2001/XMLSchema" xmlns:xs="http://www.w3.org/2001/XMLSchema" xmlns:p="http://schemas.microsoft.com/office/2006/metadata/properties" xmlns:ns2="a14523ce-dede-483e-883a-2d83261080bd" targetNamespace="http://schemas.microsoft.com/office/2006/metadata/properties" ma:root="true" ma:fieldsID="7609b2132cc27c2e027996f255529d92" ns2:_="">
    <xsd:import namespace="a14523ce-dede-483e-883a-2d83261080b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523ce-dede-483e-883a-2d83261080b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a14523ce-dede-483e-883a-2d83261080bd">NETWORKDEV-1262562635-213</_dlc_DocId>
    <_dlc_DocIdUrl xmlns="a14523ce-dede-483e-883a-2d83261080bd">
      <Url>http://sharedocs/sites/nd/BusinessAsUsual/_layouts/15/DocIdRedir.aspx?ID=NETWORKDEV-1262562635-213</Url>
      <Description>NETWORKDEV-1262562635-213</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C8D705-AD4B-400D-94E1-F3F01DDEF2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523ce-dede-483e-883a-2d8326108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203936-8F89-476E-B0D1-A4F68C695FA1}">
  <ds:schemaRef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purl.org/dc/dcmitype/"/>
    <ds:schemaRef ds:uri="http://purl.org/dc/terms/"/>
    <ds:schemaRef ds:uri="http://schemas.microsoft.com/office/infopath/2007/PartnerControls"/>
    <ds:schemaRef ds:uri="a14523ce-dede-483e-883a-2d83261080bd"/>
    <ds:schemaRef ds:uri="http://www.w3.org/XML/1998/namespace"/>
  </ds:schemaRefs>
</ds:datastoreItem>
</file>

<file path=customXml/itemProps3.xml><?xml version="1.0" encoding="utf-8"?>
<ds:datastoreItem xmlns:ds="http://schemas.openxmlformats.org/officeDocument/2006/customXml" ds:itemID="{0CA99708-4A2F-440A-8103-024A91AD4663}">
  <ds:schemaRefs>
    <ds:schemaRef ds:uri="http://schemas.microsoft.com/sharepoint/events"/>
  </ds:schemaRefs>
</ds:datastoreItem>
</file>

<file path=customXml/itemProps4.xml><?xml version="1.0" encoding="utf-8"?>
<ds:datastoreItem xmlns:ds="http://schemas.openxmlformats.org/officeDocument/2006/customXml" ds:itemID="{C4884797-D8A5-45D4-A6C8-85916C62C8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Charts</vt:lpstr>
      </vt:variant>
      <vt:variant>
        <vt:i4>3</vt:i4>
      </vt:variant>
    </vt:vector>
  </HeadingPairs>
  <TitlesOfParts>
    <vt:vector size="10" baseType="lpstr">
      <vt:lpstr>Index</vt:lpstr>
      <vt:lpstr>Market Benefits Summary</vt:lpstr>
      <vt:lpstr>Net Market Benefits</vt:lpstr>
      <vt:lpstr>NEMInstalledCapacity Data</vt:lpstr>
      <vt:lpstr>NEMEnergyGenerated Data</vt:lpstr>
      <vt:lpstr>NewAndRetiredCapacity Data</vt:lpstr>
      <vt:lpstr>GenerationInvestment</vt:lpstr>
      <vt:lpstr>NEMInstalledCapacity Figure</vt:lpstr>
      <vt:lpstr>NEMEnergyGenerated Figure</vt:lpstr>
      <vt:lpstr>NewAndRetiredCapacity Figure</vt:lpstr>
    </vt:vector>
  </TitlesOfParts>
  <Company>AEMO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NTNDP_2016_Additional_Information</dc:title>
  <dc:creator>Monique Meerkotter</dc:creator>
  <cp:lastModifiedBy>AEMO</cp:lastModifiedBy>
  <dcterms:created xsi:type="dcterms:W3CDTF">2012-11-20T01:45:39Z</dcterms:created>
  <dcterms:modified xsi:type="dcterms:W3CDTF">2018-07-24T04:39:56Z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0x010100E5EE2FDD9A15D549AEA83EA1B400EBDA</vt:lpwstr>
  </property>
  <property fmtid="{D5CDD505-2E9C-101B-9397-08002B2CF9AE}" pid="3" name="_dlc_DocIdItemGuid">
    <vt:lpwstr>33e8c2c2-cf42-46e7-a3e5-46bd238f3641</vt:lpwstr>
  </property>
  <property fmtid="{D5CDD505-2E9C-101B-9397-08002B2CF9AE}" pid="4" name="AEMOKeywords">
    <vt:lpwstr/>
  </property>
  <property fmtid="{D5CDD505-2E9C-101B-9397-08002B2CF9AE}" pid="5" name="AEMODocumentType">
    <vt:lpwstr>1;#Operational Record|859762f2-4462-42eb-9744-c955c7e2c540</vt:lpwstr>
  </property>
  <property fmtid="{D5CDD505-2E9C-101B-9397-08002B2CF9AE}" pid="6" name="DocumentStorageId">
    <vt:lpwstr/>
  </property>
  <property fmtid="{D5CDD505-2E9C-101B-9397-08002B2CF9AE}" pid="7" name="AEMODocumentTypeTaxHTField0">
    <vt:lpwstr>Operational Record|859762f2-4462-42eb-9744-c955c7e2c540</vt:lpwstr>
  </property>
  <property fmtid="{D5CDD505-2E9C-101B-9397-08002B2CF9AE}" pid="8" name="TaxCatchAll">
    <vt:lpwstr>1;#Operational Record|859762f2-4462-42eb-9744-c955c7e2c540</vt:lpwstr>
  </property>
  <property fmtid="{D5CDD505-2E9C-101B-9397-08002B2CF9AE}" pid="9" name="AEMOKeywordsTaxHTField0">
    <vt:lpwstr/>
  </property>
</Properties>
</file>